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5DD39861-532B-4342-8EE7-BAA498C26D1C}" xr6:coauthVersionLast="47" xr6:coauthVersionMax="47" xr10:uidLastSave="{00000000-0000-0000-0000-000000000000}"/>
  <bookViews>
    <workbookView xWindow="-108" yWindow="-108" windowWidth="23256" windowHeight="12576" firstSheet="33" activeTab="46" xr2:uid="{AA9CB539-6CFC-4751-99C6-B00CD0DAA533}"/>
  </bookViews>
  <sheets>
    <sheet name="계약방법안내" sheetId="47" r:id="rId1"/>
    <sheet name="절차안내" sheetId="46" r:id="rId2"/>
    <sheet name="학교검색" sheetId="45" r:id="rId3"/>
    <sheet name="학교정보" sheetId="44" r:id="rId4"/>
    <sheet name="F-040_위원청렴보안서약서" sheetId="43" r:id="rId5"/>
    <sheet name="F-039_업체별제안서평가표" sheetId="42" r:id="rId6"/>
    <sheet name="F-038_업체참가등록부" sheetId="41" r:id="rId7"/>
    <sheet name="F-037_평가위원회참석등록부" sheetId="40" r:id="rId8"/>
    <sheet name="F-036_제안서평가결과" sheetId="39" r:id="rId9"/>
    <sheet name="F-035_정량평가결과" sheetId="38" r:id="rId10"/>
    <sheet name="F-034_평가위원회개최" sheetId="37" r:id="rId11"/>
    <sheet name="F-033_제안서접수대장" sheetId="36" r:id="rId12"/>
    <sheet name="F-032_제안서접수결과" sheetId="35" r:id="rId13"/>
    <sheet name="F-044_사전안내가정통신문안내" sheetId="34" r:id="rId14"/>
    <sheet name="F-043_계약체결" sheetId="33" r:id="rId15"/>
    <sheet name="F-042_낙찰자결정통보" sheetId="32" r:id="rId16"/>
    <sheet name="F-041_낙찰자결정" sheetId="31" r:id="rId17"/>
    <sheet name="F-006_운영위원회심의안" sheetId="30" r:id="rId18"/>
    <sheet name="F-005_구매추진계획안" sheetId="29" r:id="rId19"/>
    <sheet name="F-004_구매추진계획수립기안문" sheetId="28" r:id="rId20"/>
    <sheet name="F-003_위원청렴보안서약서" sheetId="27" r:id="rId21"/>
    <sheet name="F-002_위원수락확인서" sheetId="26" r:id="rId22"/>
    <sheet name="F-001_위원회구성기안" sheetId="25" r:id="rId23"/>
    <sheet name="F-025_교복AS계획서" sheetId="24" r:id="rId24"/>
    <sheet name="F-023_교복제조사양서" sheetId="23" r:id="rId25"/>
    <sheet name="F-022_교복납품실적표" sheetId="22" r:id="rId26"/>
    <sheet name="F-021_교복납품제안서" sheetId="21" r:id="rId27"/>
    <sheet name="F-020_입찰참가신고서" sheetId="20" r:id="rId28"/>
    <sheet name="F-019_입찰참가신청서" sheetId="19" r:id="rId29"/>
    <sheet name="F-018_정량적평가자기평점표" sheetId="18" r:id="rId30"/>
    <sheet name="F-017_제출서류자기확인서" sheetId="17" r:id="rId31"/>
    <sheet name="F-016_정성적평가" sheetId="16" r:id="rId32"/>
    <sheet name="F-015_정량적평가" sheetId="15" r:id="rId33"/>
    <sheet name="F-014_평가항목배점기준" sheetId="14" r:id="rId34"/>
    <sheet name="F-024_단가비율표" sheetId="13" r:id="rId35"/>
    <sheet name="F-007_구매요청기안문" sheetId="12" r:id="rId36"/>
    <sheet name="서식선택_출력" sheetId="11" r:id="rId37"/>
    <sheet name="DB_자기평점" sheetId="10" state="veryHidden" r:id="rId38"/>
    <sheet name="DB_정성평가" sheetId="9" state="veryHidden" r:id="rId39"/>
    <sheet name="DB_정량평가" sheetId="8" state="veryHidden" r:id="rId40"/>
    <sheet name="DB_평가" sheetId="7" state="veryHidden" r:id="rId41"/>
    <sheet name="DB_위원" sheetId="6" state="veryHidden" r:id="rId42"/>
    <sheet name="DB_업체" sheetId="5" state="veryHidden" r:id="rId43"/>
    <sheet name="DB_품목" sheetId="4" state="veryHidden" r:id="rId44"/>
    <sheet name="DB" sheetId="3" state="hidden" r:id="rId45"/>
    <sheet name="기초자료입력" sheetId="2" r:id="rId46"/>
    <sheet name="사용설명서" sheetId="1" r:id="rId47"/>
  </sheets>
  <functionGroups builtInGroupCount="19"/>
  <definedNames>
    <definedName name="_xlnm._FilterDatabase" localSheetId="44" hidden="1">DB!$A$1:$T$1</definedName>
    <definedName name="_xlnm._FilterDatabase" localSheetId="42" hidden="1">DB_업체!$A$1:$C$1</definedName>
    <definedName name="_xlnm._FilterDatabase" localSheetId="41" hidden="1">DB_위원!$A$1:$D$1</definedName>
    <definedName name="_xlnm._FilterDatabase" localSheetId="37" hidden="1">DB_자기평점!$A$1:$F$1</definedName>
    <definedName name="_xlnm._FilterDatabase" localSheetId="39" hidden="1">DB_정량평가!$A$1:$F$1</definedName>
    <definedName name="_xlnm._FilterDatabase" localSheetId="38" hidden="1">DB_정성평가!$A$1:$G$1</definedName>
    <definedName name="_xlnm._FilterDatabase" localSheetId="40" hidden="1">DB_평가!$A$1:$E$1</definedName>
    <definedName name="_xlnm._FilterDatabase" localSheetId="43" hidden="1">DB_품목!$A$1:$F$1</definedName>
    <definedName name="_xlnm.Print_Area" localSheetId="22">'F-001_위원회구성기안'!$A$1:$H$43</definedName>
    <definedName name="_xlnm.Print_Area" localSheetId="21">'F-002_위원수락확인서'!$A$1:$E$21</definedName>
    <definedName name="_xlnm.Print_Area" localSheetId="20">'F-003_위원청렴보안서약서'!$A$1:$E$20</definedName>
    <definedName name="_xlnm.Print_Area" localSheetId="19">'F-004_구매추진계획수립기안문'!$A$1:$H$20</definedName>
    <definedName name="_xlnm.Print_Area" localSheetId="18">'F-005_구매추진계획안'!$A$1:$G$90</definedName>
    <definedName name="_xlnm.Print_Area" localSheetId="17">'F-006_운영위원회심의안'!$A$1:$H$40</definedName>
    <definedName name="_xlnm.Print_Area" localSheetId="35">'F-007_구매요청기안문'!$A$1:$H$26</definedName>
    <definedName name="_xlnm.Print_Area" localSheetId="33">'F-014_평가항목배점기준'!$A$1:$G$25</definedName>
    <definedName name="_xlnm.Print_Area" localSheetId="32">'F-015_정량적평가'!$B$1:$G$26</definedName>
    <definedName name="_xlnm.Print_Area" localSheetId="31">'F-016_정성적평가'!$B$1:$F$18</definedName>
    <definedName name="_xlnm.Print_Area" localSheetId="30">'F-017_제출서류자기확인서'!$B$1:$E$30</definedName>
    <definedName name="_xlnm.Print_Area" localSheetId="29">'F-018_정량적평가자기평점표'!$B$1:$F$25</definedName>
    <definedName name="_xlnm.Print_Area" localSheetId="28">'F-019_입찰참가신청서'!$B$1:$L$25</definedName>
    <definedName name="_xlnm.Print_Area" localSheetId="27">'F-020_입찰참가신고서'!$B$1:$E$20</definedName>
    <definedName name="_xlnm.Print_Area" localSheetId="26">'F-021_교복납품제안서'!$B$1:$E$31</definedName>
    <definedName name="_xlnm.Print_Area" localSheetId="25">'F-022_교복납품실적표'!$B$1:$G$25</definedName>
    <definedName name="_xlnm.Print_Area" localSheetId="24">'F-023_교복제조사양서'!$B$1:$E$21</definedName>
    <definedName name="_xlnm.Print_Area" localSheetId="34">'F-024_단가비율표'!$A$1:$G$19</definedName>
    <definedName name="_xlnm.Print_Area" localSheetId="23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16">'F-041_낙찰자결정'!$A$1:$H$29</definedName>
    <definedName name="_xlnm.Print_Area" localSheetId="15">'F-042_낙찰자결정통보'!$A$1:$H$29</definedName>
    <definedName name="_xlnm.Print_Area" localSheetId="14">'F-043_계약체결'!$A$1:$H$37</definedName>
    <definedName name="_xlnm.Print_Area" localSheetId="13">'F-044_사전안내가정통신문안내'!$A$1:$H$25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7" l="1"/>
  <c r="B25" i="43"/>
  <c r="B21" i="43"/>
  <c r="B10" i="43"/>
  <c r="B7" i="43"/>
  <c r="B5" i="43"/>
  <c r="I17" i="42"/>
  <c r="I16" i="42"/>
  <c r="H17" i="42"/>
  <c r="H16" i="42"/>
  <c r="G17" i="42"/>
  <c r="G16" i="42"/>
  <c r="F17" i="42"/>
  <c r="F16" i="42"/>
  <c r="E17" i="42"/>
  <c r="E16" i="42"/>
  <c r="I15" i="42"/>
  <c r="I14" i="42"/>
  <c r="I13" i="42"/>
  <c r="I12" i="42"/>
  <c r="I11" i="42"/>
  <c r="I10" i="42"/>
  <c r="I9" i="42"/>
  <c r="I8" i="42"/>
  <c r="C8" i="42"/>
  <c r="B8" i="42"/>
  <c r="G5" i="42"/>
  <c r="E5" i="42"/>
  <c r="C5" i="42"/>
  <c r="B3" i="42"/>
  <c r="B18" i="41"/>
  <c r="B17" i="41"/>
  <c r="B16" i="41"/>
  <c r="B15" i="41"/>
  <c r="B14" i="41"/>
  <c r="B13" i="41"/>
  <c r="B12" i="41"/>
  <c r="B11" i="41"/>
  <c r="B10" i="41"/>
  <c r="B9" i="41"/>
  <c r="B5" i="41"/>
  <c r="C21" i="40"/>
  <c r="C20" i="40"/>
  <c r="C19" i="40"/>
  <c r="C18" i="40"/>
  <c r="C17" i="40"/>
  <c r="C16" i="40"/>
  <c r="C15" i="40"/>
  <c r="C14" i="40"/>
  <c r="C13" i="40"/>
  <c r="C12" i="40"/>
  <c r="B5" i="40"/>
  <c r="B3" i="40"/>
  <c r="C38" i="39"/>
  <c r="G28" i="39"/>
  <c r="F28" i="39"/>
  <c r="E28" i="39"/>
  <c r="D28" i="39"/>
  <c r="C28" i="39"/>
  <c r="B28" i="39"/>
  <c r="G27" i="39"/>
  <c r="F27" i="39"/>
  <c r="E27" i="39"/>
  <c r="D27" i="39"/>
  <c r="C27" i="39"/>
  <c r="B27" i="39"/>
  <c r="G26" i="39"/>
  <c r="F26" i="39"/>
  <c r="E26" i="39"/>
  <c r="D26" i="39"/>
  <c r="C26" i="39"/>
  <c r="B26" i="39"/>
  <c r="G25" i="39"/>
  <c r="F25" i="39"/>
  <c r="E25" i="39"/>
  <c r="D25" i="39"/>
  <c r="C25" i="39"/>
  <c r="B25" i="39"/>
  <c r="G24" i="39"/>
  <c r="F24" i="39"/>
  <c r="E24" i="39"/>
  <c r="D24" i="39"/>
  <c r="C24" i="39"/>
  <c r="B24" i="39"/>
  <c r="G23" i="39"/>
  <c r="F23" i="39"/>
  <c r="E23" i="39"/>
  <c r="D23" i="39"/>
  <c r="C23" i="39"/>
  <c r="B23" i="39"/>
  <c r="G22" i="39"/>
  <c r="F22" i="39"/>
  <c r="E22" i="39"/>
  <c r="D22" i="39"/>
  <c r="C22" i="39"/>
  <c r="B22" i="39"/>
  <c r="G21" i="39"/>
  <c r="F21" i="39"/>
  <c r="E21" i="39"/>
  <c r="D21" i="39"/>
  <c r="C21" i="39"/>
  <c r="B21" i="39"/>
  <c r="G20" i="39"/>
  <c r="F20" i="39"/>
  <c r="E20" i="39"/>
  <c r="D20" i="39"/>
  <c r="C20" i="39"/>
  <c r="B20" i="39"/>
  <c r="G19" i="39"/>
  <c r="F19" i="39"/>
  <c r="E19" i="39"/>
  <c r="D19" i="39"/>
  <c r="C19" i="39"/>
  <c r="B19" i="39"/>
  <c r="B13" i="39"/>
  <c r="B11" i="39"/>
  <c r="C9" i="39"/>
  <c r="F5" i="39"/>
  <c r="C5" i="39"/>
  <c r="B3" i="39"/>
  <c r="C34" i="38"/>
  <c r="H28" i="38"/>
  <c r="G28" i="38"/>
  <c r="F28" i="38"/>
  <c r="E28" i="38"/>
  <c r="D28" i="38"/>
  <c r="C28" i="38"/>
  <c r="B28" i="38"/>
  <c r="H27" i="38"/>
  <c r="G27" i="38"/>
  <c r="F27" i="38"/>
  <c r="E27" i="38"/>
  <c r="D27" i="38"/>
  <c r="C27" i="38"/>
  <c r="B27" i="38"/>
  <c r="H26" i="38"/>
  <c r="G26" i="38"/>
  <c r="F26" i="38"/>
  <c r="E26" i="38"/>
  <c r="D26" i="38"/>
  <c r="C26" i="38"/>
  <c r="B26" i="38"/>
  <c r="H25" i="38"/>
  <c r="G25" i="38"/>
  <c r="F25" i="38"/>
  <c r="E25" i="38"/>
  <c r="D25" i="38"/>
  <c r="C25" i="38"/>
  <c r="B25" i="38"/>
  <c r="H24" i="38"/>
  <c r="G24" i="38"/>
  <c r="F24" i="38"/>
  <c r="E24" i="38"/>
  <c r="D24" i="38"/>
  <c r="C24" i="38"/>
  <c r="B24" i="38"/>
  <c r="H23" i="38"/>
  <c r="G23" i="38"/>
  <c r="F23" i="38"/>
  <c r="E23" i="38"/>
  <c r="D23" i="38"/>
  <c r="C23" i="38"/>
  <c r="B23" i="38"/>
  <c r="H22" i="38"/>
  <c r="G22" i="38"/>
  <c r="F22" i="38"/>
  <c r="E22" i="38"/>
  <c r="D22" i="38"/>
  <c r="C22" i="38"/>
  <c r="B22" i="38"/>
  <c r="H21" i="38"/>
  <c r="G21" i="38"/>
  <c r="F21" i="38"/>
  <c r="E21" i="38"/>
  <c r="D21" i="38"/>
  <c r="C21" i="38"/>
  <c r="B21" i="38"/>
  <c r="H20" i="38"/>
  <c r="G20" i="38"/>
  <c r="F20" i="38"/>
  <c r="E20" i="38"/>
  <c r="D20" i="38"/>
  <c r="C20" i="38"/>
  <c r="B20" i="38"/>
  <c r="H19" i="38"/>
  <c r="G19" i="38"/>
  <c r="F19" i="38"/>
  <c r="E19" i="38"/>
  <c r="D19" i="38"/>
  <c r="C19" i="38"/>
  <c r="B19" i="38"/>
  <c r="B13" i="38"/>
  <c r="B11" i="38"/>
  <c r="C9" i="38"/>
  <c r="F5" i="38"/>
  <c r="C5" i="38"/>
  <c r="B3" i="38"/>
  <c r="C36" i="37"/>
  <c r="D30" i="37"/>
  <c r="C30" i="37"/>
  <c r="B30" i="37"/>
  <c r="D29" i="37"/>
  <c r="C29" i="37"/>
  <c r="B29" i="37"/>
  <c r="D28" i="37"/>
  <c r="C28" i="37"/>
  <c r="B28" i="37"/>
  <c r="D27" i="37"/>
  <c r="C27" i="37"/>
  <c r="B27" i="37"/>
  <c r="D26" i="37"/>
  <c r="C26" i="37"/>
  <c r="B26" i="37"/>
  <c r="D25" i="37"/>
  <c r="C25" i="37"/>
  <c r="B25" i="37"/>
  <c r="D24" i="37"/>
  <c r="C24" i="37"/>
  <c r="B24" i="37"/>
  <c r="D23" i="37"/>
  <c r="C23" i="37"/>
  <c r="B23" i="37"/>
  <c r="D22" i="37"/>
  <c r="C22" i="37"/>
  <c r="B22" i="37"/>
  <c r="D21" i="37"/>
  <c r="C21" i="37"/>
  <c r="B21" i="37"/>
  <c r="C18" i="37"/>
  <c r="B13" i="37"/>
  <c r="B11" i="37"/>
  <c r="C9" i="37"/>
  <c r="F5" i="37"/>
  <c r="C5" i="37"/>
  <c r="B3" i="37"/>
  <c r="D17" i="36"/>
  <c r="C17" i="36"/>
  <c r="D16" i="36"/>
  <c r="C16" i="36"/>
  <c r="D15" i="36"/>
  <c r="C15" i="36"/>
  <c r="D14" i="36"/>
  <c r="C14" i="36"/>
  <c r="D13" i="36"/>
  <c r="C13" i="36"/>
  <c r="D12" i="36"/>
  <c r="C12" i="36"/>
  <c r="D11" i="36"/>
  <c r="C11" i="36"/>
  <c r="D10" i="36"/>
  <c r="C10" i="36"/>
  <c r="D9" i="36"/>
  <c r="C9" i="36"/>
  <c r="D8" i="36"/>
  <c r="C8" i="36"/>
  <c r="B4" i="36"/>
  <c r="B3" i="36"/>
  <c r="C34" i="35"/>
  <c r="B30" i="35"/>
  <c r="D28" i="35"/>
  <c r="B28" i="35"/>
  <c r="D27" i="35"/>
  <c r="B27" i="35"/>
  <c r="D26" i="35"/>
  <c r="B26" i="35"/>
  <c r="D25" i="35"/>
  <c r="B25" i="35"/>
  <c r="D24" i="35"/>
  <c r="B24" i="35"/>
  <c r="D23" i="35"/>
  <c r="B23" i="35"/>
  <c r="D22" i="35"/>
  <c r="B22" i="35"/>
  <c r="D21" i="35"/>
  <c r="B21" i="35"/>
  <c r="D20" i="35"/>
  <c r="B20" i="35"/>
  <c r="D19" i="35"/>
  <c r="B19" i="35"/>
  <c r="B13" i="35"/>
  <c r="B11" i="35"/>
  <c r="C9" i="35"/>
  <c r="F5" i="35"/>
  <c r="C5" i="35"/>
  <c r="B3" i="35"/>
  <c r="C23" i="34"/>
  <c r="C16" i="34"/>
  <c r="C15" i="34"/>
  <c r="C9" i="34"/>
  <c r="F5" i="34"/>
  <c r="C5" i="34"/>
  <c r="G2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<sst xmlns="http://schemas.openxmlformats.org/spreadsheetml/2006/main" count="1971" uniqueCount="1137">
  <si>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</si>
  <si>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</si>
  <si>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</si>
  <si>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</si>
  <si>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</si>
  <si>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</si>
  <si>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</si>
  <si>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</si>
  <si>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</si>
  <si>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</si>
  <si>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</si>
  <si>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</si>
  <si>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</si>
  <si>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</si>
  <si>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</si>
  <si>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</si>
  <si>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</si>
  <si>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</si>
  <si>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</si>
  <si>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</si>
  <si>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</si>
  <si>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</si>
  <si>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</si>
  <si>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</si>
  <si>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</si>
  <si>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</si>
  <si>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</si>
  <si>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</si>
  <si>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</si>
  <si>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</si>
  <si>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</si>
  <si>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</si>
  <si>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</si>
  <si>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</si>
  <si>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</si>
  <si>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</si>
  <si>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</si>
  <si>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</si>
  <si>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</si>
  <si>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</si>
  <si>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</si>
  <si>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</si>
  <si>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</si>
  <si>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</si>
  <si>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</si>
  <si>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</si>
  <si>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</si>
  <si>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</si>
  <si>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</si>
  <si>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</si>
  <si>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</si>
  <si>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</si>
  <si>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</si>
  <si>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</si>
  <si>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</si>
  <si>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</si>
  <si>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</si>
  <si>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</si>
  <si>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</si>
  <si>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</si>
  <si>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</si>
  <si>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</si>
  <si>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</si>
  <si>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</si>
  <si>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</si>
  <si>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</si>
  <si>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</si>
  <si>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</si>
  <si>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</si>
  <si>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</si>
  <si>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</si>
  <si>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</si>
  <si>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</si>
  <si>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</si>
  <si>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</si>
  <si>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</si>
  <si>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</si>
  <si>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</si>
  <si>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</si>
  <si>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</si>
  <si>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</si>
  <si>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</si>
  <si>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</si>
  <si>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</si>
  <si>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</si>
  <si>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</si>
  <si>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</si>
  <si>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</si>
  <si>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</si>
  <si>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</si>
  <si>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</si>
  <si>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</si>
  <si>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</si>
  <si>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</si>
  <si>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</si>
  <si>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</si>
  <si>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</si>
  <si>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</si>
  <si>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</si>
  <si>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</si>
  <si>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</si>
  <si>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</si>
  <si>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</si>
  <si>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</si>
  <si>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</si>
  <si>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</si>
  <si>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</si>
  <si>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</si>
  <si>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</si>
  <si>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</si>
  <si>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</si>
  <si>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</si>
  <si>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</si>
  <si>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</si>
  <si>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</si>
  <si>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</si>
  <si>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</si>
  <si>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</si>
  <si>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</si>
  <si>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</si>
  <si>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</si>
  <si>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</si>
  <si>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</si>
  <si>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</si>
  <si>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</si>
  <si>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</si>
  <si>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</si>
  <si>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</si>
  <si>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</si>
  <si>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</si>
  <si>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</si>
  <si>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</si>
  <si>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</si>
  <si>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</si>
  <si>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</si>
  <si>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</si>
  <si>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</si>
  <si>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</si>
  <si>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</si>
  <si>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</si>
  <si>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</si>
  <si>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</si>
  <si>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</si>
  <si>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</si>
  <si>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</si>
  <si>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</si>
  <si>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</si>
  <si>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</si>
  <si>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</si>
  <si>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</si>
  <si>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</si>
  <si>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</si>
  <si>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</si>
  <si>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</si>
  <si>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</si>
  <si>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</si>
  <si>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</si>
  <si>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</si>
  <si>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</si>
  <si>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</si>
  <si>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</si>
  <si>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</si>
  <si>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</si>
  <si>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</si>
  <si>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</si>
  <si>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</si>
  <si>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</si>
  <si>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</si>
  <si>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</si>
  <si>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</si>
  <si>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</si>
  <si>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</si>
  <si>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</si>
  <si>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</si>
  <si>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</si>
  <si>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</si>
  <si>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</si>
  <si>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</si>
  <si>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</si>
  <si>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</si>
  <si>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</si>
  <si>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</si>
  <si>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</si>
  <si>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</si>
  <si>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</si>
  <si>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</si>
  <si>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</si>
  <si>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</si>
  <si>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</si>
  <si>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</si>
  <si>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</si>
  <si>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</si>
  <si>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</si>
  <si>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</si>
  <si>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</si>
  <si>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</si>
  <si>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</si>
  <si>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</si>
  <si>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</si>
  <si>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</si>
  <si>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</si>
  <si>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</si>
  <si>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</si>
  <si>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</si>
  <si>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</si>
  <si>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</si>
  <si>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</si>
  <si>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</si>
  <si>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</si>
  <si>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</si>
  <si>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</si>
  <si>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</si>
  <si>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</si>
  <si>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</si>
  <si>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</si>
  <si>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</si>
  <si>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</si>
  <si>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</si>
  <si>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</si>
  <si>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</si>
  <si>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</si>
  <si>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</si>
  <si>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</si>
  <si>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</si>
  <si>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</si>
  <si>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</si>
  <si>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</si>
  <si>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</si>
  <si>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</si>
  <si>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</si>
  <si>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</si>
  <si>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</si>
  <si>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</si>
  <si>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</si>
  <si>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</si>
  <si>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</si>
  <si>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</si>
  <si>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</si>
  <si>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</si>
  <si>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</si>
  <si>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</si>
  <si>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</si>
  <si>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</si>
  <si>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</si>
  <si>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</si>
  <si>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</si>
  <si>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</si>
  <si>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</si>
  <si>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</si>
  <si>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</si>
  <si>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</si>
  <si>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</si>
  <si>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</si>
  <si>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F-044_사전안내가정통신문안내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</si>
  <si>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</si>
  <si>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</si>
  <si>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</si>
  <si>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</si>
  <si>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</si>
  <si>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</si>
  <si>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</si>
  <si>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</si>
  <si>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</si>
  <si>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</si>
  <si>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</si>
  <si>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</si>
  <si>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</si>
  <si>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</si>
  <si>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</si>
  <si>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</si>
  <si>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</si>
  <si>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</si>
  <si>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</si>
  <si>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</si>
  <si>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</si>
  <si>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</si>
  <si>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</si>
  <si>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</si>
  <si>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</si>
  <si>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</si>
  <si>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</si>
  <si>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</si>
  <si>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</si>
  <si>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</si>
  <si>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</si>
  <si>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</si>
  <si>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</si>
  <si>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</si>
  <si>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</si>
  <si>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</si>
  <si>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</si>
  <si>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</si>
  <si>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</si>
  <si>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</si>
  <si>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</si>
  <si>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</si>
  <si>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</si>
  <si>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</si>
  <si>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</si>
  <si>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</si>
  <si>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</si>
  <si>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</si>
  <si>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</si>
  <si>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</si>
  <si>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</si>
  <si>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</si>
  <si>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</si>
  <si>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</si>
  <si>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</si>
  <si>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</si>
  <si>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</si>
  <si>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</si>
  <si>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</si>
  <si>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</si>
  <si>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</si>
  <si>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</si>
  <si>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</si>
  <si>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</si>
  <si>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</si>
  <si>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</si>
  <si>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</si>
  <si>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</si>
  <si>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</si>
  <si>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</si>
  <si>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</si>
  <si>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</si>
  <si>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</si>
  <si>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</si>
  <si>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</si>
  <si>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</si>
  <si>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</si>
  <si>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</si>
  <si>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</si>
  <si>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</si>
  <si>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</si>
  <si>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</si>
  <si>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</si>
  <si>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</si>
  <si>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</si>
  <si>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</si>
  <si>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</si>
  <si>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</si>
  <si>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</si>
  <si>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</si>
  <si>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</si>
  <si>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</si>
  <si>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</si>
  <si>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</si>
  <si>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</si>
  <si>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</si>
  <si>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</si>
  <si>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</si>
  <si>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</si>
  <si>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</si>
  <si>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</si>
  <si>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</si>
  <si>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</si>
  <si>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</si>
  <si>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</si>
  <si>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</si>
  <si>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</si>
  <si>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</si>
  <si>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</si>
  <si>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</si>
  <si>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</si>
  <si>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</si>
  <si>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</si>
  <si>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</si>
  <si>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</si>
  <si>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</si>
  <si>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</si>
  <si>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</si>
  <si>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</si>
  <si>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</si>
  <si>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</si>
  <si>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</si>
  <si>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</si>
  <si>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</si>
  <si>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</si>
  <si>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</si>
  <si>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</si>
  <si>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</si>
  <si>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</si>
  <si>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</si>
  <si>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</si>
  <si>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</si>
  <si>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</si>
  <si>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</si>
  <si>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</si>
  <si>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</si>
  <si>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</si>
  <si>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</si>
  <si>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</si>
  <si>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</si>
  <si>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</si>
  <si>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</si>
  <si>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</si>
  <si>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</si>
  <si>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</si>
  <si>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</si>
  <si>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</si>
  <si>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</si>
  <si>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</si>
  <si>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</si>
  <si>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</si>
  <si>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</si>
  <si>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</si>
  <si>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</si>
  <si>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</si>
  <si>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</si>
  <si>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</si>
  <si>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</si>
  <si>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</si>
  <si>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</si>
  <si>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</si>
  <si>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</si>
  <si>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</si>
  <si>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</si>
  <si>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</si>
  <si>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</si>
  <si>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</si>
  <si>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</si>
  <si>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</si>
  <si>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</si>
  <si>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</si>
  <si>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</si>
  <si>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</si>
  <si>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</si>
  <si>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</si>
  <si>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</si>
  <si>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</si>
  <si>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</si>
  <si>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</si>
  <si>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</si>
  <si>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</si>
  <si>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</si>
  <si>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</si>
  <si>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</si>
  <si>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</si>
  <si>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</si>
  <si>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</si>
  <si>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</si>
  <si>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</si>
  <si>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</si>
  <si>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</si>
  <si>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</si>
  <si>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</si>
  <si>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</si>
  <si>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</si>
  <si>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</si>
  <si>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</si>
  <si>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</si>
  <si>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</si>
  <si>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</si>
  <si>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</si>
  <si>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</si>
  <si>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</si>
  <si>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</si>
  <si>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</si>
  <si>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</si>
  <si>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</si>
  <si>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</si>
  <si>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</si>
  <si>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</si>
  <si>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</si>
  <si>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</si>
  <si>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</si>
  <si>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</si>
  <si>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</si>
  <si>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</si>
  <si>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</si>
  <si>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</si>
  <si>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</si>
  <si>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</si>
  <si>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</si>
  <si>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</si>
  <si>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</si>
  <si>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</si>
  <si>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</si>
  <si>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</si>
  <si>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</si>
  <si>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</si>
  <si>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</si>
  <si>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</si>
  <si>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</si>
  <si>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</si>
  <si>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</si>
  <si>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</si>
  <si>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</si>
  <si>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</si>
  <si>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</si>
  <si>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</si>
  <si>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</si>
  <si>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</si>
  <si>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</si>
  <si>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</si>
  <si>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</si>
  <si>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</si>
  <si>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</si>
  <si>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</si>
  <si>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</si>
  <si>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</si>
  <si>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</si>
  <si>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</si>
  <si>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</si>
  <si>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</si>
  <si>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</si>
  <si>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</si>
  <si>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</si>
  <si>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</si>
  <si>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</si>
  <si>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</si>
  <si>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</si>
  <si>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</si>
  <si>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</si>
  <si>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</si>
  <si>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</si>
  <si>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</si>
  <si>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</si>
  <si>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</si>
  <si>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</si>
  <si>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</si>
  <si>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</si>
  <si>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</si>
  <si>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</si>
  <si>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</si>
  <si>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</si>
  <si>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</si>
  <si>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</si>
  <si>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</si>
  <si>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</si>
  <si>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</si>
  <si>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</si>
  <si>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</si>
  <si>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</si>
  <si>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</si>
  <si>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</si>
  <si>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</si>
  <si>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</si>
  <si>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</si>
  <si>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</si>
  <si>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</si>
  <si>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</si>
  <si>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</si>
  <si>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</si>
  <si>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</si>
  <si>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</si>
  <si>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</si>
  <si>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</si>
  <si>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</si>
  <si>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</si>
  <si>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</si>
  <si>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</si>
  <si>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</si>
  <si>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</si>
  <si>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</si>
  <si>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</si>
  <si>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</si>
  <si>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</si>
  <si>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</si>
  <si>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</si>
  <si>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</si>
  <si>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</si>
  <si>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</si>
  <si>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</si>
  <si>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</si>
  <si>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</si>
  <si>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</si>
  <si>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</si>
  <si>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</si>
  <si>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</si>
  <si>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</si>
  <si>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</si>
  <si>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</si>
  <si>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</si>
  <si>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</si>
  <si>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</si>
  <si>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</si>
  <si>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</si>
  <si>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</si>
  <si>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</si>
  <si>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</si>
  <si>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</si>
  <si>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</si>
  <si>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</si>
  <si>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</si>
  <si>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</si>
  <si>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</si>
  <si>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</si>
  <si>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</si>
  <si>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</si>
  <si>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</si>
  <si>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</si>
  <si>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</si>
  <si>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</si>
  <si>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</si>
  <si>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</si>
  <si>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</si>
  <si>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</si>
  <si>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</si>
  <si>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</si>
  <si>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</si>
  <si>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</si>
  <si>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</si>
  <si>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</si>
  <si>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</si>
  <si>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</si>
  <si>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</si>
  <si>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</si>
  <si>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</si>
  <si>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</si>
  <si>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</si>
  <si>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</si>
  <si>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</si>
  <si>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</si>
  <si>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</si>
  <si>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</si>
  <si>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</si>
  <si>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</si>
  <si>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</si>
  <si>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</si>
  <si>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</si>
  <si>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</si>
  <si>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</si>
  <si>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</si>
  <si>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</si>
  <si>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</si>
  <si>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</si>
  <si>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</si>
  <si>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</si>
  <si>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</si>
  <si>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</si>
  <si>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</si>
  <si>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</si>
  <si>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</si>
  <si>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</si>
  <si>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</si>
  <si>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</si>
  <si>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</si>
  <si>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</si>
  <si>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</si>
  <si>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</si>
  <si>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</si>
  <si>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</si>
  <si>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</si>
  <si>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73쪽 [17] 대조. 학교·학년도 공통값만 반영하며 학생·학부모 개인정보는 입력·저장·출력하지 않음</t>
  </si>
  <si>
    <t>신입생 교복구매 사전 안내 가정통신문 발송</t>
  </si>
  <si>
    <t>내부결재(사업부서)</t>
  </si>
  <si>
    <t>1. 관련: 전북특별자치도교육청 학교안전과-0000(20○○.) 학교주관공동구매 요령</t>
  </si>
  <si>
    <t>2. 상급학교 진학 이전에 교복 구매에 대한 사전 안내를 실시하기 위하여 붙임과 같이 가정통신문을 발송하고자 합니다.</t>
  </si>
  <si>
    <t>가. 대상:</t>
  </si>
  <si>
    <t>나. 내용:</t>
  </si>
  <si>
    <t>붙임 교복구매 사전 안내 가정통신문 1부. 끝.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</si>
  <si>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</si>
  <si>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</si>
  <si>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</si>
  <si>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</si>
  <si>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</si>
  <si>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</si>
  <si>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</si>
  <si>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</si>
  <si>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</si>
  <si>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</si>
  <si>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</si>
  <si>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</si>
  <si>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</si>
  <si>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</si>
  <si>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</si>
  <si>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</si>
  <si>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</si>
  <si>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</si>
  <si>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</si>
  <si>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</si>
  <si>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</si>
  <si>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</si>
  <si>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</si>
  <si>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</si>
  <si>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</si>
  <si>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</si>
  <si>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</si>
  <si>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</si>
  <si>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</si>
  <si>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</si>
  <si>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</si>
  <si>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</si>
  <si>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</si>
  <si>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</si>
  <si>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</si>
  <si>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</si>
  <si>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</si>
  <si>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</si>
  <si>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</si>
  <si>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</si>
  <si>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</si>
  <si>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</si>
  <si>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</si>
  <si>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</si>
  <si>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</si>
  <si>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</si>
  <si>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</si>
  <si>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</si>
  <si>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</si>
  <si>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</si>
  <si>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</si>
  <si>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</si>
  <si>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</si>
  <si>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</si>
  <si>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</si>
  <si>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</si>
  <si>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</si>
  <si>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</si>
  <si>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</si>
  <si>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</si>
  <si>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</si>
  <si>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</si>
  <si>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</si>
  <si>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</si>
  <si>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</si>
  <si>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</si>
  <si>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t>
  </si>
  <si>
    <t>3. 업무상 취득한 비밀을 준수하고 보안관계 규정 및 지침을 성실히 수행하겠습니다.</t>
  </si>
  <si>
    <t>4. 평가와 관련하여 알게 된 업무상 비밀을 타인에게 누설하지 않겠으며, 업무상 취득한 비밀을 누설할 때에는 관계법규에 따라 처벌을 받는 것에 이의를 제기하지 않겠습니다.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</si>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</sst>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3C4F432-50A0-4C0E-92F7-A985C4EA9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4668546-2767-4B47-BECD-177B540F8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EEA00EC-5121-4737-9D1E-3C2FF9357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8E570192-1F63-4A98-9F35-AE8EFB131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38913" name="btn인쇄미리보기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7CB15C92-9B66-441E-ADC2-F667F8C26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38914" name="btnPDF저장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E50D5400-F1CC-4236-85EC-0B2AC9821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48129" name="btn초기화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24A4A11-E801-48AC-9707-784BAA84A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48130" name="btn저장하기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4F6FB826-E8ED-4DC1-A453-93DC1F37D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48131" name="btn수정하기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F9333A96-7C0A-46A3-8FED-5DB99CBF2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48132" name="btn불러오기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C8698E0E-4B77-4BC8-BBBA-A140B06A3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479C-CC47-4941-9889-4243D202C0B6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1123</v>
      </c>
    </row>
    <row r="2" spans="1:5" ht="42" customHeight="1" x14ac:dyDescent="0.4">
      <c r="A2" s="71" t="s">
        <v>1124</v>
      </c>
      <c r="B2" s="71"/>
      <c r="C2" s="71"/>
      <c r="D2" s="71"/>
      <c r="E2" s="71"/>
    </row>
    <row r="4" spans="1:5" x14ac:dyDescent="0.4">
      <c r="A4" s="62" t="s">
        <v>1125</v>
      </c>
      <c r="B4" s="62" t="s">
        <v>1126</v>
      </c>
      <c r="C4" s="62" t="s">
        <v>1127</v>
      </c>
    </row>
    <row r="5" spans="1:5" x14ac:dyDescent="0.4">
      <c r="A5" s="68" t="s">
        <v>1128</v>
      </c>
      <c r="B5" s="70"/>
      <c r="C5" s="69" t="s">
        <v>1131</v>
      </c>
    </row>
    <row r="6" spans="1:5" x14ac:dyDescent="0.4">
      <c r="A6" s="68" t="s">
        <v>1129</v>
      </c>
      <c r="B6" s="70"/>
      <c r="C6" s="69" t="s">
        <v>1132</v>
      </c>
    </row>
    <row r="7" spans="1:5" x14ac:dyDescent="0.4">
      <c r="A7" s="68" t="s">
        <v>1130</v>
      </c>
      <c r="B7" s="68" t="str">
        <f>IF(AND(B5="예",B6="예"),"2단계 입찰(규격·가격 동시)","")</f>
        <v/>
      </c>
      <c r="C7" s="69" t="s">
        <v>1133</v>
      </c>
    </row>
    <row r="9" spans="1:5" x14ac:dyDescent="0.4">
      <c r="A9" s="3" t="s">
        <v>1134</v>
      </c>
    </row>
    <row r="10" spans="1:5" ht="36" customHeight="1" x14ac:dyDescent="0.4">
      <c r="A10" s="71" t="s">
        <v>1135</v>
      </c>
      <c r="B10" s="71"/>
      <c r="C10" s="71"/>
      <c r="D10" s="71"/>
      <c r="E10" s="7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813A9F0A-C72E-4341-AD7F-F82FE977BF24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E0309-DB57-4025-B1C1-53B1FC2B110B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1092</v>
      </c>
    </row>
    <row r="2" spans="1:4" x14ac:dyDescent="0.4">
      <c r="A2" t="s">
        <v>1093</v>
      </c>
    </row>
    <row r="4" spans="1:4" x14ac:dyDescent="0.4">
      <c r="A4" s="17" t="s">
        <v>1094</v>
      </c>
      <c r="B4" s="17" t="s">
        <v>1095</v>
      </c>
      <c r="C4" s="17" t="s">
        <v>1096</v>
      </c>
      <c r="D4" s="17" t="s">
        <v>1097</v>
      </c>
    </row>
    <row r="5" spans="1:4" x14ac:dyDescent="0.4">
      <c r="A5" s="67" t="s">
        <v>1098</v>
      </c>
      <c r="B5" s="69" t="s">
        <v>1099</v>
      </c>
      <c r="C5" s="69" t="s">
        <v>1100</v>
      </c>
      <c r="D5" s="67" t="s">
        <v>126</v>
      </c>
    </row>
    <row r="6" spans="1:4" x14ac:dyDescent="0.4">
      <c r="A6" s="67" t="s">
        <v>1101</v>
      </c>
      <c r="B6" s="69" t="s">
        <v>1102</v>
      </c>
      <c r="C6" s="69" t="s">
        <v>143</v>
      </c>
      <c r="D6" s="67" t="s">
        <v>143</v>
      </c>
    </row>
    <row r="7" spans="1:4" x14ac:dyDescent="0.4">
      <c r="A7" s="67" t="s">
        <v>1103</v>
      </c>
      <c r="B7" s="69" t="s">
        <v>1104</v>
      </c>
      <c r="C7" s="69" t="s">
        <v>1105</v>
      </c>
      <c r="D7" s="67" t="s">
        <v>146</v>
      </c>
    </row>
    <row r="8" spans="1:4" x14ac:dyDescent="0.4">
      <c r="A8" s="67" t="s">
        <v>1106</v>
      </c>
      <c r="B8" s="69" t="s">
        <v>1107</v>
      </c>
      <c r="C8" s="69" t="s">
        <v>1108</v>
      </c>
      <c r="D8" s="67" t="s">
        <v>157</v>
      </c>
    </row>
    <row r="9" spans="1:4" x14ac:dyDescent="0.4">
      <c r="A9" s="67" t="s">
        <v>1109</v>
      </c>
      <c r="B9" s="69" t="s">
        <v>1110</v>
      </c>
      <c r="C9" s="69" t="s">
        <v>1111</v>
      </c>
      <c r="D9" s="67" t="s">
        <v>175</v>
      </c>
    </row>
    <row r="10" spans="1:4" x14ac:dyDescent="0.4">
      <c r="A10" s="67" t="s">
        <v>1112</v>
      </c>
      <c r="B10" s="69" t="s">
        <v>1113</v>
      </c>
      <c r="C10" s="69" t="s">
        <v>1114</v>
      </c>
      <c r="D10" s="67" t="s">
        <v>165</v>
      </c>
    </row>
    <row r="11" spans="1:4" x14ac:dyDescent="0.4">
      <c r="A11" s="67" t="s">
        <v>1115</v>
      </c>
      <c r="B11" s="69" t="s">
        <v>1116</v>
      </c>
      <c r="C11" s="69" t="s">
        <v>1117</v>
      </c>
      <c r="D11" s="67" t="s">
        <v>240</v>
      </c>
    </row>
    <row r="12" spans="1:4" x14ac:dyDescent="0.4">
      <c r="A12" s="67" t="s">
        <v>1118</v>
      </c>
      <c r="B12" s="69" t="s">
        <v>1119</v>
      </c>
      <c r="C12" s="69" t="s">
        <v>247</v>
      </c>
      <c r="D12" s="67" t="s">
        <v>247</v>
      </c>
    </row>
    <row r="13" spans="1:4" x14ac:dyDescent="0.4">
      <c r="A13" s="67" t="s">
        <v>1120</v>
      </c>
      <c r="B13" s="69" t="s">
        <v>1121</v>
      </c>
      <c r="C13" s="69" t="s">
        <v>1122</v>
      </c>
      <c r="D13" s="67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AB6FD-9E92-483B-BB67-020E0481338F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1090</v>
      </c>
    </row>
    <row r="2" spans="1:6" x14ac:dyDescent="0.4">
      <c r="A2" t="s">
        <v>1091</v>
      </c>
    </row>
    <row r="3" spans="1:6" x14ac:dyDescent="0.4">
      <c r="A3" t="s">
        <v>87</v>
      </c>
      <c r="B3" s="9"/>
      <c r="C3" t="s">
        <v>724</v>
      </c>
      <c r="D3" s="9"/>
      <c r="E3" t="s">
        <v>725</v>
      </c>
      <c r="F3" s="9"/>
    </row>
    <row r="6" spans="1:6" x14ac:dyDescent="0.4">
      <c r="A6" s="62" t="s">
        <v>665</v>
      </c>
      <c r="B6" s="62" t="s">
        <v>724</v>
      </c>
      <c r="C6" s="62" t="s">
        <v>725</v>
      </c>
      <c r="D6" s="62" t="s">
        <v>87</v>
      </c>
      <c r="E6" s="62" t="s">
        <v>291</v>
      </c>
      <c r="F6" s="62" t="s">
        <v>366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136D1-C11B-44F7-99A2-81D38A4276DC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665</v>
      </c>
      <c r="B1" s="3" t="s">
        <v>724</v>
      </c>
      <c r="C1" s="3" t="s">
        <v>725</v>
      </c>
      <c r="D1" s="3" t="s">
        <v>726</v>
      </c>
      <c r="E1" s="3" t="s">
        <v>87</v>
      </c>
      <c r="F1" s="3" t="s">
        <v>291</v>
      </c>
      <c r="G1" s="3" t="s">
        <v>366</v>
      </c>
    </row>
    <row r="2" spans="1:7" x14ac:dyDescent="0.4">
      <c r="A2">
        <v>808</v>
      </c>
      <c r="B2" t="s">
        <v>727</v>
      </c>
      <c r="C2" t="s">
        <v>728</v>
      </c>
      <c r="D2" t="s">
        <v>729</v>
      </c>
      <c r="E2" t="s">
        <v>730</v>
      </c>
      <c r="F2" t="s">
        <v>731</v>
      </c>
      <c r="G2" t="s">
        <v>732</v>
      </c>
    </row>
    <row r="3" spans="1:7" x14ac:dyDescent="0.4">
      <c r="A3">
        <v>807</v>
      </c>
      <c r="B3" t="s">
        <v>727</v>
      </c>
      <c r="C3" t="s">
        <v>733</v>
      </c>
      <c r="D3" t="s">
        <v>734</v>
      </c>
      <c r="E3" t="s">
        <v>735</v>
      </c>
      <c r="F3" t="s">
        <v>736</v>
      </c>
      <c r="G3" t="s">
        <v>737</v>
      </c>
    </row>
    <row r="4" spans="1:7" x14ac:dyDescent="0.4">
      <c r="A4">
        <v>806</v>
      </c>
      <c r="B4" t="s">
        <v>727</v>
      </c>
      <c r="C4" t="s">
        <v>728</v>
      </c>
      <c r="D4" t="s">
        <v>734</v>
      </c>
      <c r="E4" t="s">
        <v>738</v>
      </c>
      <c r="F4" t="s">
        <v>739</v>
      </c>
      <c r="G4" t="s">
        <v>740</v>
      </c>
    </row>
    <row r="5" spans="1:7" x14ac:dyDescent="0.4">
      <c r="A5">
        <v>805</v>
      </c>
      <c r="B5" t="s">
        <v>727</v>
      </c>
      <c r="C5" t="s">
        <v>728</v>
      </c>
      <c r="D5" t="s">
        <v>729</v>
      </c>
      <c r="E5" t="s">
        <v>741</v>
      </c>
      <c r="F5" t="s">
        <v>742</v>
      </c>
      <c r="G5" t="s">
        <v>743</v>
      </c>
    </row>
    <row r="6" spans="1:7" x14ac:dyDescent="0.4">
      <c r="A6">
        <v>804</v>
      </c>
      <c r="B6" t="s">
        <v>727</v>
      </c>
      <c r="C6" t="s">
        <v>728</v>
      </c>
      <c r="D6" t="s">
        <v>729</v>
      </c>
      <c r="E6" t="s">
        <v>744</v>
      </c>
      <c r="F6" t="s">
        <v>745</v>
      </c>
      <c r="G6" t="s">
        <v>746</v>
      </c>
    </row>
    <row r="7" spans="1:7" x14ac:dyDescent="0.4">
      <c r="A7">
        <v>803</v>
      </c>
      <c r="B7" t="s">
        <v>727</v>
      </c>
      <c r="C7" t="s">
        <v>733</v>
      </c>
      <c r="D7" t="s">
        <v>729</v>
      </c>
      <c r="E7" t="s">
        <v>747</v>
      </c>
      <c r="F7" t="s">
        <v>745</v>
      </c>
      <c r="G7" t="s">
        <v>748</v>
      </c>
    </row>
    <row r="8" spans="1:7" x14ac:dyDescent="0.4">
      <c r="A8">
        <v>802</v>
      </c>
      <c r="B8" t="s">
        <v>727</v>
      </c>
      <c r="C8" t="s">
        <v>728</v>
      </c>
      <c r="D8" t="s">
        <v>729</v>
      </c>
      <c r="E8" t="s">
        <v>749</v>
      </c>
      <c r="F8" t="s">
        <v>750</v>
      </c>
      <c r="G8" t="s">
        <v>751</v>
      </c>
    </row>
    <row r="9" spans="1:7" x14ac:dyDescent="0.4">
      <c r="A9">
        <v>801</v>
      </c>
      <c r="B9" t="s">
        <v>727</v>
      </c>
      <c r="C9" t="s">
        <v>728</v>
      </c>
      <c r="D9" t="s">
        <v>729</v>
      </c>
      <c r="E9" t="s">
        <v>752</v>
      </c>
      <c r="F9" t="s">
        <v>753</v>
      </c>
      <c r="G9" t="s">
        <v>754</v>
      </c>
    </row>
    <row r="10" spans="1:7" x14ac:dyDescent="0.4">
      <c r="A10">
        <v>800</v>
      </c>
      <c r="B10" t="s">
        <v>727</v>
      </c>
      <c r="C10" t="s">
        <v>728</v>
      </c>
      <c r="D10" t="s">
        <v>734</v>
      </c>
      <c r="E10" t="s">
        <v>755</v>
      </c>
      <c r="F10" t="s">
        <v>756</v>
      </c>
      <c r="G10" t="s">
        <v>757</v>
      </c>
    </row>
    <row r="11" spans="1:7" x14ac:dyDescent="0.4">
      <c r="A11">
        <v>799</v>
      </c>
      <c r="B11" t="s">
        <v>727</v>
      </c>
      <c r="C11" t="s">
        <v>733</v>
      </c>
      <c r="D11" t="s">
        <v>734</v>
      </c>
      <c r="E11" t="s">
        <v>758</v>
      </c>
      <c r="F11" t="s">
        <v>759</v>
      </c>
      <c r="G11" t="s">
        <v>760</v>
      </c>
    </row>
    <row r="12" spans="1:7" x14ac:dyDescent="0.4">
      <c r="A12">
        <v>798</v>
      </c>
      <c r="B12" t="s">
        <v>727</v>
      </c>
      <c r="C12" t="s">
        <v>728</v>
      </c>
      <c r="D12" t="s">
        <v>761</v>
      </c>
      <c r="E12" t="s">
        <v>762</v>
      </c>
      <c r="F12" t="s">
        <v>763</v>
      </c>
      <c r="G12" t="s">
        <v>764</v>
      </c>
    </row>
    <row r="13" spans="1:7" x14ac:dyDescent="0.4">
      <c r="A13">
        <v>797</v>
      </c>
      <c r="B13" t="s">
        <v>727</v>
      </c>
      <c r="C13" t="s">
        <v>728</v>
      </c>
      <c r="D13" t="s">
        <v>729</v>
      </c>
      <c r="E13" t="s">
        <v>765</v>
      </c>
      <c r="F13" t="s">
        <v>766</v>
      </c>
      <c r="G13" t="s">
        <v>767</v>
      </c>
    </row>
    <row r="14" spans="1:7" x14ac:dyDescent="0.4">
      <c r="A14">
        <v>796</v>
      </c>
      <c r="B14" t="s">
        <v>727</v>
      </c>
      <c r="C14" t="s">
        <v>733</v>
      </c>
      <c r="D14" t="s">
        <v>729</v>
      </c>
      <c r="E14" t="s">
        <v>768</v>
      </c>
      <c r="F14" t="s">
        <v>750</v>
      </c>
      <c r="G14" t="s">
        <v>769</v>
      </c>
    </row>
    <row r="15" spans="1:7" x14ac:dyDescent="0.4">
      <c r="A15">
        <v>795</v>
      </c>
      <c r="B15" t="s">
        <v>727</v>
      </c>
      <c r="C15" t="s">
        <v>728</v>
      </c>
      <c r="D15" t="s">
        <v>729</v>
      </c>
      <c r="E15" t="s">
        <v>770</v>
      </c>
      <c r="F15" t="s">
        <v>771</v>
      </c>
      <c r="G15" t="s">
        <v>772</v>
      </c>
    </row>
    <row r="16" spans="1:7" x14ac:dyDescent="0.4">
      <c r="A16">
        <v>794</v>
      </c>
      <c r="B16" t="s">
        <v>727</v>
      </c>
      <c r="C16" t="s">
        <v>733</v>
      </c>
      <c r="D16" t="s">
        <v>734</v>
      </c>
      <c r="E16" t="s">
        <v>773</v>
      </c>
      <c r="F16" t="s">
        <v>774</v>
      </c>
      <c r="G16" t="s">
        <v>775</v>
      </c>
    </row>
    <row r="17" spans="1:7" x14ac:dyDescent="0.4">
      <c r="A17">
        <v>793</v>
      </c>
      <c r="B17" t="s">
        <v>727</v>
      </c>
      <c r="C17" t="s">
        <v>728</v>
      </c>
      <c r="D17" t="s">
        <v>734</v>
      </c>
      <c r="E17" t="s">
        <v>776</v>
      </c>
      <c r="F17" t="s">
        <v>777</v>
      </c>
      <c r="G17" t="s">
        <v>778</v>
      </c>
    </row>
    <row r="18" spans="1:7" x14ac:dyDescent="0.4">
      <c r="A18">
        <v>792</v>
      </c>
      <c r="B18" t="s">
        <v>727</v>
      </c>
      <c r="C18" t="s">
        <v>733</v>
      </c>
      <c r="D18" t="s">
        <v>734</v>
      </c>
      <c r="E18" t="s">
        <v>779</v>
      </c>
      <c r="F18" t="s">
        <v>780</v>
      </c>
      <c r="G18" t="s">
        <v>781</v>
      </c>
    </row>
    <row r="19" spans="1:7" x14ac:dyDescent="0.4">
      <c r="A19">
        <v>791</v>
      </c>
      <c r="B19" t="s">
        <v>727</v>
      </c>
      <c r="C19" t="s">
        <v>728</v>
      </c>
      <c r="D19" t="s">
        <v>734</v>
      </c>
      <c r="E19" t="s">
        <v>782</v>
      </c>
      <c r="F19" t="s">
        <v>783</v>
      </c>
      <c r="G19" t="s">
        <v>784</v>
      </c>
    </row>
    <row r="20" spans="1:7" x14ac:dyDescent="0.4">
      <c r="A20">
        <v>790</v>
      </c>
      <c r="B20" t="s">
        <v>727</v>
      </c>
      <c r="C20" t="s">
        <v>785</v>
      </c>
      <c r="D20" t="s">
        <v>761</v>
      </c>
      <c r="E20" t="s">
        <v>786</v>
      </c>
      <c r="F20" t="s">
        <v>787</v>
      </c>
      <c r="G20" t="s">
        <v>788</v>
      </c>
    </row>
    <row r="21" spans="1:7" x14ac:dyDescent="0.4">
      <c r="A21">
        <v>789</v>
      </c>
      <c r="B21" t="s">
        <v>727</v>
      </c>
      <c r="C21" t="s">
        <v>728</v>
      </c>
      <c r="D21" t="s">
        <v>729</v>
      </c>
      <c r="E21" t="s">
        <v>789</v>
      </c>
      <c r="F21" t="s">
        <v>790</v>
      </c>
      <c r="G21" t="s">
        <v>791</v>
      </c>
    </row>
    <row r="22" spans="1:7" x14ac:dyDescent="0.4">
      <c r="A22">
        <v>788</v>
      </c>
      <c r="B22" t="s">
        <v>727</v>
      </c>
      <c r="C22" t="s">
        <v>733</v>
      </c>
      <c r="D22" t="s">
        <v>729</v>
      </c>
      <c r="E22" t="s">
        <v>792</v>
      </c>
      <c r="F22" t="s">
        <v>790</v>
      </c>
      <c r="G22" t="s">
        <v>793</v>
      </c>
    </row>
    <row r="23" spans="1:7" x14ac:dyDescent="0.4">
      <c r="A23">
        <v>787</v>
      </c>
      <c r="B23" t="s">
        <v>727</v>
      </c>
      <c r="C23" t="s">
        <v>785</v>
      </c>
      <c r="D23" t="s">
        <v>734</v>
      </c>
      <c r="E23" t="s">
        <v>794</v>
      </c>
      <c r="F23" t="s">
        <v>795</v>
      </c>
      <c r="G23" t="s">
        <v>796</v>
      </c>
    </row>
    <row r="24" spans="1:7" x14ac:dyDescent="0.4">
      <c r="A24">
        <v>786</v>
      </c>
      <c r="B24" t="s">
        <v>727</v>
      </c>
      <c r="C24" t="s">
        <v>785</v>
      </c>
      <c r="D24" t="s">
        <v>734</v>
      </c>
      <c r="E24" t="s">
        <v>797</v>
      </c>
      <c r="F24" t="s">
        <v>798</v>
      </c>
      <c r="G24" t="s">
        <v>799</v>
      </c>
    </row>
    <row r="25" spans="1:7" x14ac:dyDescent="0.4">
      <c r="A25">
        <v>785</v>
      </c>
      <c r="B25" t="s">
        <v>727</v>
      </c>
      <c r="C25" t="s">
        <v>733</v>
      </c>
      <c r="D25" t="s">
        <v>734</v>
      </c>
      <c r="E25" t="s">
        <v>800</v>
      </c>
      <c r="F25" t="s">
        <v>801</v>
      </c>
      <c r="G25" t="s">
        <v>802</v>
      </c>
    </row>
    <row r="26" spans="1:7" x14ac:dyDescent="0.4">
      <c r="A26">
        <v>784</v>
      </c>
      <c r="B26" t="s">
        <v>727</v>
      </c>
      <c r="C26" t="s">
        <v>785</v>
      </c>
      <c r="D26" t="s">
        <v>734</v>
      </c>
      <c r="E26" t="s">
        <v>803</v>
      </c>
      <c r="F26" t="s">
        <v>804</v>
      </c>
      <c r="G26" t="s">
        <v>805</v>
      </c>
    </row>
    <row r="27" spans="1:7" x14ac:dyDescent="0.4">
      <c r="A27">
        <v>783</v>
      </c>
      <c r="B27" t="s">
        <v>727</v>
      </c>
      <c r="C27" t="s">
        <v>728</v>
      </c>
      <c r="D27" t="s">
        <v>729</v>
      </c>
      <c r="E27" t="s">
        <v>806</v>
      </c>
      <c r="F27" t="s">
        <v>807</v>
      </c>
      <c r="G27" t="s">
        <v>808</v>
      </c>
    </row>
    <row r="28" spans="1:7" x14ac:dyDescent="0.4">
      <c r="A28">
        <v>782</v>
      </c>
      <c r="B28" t="s">
        <v>727</v>
      </c>
      <c r="C28" t="s">
        <v>733</v>
      </c>
      <c r="D28" t="s">
        <v>729</v>
      </c>
      <c r="E28" t="s">
        <v>809</v>
      </c>
      <c r="F28" t="s">
        <v>807</v>
      </c>
      <c r="G28" t="s">
        <v>810</v>
      </c>
    </row>
    <row r="29" spans="1:7" x14ac:dyDescent="0.4">
      <c r="A29">
        <v>781</v>
      </c>
      <c r="B29" t="s">
        <v>727</v>
      </c>
      <c r="C29" t="s">
        <v>733</v>
      </c>
      <c r="D29" t="s">
        <v>734</v>
      </c>
      <c r="E29" t="s">
        <v>811</v>
      </c>
      <c r="F29" t="s">
        <v>812</v>
      </c>
      <c r="G29" t="s">
        <v>813</v>
      </c>
    </row>
    <row r="30" spans="1:7" x14ac:dyDescent="0.4">
      <c r="A30">
        <v>780</v>
      </c>
      <c r="B30" t="s">
        <v>727</v>
      </c>
      <c r="C30" t="s">
        <v>785</v>
      </c>
      <c r="D30" t="s">
        <v>734</v>
      </c>
      <c r="E30" t="s">
        <v>814</v>
      </c>
      <c r="F30" t="s">
        <v>815</v>
      </c>
      <c r="G30" t="s">
        <v>816</v>
      </c>
    </row>
    <row r="31" spans="1:7" x14ac:dyDescent="0.4">
      <c r="A31">
        <v>779</v>
      </c>
      <c r="B31" t="s">
        <v>727</v>
      </c>
      <c r="C31" t="s">
        <v>785</v>
      </c>
      <c r="D31" t="s">
        <v>734</v>
      </c>
      <c r="E31" t="s">
        <v>817</v>
      </c>
      <c r="F31" t="s">
        <v>818</v>
      </c>
      <c r="G31" t="s">
        <v>819</v>
      </c>
    </row>
    <row r="32" spans="1:7" x14ac:dyDescent="0.4">
      <c r="A32">
        <v>778</v>
      </c>
      <c r="B32" t="s">
        <v>727</v>
      </c>
      <c r="C32" t="s">
        <v>785</v>
      </c>
      <c r="D32" t="s">
        <v>734</v>
      </c>
      <c r="E32" t="s">
        <v>820</v>
      </c>
      <c r="F32" t="s">
        <v>821</v>
      </c>
      <c r="G32" t="s">
        <v>822</v>
      </c>
    </row>
    <row r="33" spans="1:7" x14ac:dyDescent="0.4">
      <c r="A33">
        <v>777</v>
      </c>
      <c r="B33" t="s">
        <v>727</v>
      </c>
      <c r="C33" t="s">
        <v>728</v>
      </c>
      <c r="D33" t="s">
        <v>729</v>
      </c>
      <c r="E33" t="s">
        <v>823</v>
      </c>
      <c r="F33" t="s">
        <v>824</v>
      </c>
      <c r="G33" t="s">
        <v>825</v>
      </c>
    </row>
    <row r="34" spans="1:7" x14ac:dyDescent="0.4">
      <c r="A34">
        <v>776</v>
      </c>
      <c r="B34" t="s">
        <v>727</v>
      </c>
      <c r="C34" t="s">
        <v>733</v>
      </c>
      <c r="D34" t="s">
        <v>734</v>
      </c>
      <c r="E34" t="s">
        <v>826</v>
      </c>
      <c r="F34" t="s">
        <v>827</v>
      </c>
      <c r="G34" t="s">
        <v>828</v>
      </c>
    </row>
    <row r="35" spans="1:7" x14ac:dyDescent="0.4">
      <c r="A35">
        <v>775</v>
      </c>
      <c r="B35" t="s">
        <v>727</v>
      </c>
      <c r="C35" t="s">
        <v>785</v>
      </c>
      <c r="D35" t="s">
        <v>734</v>
      </c>
      <c r="E35" t="s">
        <v>829</v>
      </c>
      <c r="F35" t="s">
        <v>830</v>
      </c>
      <c r="G35" t="s">
        <v>831</v>
      </c>
    </row>
    <row r="36" spans="1:7" x14ac:dyDescent="0.4">
      <c r="A36">
        <v>774</v>
      </c>
      <c r="B36" t="s">
        <v>727</v>
      </c>
      <c r="C36" t="s">
        <v>733</v>
      </c>
      <c r="D36" t="s">
        <v>729</v>
      </c>
      <c r="E36" t="s">
        <v>832</v>
      </c>
      <c r="F36" t="s">
        <v>833</v>
      </c>
      <c r="G36" t="s">
        <v>834</v>
      </c>
    </row>
    <row r="37" spans="1:7" x14ac:dyDescent="0.4">
      <c r="A37">
        <v>773</v>
      </c>
      <c r="B37" t="s">
        <v>727</v>
      </c>
      <c r="C37" t="s">
        <v>785</v>
      </c>
      <c r="D37" t="s">
        <v>734</v>
      </c>
      <c r="E37" t="s">
        <v>835</v>
      </c>
      <c r="F37" t="s">
        <v>836</v>
      </c>
      <c r="G37" t="s">
        <v>837</v>
      </c>
    </row>
    <row r="38" spans="1:7" x14ac:dyDescent="0.4">
      <c r="A38">
        <v>772</v>
      </c>
      <c r="B38" t="s">
        <v>727</v>
      </c>
      <c r="C38" t="s">
        <v>785</v>
      </c>
      <c r="D38" t="s">
        <v>734</v>
      </c>
      <c r="E38" t="s">
        <v>838</v>
      </c>
      <c r="F38" t="s">
        <v>839</v>
      </c>
      <c r="G38" t="s">
        <v>840</v>
      </c>
    </row>
    <row r="39" spans="1:7" x14ac:dyDescent="0.4">
      <c r="A39">
        <v>771</v>
      </c>
      <c r="B39" t="s">
        <v>727</v>
      </c>
      <c r="C39" t="s">
        <v>785</v>
      </c>
      <c r="D39" t="s">
        <v>734</v>
      </c>
      <c r="E39" t="s">
        <v>841</v>
      </c>
      <c r="F39" t="s">
        <v>842</v>
      </c>
      <c r="G39" t="s">
        <v>843</v>
      </c>
    </row>
    <row r="40" spans="1:7" x14ac:dyDescent="0.4">
      <c r="A40">
        <v>770</v>
      </c>
      <c r="B40" t="s">
        <v>727</v>
      </c>
      <c r="C40" t="s">
        <v>733</v>
      </c>
      <c r="D40" t="s">
        <v>734</v>
      </c>
      <c r="E40" t="s">
        <v>844</v>
      </c>
      <c r="F40" t="s">
        <v>845</v>
      </c>
      <c r="G40" t="s">
        <v>846</v>
      </c>
    </row>
    <row r="41" spans="1:7" x14ac:dyDescent="0.4">
      <c r="A41">
        <v>769</v>
      </c>
      <c r="B41" t="s">
        <v>727</v>
      </c>
      <c r="C41" t="s">
        <v>785</v>
      </c>
      <c r="D41" t="s">
        <v>734</v>
      </c>
      <c r="E41" t="s">
        <v>847</v>
      </c>
      <c r="F41" t="s">
        <v>848</v>
      </c>
      <c r="G41" t="s">
        <v>849</v>
      </c>
    </row>
    <row r="42" spans="1:7" x14ac:dyDescent="0.4">
      <c r="A42">
        <v>768</v>
      </c>
      <c r="B42" t="s">
        <v>727</v>
      </c>
      <c r="C42" t="s">
        <v>733</v>
      </c>
      <c r="D42" t="s">
        <v>734</v>
      </c>
      <c r="E42" t="s">
        <v>850</v>
      </c>
      <c r="F42" t="s">
        <v>851</v>
      </c>
      <c r="G42" t="s">
        <v>852</v>
      </c>
    </row>
    <row r="43" spans="1:7" x14ac:dyDescent="0.4">
      <c r="A43">
        <v>767</v>
      </c>
      <c r="B43" t="s">
        <v>727</v>
      </c>
      <c r="C43" t="s">
        <v>785</v>
      </c>
      <c r="D43" t="s">
        <v>734</v>
      </c>
      <c r="E43" t="s">
        <v>853</v>
      </c>
      <c r="F43" t="s">
        <v>854</v>
      </c>
      <c r="G43" t="s">
        <v>855</v>
      </c>
    </row>
    <row r="44" spans="1:7" x14ac:dyDescent="0.4">
      <c r="A44">
        <v>766</v>
      </c>
      <c r="B44" t="s">
        <v>727</v>
      </c>
      <c r="C44" t="s">
        <v>785</v>
      </c>
      <c r="D44" t="s">
        <v>734</v>
      </c>
      <c r="E44" t="s">
        <v>856</v>
      </c>
      <c r="F44" t="s">
        <v>857</v>
      </c>
      <c r="G44" t="s">
        <v>858</v>
      </c>
    </row>
    <row r="45" spans="1:7" x14ac:dyDescent="0.4">
      <c r="A45">
        <v>765</v>
      </c>
      <c r="B45" t="s">
        <v>727</v>
      </c>
      <c r="C45" t="s">
        <v>785</v>
      </c>
      <c r="D45" t="s">
        <v>734</v>
      </c>
      <c r="E45" t="s">
        <v>859</v>
      </c>
      <c r="F45" t="s">
        <v>860</v>
      </c>
      <c r="G45" t="s">
        <v>861</v>
      </c>
    </row>
    <row r="46" spans="1:7" x14ac:dyDescent="0.4">
      <c r="A46">
        <v>764</v>
      </c>
      <c r="B46" t="s">
        <v>727</v>
      </c>
      <c r="C46" t="s">
        <v>785</v>
      </c>
      <c r="D46" t="s">
        <v>734</v>
      </c>
      <c r="E46" t="s">
        <v>862</v>
      </c>
      <c r="F46" t="s">
        <v>863</v>
      </c>
      <c r="G46" t="s">
        <v>864</v>
      </c>
    </row>
    <row r="47" spans="1:7" x14ac:dyDescent="0.4">
      <c r="A47">
        <v>763</v>
      </c>
      <c r="B47" t="s">
        <v>727</v>
      </c>
      <c r="C47" t="s">
        <v>785</v>
      </c>
      <c r="D47" t="s">
        <v>734</v>
      </c>
      <c r="E47" t="s">
        <v>865</v>
      </c>
      <c r="F47" t="s">
        <v>866</v>
      </c>
      <c r="G47" t="s">
        <v>867</v>
      </c>
    </row>
    <row r="48" spans="1:7" x14ac:dyDescent="0.4">
      <c r="A48">
        <v>762</v>
      </c>
      <c r="B48" t="s">
        <v>727</v>
      </c>
      <c r="C48" t="s">
        <v>785</v>
      </c>
      <c r="D48" t="s">
        <v>734</v>
      </c>
      <c r="E48" t="s">
        <v>868</v>
      </c>
      <c r="F48" t="s">
        <v>869</v>
      </c>
      <c r="G48" t="s">
        <v>870</v>
      </c>
    </row>
    <row r="49" spans="1:7" x14ac:dyDescent="0.4">
      <c r="A49">
        <v>761</v>
      </c>
      <c r="B49" t="s">
        <v>727</v>
      </c>
      <c r="C49" t="s">
        <v>785</v>
      </c>
      <c r="D49" t="s">
        <v>734</v>
      </c>
      <c r="E49" t="s">
        <v>871</v>
      </c>
      <c r="F49" t="s">
        <v>872</v>
      </c>
      <c r="G49" t="s">
        <v>873</v>
      </c>
    </row>
    <row r="50" spans="1:7" x14ac:dyDescent="0.4">
      <c r="A50">
        <v>760</v>
      </c>
      <c r="B50" t="s">
        <v>727</v>
      </c>
      <c r="C50" t="s">
        <v>785</v>
      </c>
      <c r="D50" t="s">
        <v>734</v>
      </c>
      <c r="E50" t="s">
        <v>874</v>
      </c>
      <c r="F50" t="s">
        <v>875</v>
      </c>
      <c r="G50" t="s">
        <v>876</v>
      </c>
    </row>
    <row r="51" spans="1:7" x14ac:dyDescent="0.4">
      <c r="A51">
        <v>759</v>
      </c>
      <c r="B51" t="s">
        <v>727</v>
      </c>
      <c r="C51" t="s">
        <v>785</v>
      </c>
      <c r="D51" t="s">
        <v>734</v>
      </c>
      <c r="E51" t="s">
        <v>877</v>
      </c>
      <c r="F51" t="s">
        <v>878</v>
      </c>
      <c r="G51" t="s">
        <v>879</v>
      </c>
    </row>
    <row r="52" spans="1:7" x14ac:dyDescent="0.4">
      <c r="A52">
        <v>758</v>
      </c>
      <c r="B52" t="s">
        <v>727</v>
      </c>
      <c r="C52" t="s">
        <v>785</v>
      </c>
      <c r="D52" t="s">
        <v>734</v>
      </c>
      <c r="E52" t="s">
        <v>880</v>
      </c>
      <c r="F52" t="s">
        <v>881</v>
      </c>
      <c r="G52" t="s">
        <v>882</v>
      </c>
    </row>
    <row r="53" spans="1:7" x14ac:dyDescent="0.4">
      <c r="A53">
        <v>757</v>
      </c>
      <c r="B53" t="s">
        <v>727</v>
      </c>
      <c r="C53" t="s">
        <v>728</v>
      </c>
      <c r="D53" t="s">
        <v>734</v>
      </c>
      <c r="E53" t="s">
        <v>883</v>
      </c>
      <c r="F53" t="s">
        <v>884</v>
      </c>
      <c r="G53" t="s">
        <v>885</v>
      </c>
    </row>
    <row r="54" spans="1:7" x14ac:dyDescent="0.4">
      <c r="A54">
        <v>756</v>
      </c>
      <c r="B54" t="s">
        <v>727</v>
      </c>
      <c r="C54" t="s">
        <v>886</v>
      </c>
      <c r="D54" t="s">
        <v>734</v>
      </c>
      <c r="E54" t="s">
        <v>887</v>
      </c>
      <c r="F54" t="s">
        <v>888</v>
      </c>
      <c r="G54" t="s">
        <v>889</v>
      </c>
    </row>
    <row r="55" spans="1:7" x14ac:dyDescent="0.4">
      <c r="A55">
        <v>755</v>
      </c>
      <c r="B55" t="s">
        <v>727</v>
      </c>
      <c r="C55" t="s">
        <v>886</v>
      </c>
      <c r="D55" t="s">
        <v>734</v>
      </c>
      <c r="E55" t="s">
        <v>890</v>
      </c>
      <c r="F55" t="s">
        <v>891</v>
      </c>
      <c r="G55" t="s">
        <v>892</v>
      </c>
    </row>
    <row r="56" spans="1:7" x14ac:dyDescent="0.4">
      <c r="A56">
        <v>754</v>
      </c>
      <c r="B56" t="s">
        <v>727</v>
      </c>
      <c r="C56" t="s">
        <v>785</v>
      </c>
      <c r="D56" t="s">
        <v>734</v>
      </c>
      <c r="E56" t="s">
        <v>893</v>
      </c>
      <c r="F56" t="s">
        <v>894</v>
      </c>
      <c r="G56" t="s">
        <v>895</v>
      </c>
    </row>
    <row r="57" spans="1:7" x14ac:dyDescent="0.4">
      <c r="A57">
        <v>753</v>
      </c>
      <c r="B57" t="s">
        <v>727</v>
      </c>
      <c r="C57" t="s">
        <v>728</v>
      </c>
      <c r="D57" t="s">
        <v>734</v>
      </c>
      <c r="E57" t="s">
        <v>896</v>
      </c>
      <c r="F57" t="s">
        <v>897</v>
      </c>
      <c r="G57" t="s">
        <v>898</v>
      </c>
    </row>
    <row r="58" spans="1:7" x14ac:dyDescent="0.4">
      <c r="A58">
        <v>752</v>
      </c>
      <c r="B58" t="s">
        <v>727</v>
      </c>
      <c r="C58" t="s">
        <v>733</v>
      </c>
      <c r="D58" t="s">
        <v>734</v>
      </c>
      <c r="E58" t="s">
        <v>899</v>
      </c>
      <c r="F58" t="s">
        <v>900</v>
      </c>
      <c r="G58" t="s">
        <v>901</v>
      </c>
    </row>
    <row r="59" spans="1:7" x14ac:dyDescent="0.4">
      <c r="A59">
        <v>751</v>
      </c>
      <c r="B59" t="s">
        <v>727</v>
      </c>
      <c r="C59" t="s">
        <v>785</v>
      </c>
      <c r="D59" t="s">
        <v>734</v>
      </c>
      <c r="E59" t="s">
        <v>902</v>
      </c>
      <c r="F59" t="s">
        <v>903</v>
      </c>
      <c r="G59" t="s">
        <v>904</v>
      </c>
    </row>
    <row r="60" spans="1:7" x14ac:dyDescent="0.4">
      <c r="A60">
        <v>750</v>
      </c>
      <c r="B60" t="s">
        <v>727</v>
      </c>
      <c r="C60" t="s">
        <v>785</v>
      </c>
      <c r="D60" t="s">
        <v>734</v>
      </c>
      <c r="E60" t="s">
        <v>905</v>
      </c>
      <c r="F60" t="s">
        <v>906</v>
      </c>
      <c r="G60" t="s">
        <v>907</v>
      </c>
    </row>
    <row r="61" spans="1:7" x14ac:dyDescent="0.4">
      <c r="A61">
        <v>749</v>
      </c>
      <c r="B61" t="s">
        <v>727</v>
      </c>
      <c r="C61" t="s">
        <v>733</v>
      </c>
      <c r="D61" t="s">
        <v>734</v>
      </c>
      <c r="E61" t="s">
        <v>908</v>
      </c>
      <c r="F61" t="s">
        <v>909</v>
      </c>
      <c r="G61" t="s">
        <v>910</v>
      </c>
    </row>
    <row r="62" spans="1:7" x14ac:dyDescent="0.4">
      <c r="A62">
        <v>748</v>
      </c>
      <c r="B62" t="s">
        <v>727</v>
      </c>
      <c r="C62" t="s">
        <v>785</v>
      </c>
      <c r="D62" t="s">
        <v>734</v>
      </c>
      <c r="E62" t="s">
        <v>911</v>
      </c>
      <c r="F62" t="s">
        <v>912</v>
      </c>
      <c r="G62" t="s">
        <v>913</v>
      </c>
    </row>
    <row r="63" spans="1:7" x14ac:dyDescent="0.4">
      <c r="A63">
        <v>747</v>
      </c>
      <c r="B63" t="s">
        <v>727</v>
      </c>
      <c r="C63" t="s">
        <v>785</v>
      </c>
      <c r="D63" t="s">
        <v>734</v>
      </c>
      <c r="E63" t="s">
        <v>914</v>
      </c>
      <c r="F63" t="s">
        <v>915</v>
      </c>
      <c r="G63" t="s">
        <v>916</v>
      </c>
    </row>
    <row r="64" spans="1:7" x14ac:dyDescent="0.4">
      <c r="A64">
        <v>746</v>
      </c>
      <c r="B64" t="s">
        <v>727</v>
      </c>
      <c r="C64" t="s">
        <v>785</v>
      </c>
      <c r="D64" t="s">
        <v>734</v>
      </c>
      <c r="E64" t="s">
        <v>917</v>
      </c>
      <c r="F64" t="s">
        <v>918</v>
      </c>
      <c r="G64" t="s">
        <v>919</v>
      </c>
    </row>
    <row r="65" spans="1:7" x14ac:dyDescent="0.4">
      <c r="A65">
        <v>745</v>
      </c>
      <c r="B65" t="s">
        <v>727</v>
      </c>
      <c r="C65" t="s">
        <v>733</v>
      </c>
      <c r="D65" t="s">
        <v>734</v>
      </c>
      <c r="E65" t="s">
        <v>920</v>
      </c>
      <c r="F65" t="s">
        <v>921</v>
      </c>
      <c r="G65" t="s">
        <v>922</v>
      </c>
    </row>
    <row r="66" spans="1:7" x14ac:dyDescent="0.4">
      <c r="A66">
        <v>744</v>
      </c>
      <c r="B66" t="s">
        <v>727</v>
      </c>
      <c r="C66" t="s">
        <v>785</v>
      </c>
      <c r="D66" t="s">
        <v>734</v>
      </c>
      <c r="E66" t="s">
        <v>923</v>
      </c>
      <c r="F66" t="s">
        <v>924</v>
      </c>
      <c r="G66" t="s">
        <v>925</v>
      </c>
    </row>
    <row r="67" spans="1:7" x14ac:dyDescent="0.4">
      <c r="A67">
        <v>743</v>
      </c>
      <c r="B67" t="s">
        <v>727</v>
      </c>
      <c r="C67" t="s">
        <v>926</v>
      </c>
      <c r="D67" t="s">
        <v>734</v>
      </c>
      <c r="E67" t="s">
        <v>927</v>
      </c>
      <c r="F67" t="s">
        <v>928</v>
      </c>
      <c r="G67" t="s">
        <v>929</v>
      </c>
    </row>
    <row r="68" spans="1:7" x14ac:dyDescent="0.4">
      <c r="A68">
        <v>742</v>
      </c>
      <c r="B68" t="s">
        <v>727</v>
      </c>
      <c r="C68" t="s">
        <v>728</v>
      </c>
      <c r="D68" t="s">
        <v>729</v>
      </c>
      <c r="E68" t="s">
        <v>930</v>
      </c>
      <c r="F68" t="s">
        <v>931</v>
      </c>
      <c r="G68" t="s">
        <v>932</v>
      </c>
    </row>
    <row r="69" spans="1:7" x14ac:dyDescent="0.4">
      <c r="A69">
        <v>741</v>
      </c>
      <c r="B69" t="s">
        <v>727</v>
      </c>
      <c r="C69" t="s">
        <v>733</v>
      </c>
      <c r="D69" t="s">
        <v>729</v>
      </c>
      <c r="E69" t="s">
        <v>933</v>
      </c>
      <c r="F69" t="s">
        <v>931</v>
      </c>
      <c r="G69" t="s">
        <v>934</v>
      </c>
    </row>
    <row r="70" spans="1:7" x14ac:dyDescent="0.4">
      <c r="A70">
        <v>740</v>
      </c>
      <c r="B70" t="s">
        <v>727</v>
      </c>
      <c r="C70" t="s">
        <v>886</v>
      </c>
      <c r="D70" t="s">
        <v>734</v>
      </c>
      <c r="E70" t="s">
        <v>935</v>
      </c>
      <c r="F70" t="s">
        <v>936</v>
      </c>
      <c r="G70" t="s">
        <v>937</v>
      </c>
    </row>
    <row r="71" spans="1:7" x14ac:dyDescent="0.4">
      <c r="A71">
        <v>739</v>
      </c>
      <c r="B71" t="s">
        <v>727</v>
      </c>
      <c r="C71" t="s">
        <v>728</v>
      </c>
      <c r="D71" t="s">
        <v>734</v>
      </c>
      <c r="E71" t="s">
        <v>938</v>
      </c>
      <c r="F71" t="s">
        <v>939</v>
      </c>
      <c r="G71" t="s">
        <v>940</v>
      </c>
    </row>
    <row r="72" spans="1:7" x14ac:dyDescent="0.4">
      <c r="A72">
        <v>738</v>
      </c>
      <c r="B72" t="s">
        <v>727</v>
      </c>
      <c r="C72" t="s">
        <v>733</v>
      </c>
      <c r="D72" t="s">
        <v>734</v>
      </c>
      <c r="E72" t="s">
        <v>941</v>
      </c>
      <c r="F72" t="s">
        <v>942</v>
      </c>
      <c r="G72" t="s">
        <v>943</v>
      </c>
    </row>
    <row r="73" spans="1:7" x14ac:dyDescent="0.4">
      <c r="A73">
        <v>737</v>
      </c>
      <c r="B73" t="s">
        <v>727</v>
      </c>
      <c r="C73" t="s">
        <v>785</v>
      </c>
      <c r="D73" t="s">
        <v>734</v>
      </c>
      <c r="E73" t="s">
        <v>944</v>
      </c>
      <c r="F73" t="s">
        <v>945</v>
      </c>
      <c r="G73" t="s">
        <v>946</v>
      </c>
    </row>
    <row r="74" spans="1:7" x14ac:dyDescent="0.4">
      <c r="A74">
        <v>736</v>
      </c>
      <c r="B74" t="s">
        <v>727</v>
      </c>
      <c r="C74" t="s">
        <v>785</v>
      </c>
      <c r="D74" t="s">
        <v>734</v>
      </c>
      <c r="E74" t="s">
        <v>947</v>
      </c>
      <c r="F74" t="s">
        <v>948</v>
      </c>
      <c r="G74" t="s">
        <v>949</v>
      </c>
    </row>
    <row r="75" spans="1:7" x14ac:dyDescent="0.4">
      <c r="A75">
        <v>735</v>
      </c>
      <c r="B75" t="s">
        <v>727</v>
      </c>
      <c r="C75" t="s">
        <v>785</v>
      </c>
      <c r="D75" t="s">
        <v>734</v>
      </c>
      <c r="E75" t="s">
        <v>950</v>
      </c>
      <c r="F75" t="s">
        <v>951</v>
      </c>
      <c r="G75" t="s">
        <v>952</v>
      </c>
    </row>
    <row r="76" spans="1:7" x14ac:dyDescent="0.4">
      <c r="A76">
        <v>734</v>
      </c>
      <c r="B76" t="s">
        <v>727</v>
      </c>
      <c r="C76" t="s">
        <v>785</v>
      </c>
      <c r="D76" t="s">
        <v>734</v>
      </c>
      <c r="E76" t="s">
        <v>953</v>
      </c>
      <c r="F76" t="s">
        <v>954</v>
      </c>
      <c r="G76" t="s">
        <v>955</v>
      </c>
    </row>
    <row r="77" spans="1:7" x14ac:dyDescent="0.4">
      <c r="A77">
        <v>733</v>
      </c>
      <c r="B77" t="s">
        <v>727</v>
      </c>
      <c r="C77" t="s">
        <v>785</v>
      </c>
      <c r="D77" t="s">
        <v>734</v>
      </c>
      <c r="E77" t="s">
        <v>956</v>
      </c>
      <c r="F77" t="s">
        <v>957</v>
      </c>
      <c r="G77" t="s">
        <v>958</v>
      </c>
    </row>
    <row r="78" spans="1:7" x14ac:dyDescent="0.4">
      <c r="A78">
        <v>732</v>
      </c>
      <c r="B78" t="s">
        <v>727</v>
      </c>
      <c r="C78" t="s">
        <v>733</v>
      </c>
      <c r="D78" t="s">
        <v>734</v>
      </c>
      <c r="E78" t="s">
        <v>959</v>
      </c>
      <c r="F78" t="s">
        <v>960</v>
      </c>
      <c r="G78" t="s">
        <v>961</v>
      </c>
    </row>
    <row r="79" spans="1:7" x14ac:dyDescent="0.4">
      <c r="A79">
        <v>731</v>
      </c>
      <c r="B79" t="s">
        <v>727</v>
      </c>
      <c r="C79" t="s">
        <v>728</v>
      </c>
      <c r="D79" t="s">
        <v>729</v>
      </c>
      <c r="E79" t="s">
        <v>962</v>
      </c>
      <c r="F79" t="s">
        <v>963</v>
      </c>
      <c r="G79" t="s">
        <v>964</v>
      </c>
    </row>
    <row r="80" spans="1:7" x14ac:dyDescent="0.4">
      <c r="A80">
        <v>730</v>
      </c>
      <c r="B80" t="s">
        <v>727</v>
      </c>
      <c r="C80" t="s">
        <v>733</v>
      </c>
      <c r="D80" t="s">
        <v>729</v>
      </c>
      <c r="E80" t="s">
        <v>965</v>
      </c>
      <c r="F80" t="s">
        <v>963</v>
      </c>
      <c r="G80" t="s">
        <v>966</v>
      </c>
    </row>
    <row r="81" spans="1:7" x14ac:dyDescent="0.4">
      <c r="A81">
        <v>729</v>
      </c>
      <c r="B81" t="s">
        <v>727</v>
      </c>
      <c r="C81" t="s">
        <v>886</v>
      </c>
      <c r="D81" t="s">
        <v>734</v>
      </c>
      <c r="E81" t="s">
        <v>967</v>
      </c>
      <c r="F81" t="s">
        <v>968</v>
      </c>
      <c r="G81" t="s">
        <v>969</v>
      </c>
    </row>
    <row r="82" spans="1:7" x14ac:dyDescent="0.4">
      <c r="A82">
        <v>728</v>
      </c>
      <c r="B82" t="s">
        <v>727</v>
      </c>
      <c r="C82" t="s">
        <v>733</v>
      </c>
      <c r="D82" t="s">
        <v>734</v>
      </c>
      <c r="E82" t="s">
        <v>970</v>
      </c>
      <c r="F82" t="s">
        <v>971</v>
      </c>
      <c r="G82" t="s">
        <v>972</v>
      </c>
    </row>
    <row r="83" spans="1:7" x14ac:dyDescent="0.4">
      <c r="A83">
        <v>727</v>
      </c>
      <c r="B83" t="s">
        <v>727</v>
      </c>
      <c r="C83" t="s">
        <v>785</v>
      </c>
      <c r="D83" t="s">
        <v>734</v>
      </c>
      <c r="E83" t="s">
        <v>973</v>
      </c>
      <c r="F83" t="s">
        <v>974</v>
      </c>
      <c r="G83" t="s">
        <v>975</v>
      </c>
    </row>
    <row r="84" spans="1:7" x14ac:dyDescent="0.4">
      <c r="A84">
        <v>726</v>
      </c>
      <c r="B84" t="s">
        <v>727</v>
      </c>
      <c r="C84" t="s">
        <v>733</v>
      </c>
      <c r="D84" t="s">
        <v>734</v>
      </c>
      <c r="E84" t="s">
        <v>976</v>
      </c>
      <c r="F84" t="s">
        <v>977</v>
      </c>
      <c r="G84" t="s">
        <v>978</v>
      </c>
    </row>
    <row r="85" spans="1:7" x14ac:dyDescent="0.4">
      <c r="A85">
        <v>725</v>
      </c>
      <c r="B85" t="s">
        <v>727</v>
      </c>
      <c r="C85" t="s">
        <v>785</v>
      </c>
      <c r="D85" t="s">
        <v>734</v>
      </c>
      <c r="E85" t="s">
        <v>979</v>
      </c>
      <c r="F85" t="s">
        <v>980</v>
      </c>
      <c r="G85" t="s">
        <v>981</v>
      </c>
    </row>
    <row r="86" spans="1:7" x14ac:dyDescent="0.4">
      <c r="A86">
        <v>724</v>
      </c>
      <c r="B86" t="s">
        <v>727</v>
      </c>
      <c r="C86" t="s">
        <v>733</v>
      </c>
      <c r="D86" t="s">
        <v>734</v>
      </c>
      <c r="E86" t="s">
        <v>982</v>
      </c>
      <c r="F86" t="s">
        <v>983</v>
      </c>
      <c r="G86" t="s">
        <v>984</v>
      </c>
    </row>
    <row r="87" spans="1:7" x14ac:dyDescent="0.4">
      <c r="A87">
        <v>723</v>
      </c>
      <c r="B87" t="s">
        <v>727</v>
      </c>
      <c r="C87" t="s">
        <v>785</v>
      </c>
      <c r="D87" t="s">
        <v>734</v>
      </c>
      <c r="E87" t="s">
        <v>985</v>
      </c>
      <c r="F87" t="s">
        <v>986</v>
      </c>
      <c r="G87" t="s">
        <v>987</v>
      </c>
    </row>
    <row r="88" spans="1:7" x14ac:dyDescent="0.4">
      <c r="A88">
        <v>722</v>
      </c>
      <c r="B88" t="s">
        <v>727</v>
      </c>
      <c r="C88" t="s">
        <v>785</v>
      </c>
      <c r="D88" t="s">
        <v>734</v>
      </c>
      <c r="E88" t="s">
        <v>988</v>
      </c>
      <c r="F88" t="s">
        <v>989</v>
      </c>
      <c r="G88" t="s">
        <v>990</v>
      </c>
    </row>
    <row r="89" spans="1:7" x14ac:dyDescent="0.4">
      <c r="A89">
        <v>721</v>
      </c>
      <c r="B89" t="s">
        <v>727</v>
      </c>
      <c r="C89" t="s">
        <v>728</v>
      </c>
      <c r="D89" t="s">
        <v>734</v>
      </c>
      <c r="E89" t="s">
        <v>991</v>
      </c>
      <c r="F89" t="s">
        <v>992</v>
      </c>
      <c r="G89" t="s">
        <v>993</v>
      </c>
    </row>
    <row r="90" spans="1:7" x14ac:dyDescent="0.4">
      <c r="A90">
        <v>720</v>
      </c>
      <c r="B90" t="s">
        <v>727</v>
      </c>
      <c r="C90" t="s">
        <v>728</v>
      </c>
      <c r="D90" t="s">
        <v>729</v>
      </c>
      <c r="E90" t="s">
        <v>994</v>
      </c>
      <c r="F90" t="s">
        <v>995</v>
      </c>
      <c r="G90" t="s">
        <v>996</v>
      </c>
    </row>
    <row r="91" spans="1:7" x14ac:dyDescent="0.4">
      <c r="A91">
        <v>719</v>
      </c>
      <c r="B91" t="s">
        <v>727</v>
      </c>
      <c r="C91" t="s">
        <v>733</v>
      </c>
      <c r="D91" t="s">
        <v>734</v>
      </c>
      <c r="E91" t="s">
        <v>997</v>
      </c>
      <c r="F91" t="s">
        <v>998</v>
      </c>
      <c r="G91" t="s">
        <v>999</v>
      </c>
    </row>
    <row r="92" spans="1:7" x14ac:dyDescent="0.4">
      <c r="A92">
        <v>718</v>
      </c>
      <c r="B92" t="s">
        <v>727</v>
      </c>
      <c r="C92" t="s">
        <v>785</v>
      </c>
      <c r="D92" t="s">
        <v>734</v>
      </c>
      <c r="E92" t="s">
        <v>1000</v>
      </c>
      <c r="F92" t="s">
        <v>1001</v>
      </c>
      <c r="G92" t="s">
        <v>1002</v>
      </c>
    </row>
    <row r="93" spans="1:7" x14ac:dyDescent="0.4">
      <c r="A93">
        <v>717</v>
      </c>
      <c r="B93" t="s">
        <v>727</v>
      </c>
      <c r="C93" t="s">
        <v>733</v>
      </c>
      <c r="D93" t="s">
        <v>734</v>
      </c>
      <c r="E93" t="s">
        <v>1003</v>
      </c>
      <c r="F93" t="s">
        <v>1004</v>
      </c>
      <c r="G93" t="s">
        <v>1005</v>
      </c>
    </row>
    <row r="94" spans="1:7" x14ac:dyDescent="0.4">
      <c r="A94">
        <v>716</v>
      </c>
      <c r="B94" t="s">
        <v>727</v>
      </c>
      <c r="C94" t="s">
        <v>733</v>
      </c>
      <c r="D94" t="s">
        <v>734</v>
      </c>
      <c r="E94" t="s">
        <v>1006</v>
      </c>
      <c r="F94" t="s">
        <v>1007</v>
      </c>
      <c r="G94" t="s">
        <v>1008</v>
      </c>
    </row>
    <row r="95" spans="1:7" x14ac:dyDescent="0.4">
      <c r="A95">
        <v>715</v>
      </c>
      <c r="B95" t="s">
        <v>727</v>
      </c>
      <c r="C95" t="s">
        <v>785</v>
      </c>
      <c r="D95" t="s">
        <v>734</v>
      </c>
      <c r="E95" t="s">
        <v>1009</v>
      </c>
      <c r="F95" t="s">
        <v>1010</v>
      </c>
      <c r="G95" t="s">
        <v>1011</v>
      </c>
    </row>
    <row r="96" spans="1:7" x14ac:dyDescent="0.4">
      <c r="A96">
        <v>714</v>
      </c>
      <c r="B96" t="s">
        <v>727</v>
      </c>
      <c r="C96" t="s">
        <v>886</v>
      </c>
      <c r="D96" t="s">
        <v>734</v>
      </c>
      <c r="E96" t="s">
        <v>1012</v>
      </c>
      <c r="F96" t="s">
        <v>1013</v>
      </c>
      <c r="G96" t="s">
        <v>1014</v>
      </c>
    </row>
    <row r="97" spans="1:7" x14ac:dyDescent="0.4">
      <c r="A97">
        <v>713</v>
      </c>
      <c r="B97" t="s">
        <v>727</v>
      </c>
      <c r="C97" t="s">
        <v>785</v>
      </c>
      <c r="D97" t="s">
        <v>734</v>
      </c>
      <c r="E97" t="s">
        <v>1015</v>
      </c>
      <c r="F97" t="s">
        <v>1016</v>
      </c>
      <c r="G97" t="s">
        <v>1017</v>
      </c>
    </row>
    <row r="98" spans="1:7" x14ac:dyDescent="0.4">
      <c r="A98">
        <v>712</v>
      </c>
      <c r="B98" t="s">
        <v>727</v>
      </c>
      <c r="C98" t="s">
        <v>785</v>
      </c>
      <c r="D98" t="s">
        <v>734</v>
      </c>
      <c r="E98" t="s">
        <v>1018</v>
      </c>
      <c r="F98" t="s">
        <v>780</v>
      </c>
      <c r="G98" t="s">
        <v>1019</v>
      </c>
    </row>
    <row r="99" spans="1:7" x14ac:dyDescent="0.4">
      <c r="A99">
        <v>711</v>
      </c>
      <c r="B99" t="s">
        <v>727</v>
      </c>
      <c r="C99" t="s">
        <v>785</v>
      </c>
      <c r="D99" t="s">
        <v>734</v>
      </c>
      <c r="E99" t="s">
        <v>1020</v>
      </c>
      <c r="F99" t="s">
        <v>1021</v>
      </c>
      <c r="G99" t="s">
        <v>1022</v>
      </c>
    </row>
    <row r="100" spans="1:7" x14ac:dyDescent="0.4">
      <c r="A100">
        <v>710</v>
      </c>
      <c r="B100" t="s">
        <v>727</v>
      </c>
      <c r="C100" t="s">
        <v>733</v>
      </c>
      <c r="D100" t="s">
        <v>734</v>
      </c>
      <c r="E100" t="s">
        <v>1023</v>
      </c>
      <c r="F100" t="s">
        <v>1024</v>
      </c>
      <c r="G100" t="s">
        <v>1025</v>
      </c>
    </row>
    <row r="101" spans="1:7" x14ac:dyDescent="0.4">
      <c r="A101">
        <v>709</v>
      </c>
      <c r="B101" t="s">
        <v>727</v>
      </c>
      <c r="C101" t="s">
        <v>785</v>
      </c>
      <c r="D101" t="s">
        <v>734</v>
      </c>
      <c r="E101" t="s">
        <v>1026</v>
      </c>
      <c r="F101" t="s">
        <v>1027</v>
      </c>
      <c r="G101" t="s">
        <v>1028</v>
      </c>
    </row>
    <row r="102" spans="1:7" x14ac:dyDescent="0.4">
      <c r="A102">
        <v>708</v>
      </c>
      <c r="B102" t="s">
        <v>727</v>
      </c>
      <c r="C102" t="s">
        <v>785</v>
      </c>
      <c r="D102" t="s">
        <v>734</v>
      </c>
      <c r="E102" t="s">
        <v>1029</v>
      </c>
      <c r="F102" t="s">
        <v>1030</v>
      </c>
      <c r="G102" t="s">
        <v>1031</v>
      </c>
    </row>
    <row r="103" spans="1:7" x14ac:dyDescent="0.4">
      <c r="A103">
        <v>707</v>
      </c>
      <c r="B103" t="s">
        <v>727</v>
      </c>
      <c r="C103" t="s">
        <v>733</v>
      </c>
      <c r="D103" t="s">
        <v>734</v>
      </c>
      <c r="E103" t="s">
        <v>1032</v>
      </c>
      <c r="F103" t="s">
        <v>1033</v>
      </c>
      <c r="G103" t="s">
        <v>1034</v>
      </c>
    </row>
    <row r="104" spans="1:7" x14ac:dyDescent="0.4">
      <c r="A104">
        <v>706</v>
      </c>
      <c r="B104" t="s">
        <v>727</v>
      </c>
      <c r="C104" t="s">
        <v>785</v>
      </c>
      <c r="D104" t="s">
        <v>734</v>
      </c>
      <c r="E104" t="s">
        <v>1035</v>
      </c>
      <c r="F104" t="s">
        <v>1036</v>
      </c>
      <c r="G104" t="s">
        <v>1037</v>
      </c>
    </row>
    <row r="105" spans="1:7" x14ac:dyDescent="0.4">
      <c r="A105">
        <v>705</v>
      </c>
      <c r="B105" t="s">
        <v>727</v>
      </c>
      <c r="C105" t="s">
        <v>733</v>
      </c>
      <c r="D105" t="s">
        <v>734</v>
      </c>
      <c r="E105" t="s">
        <v>1038</v>
      </c>
      <c r="F105" t="s">
        <v>1039</v>
      </c>
      <c r="G105" t="s">
        <v>1040</v>
      </c>
    </row>
    <row r="106" spans="1:7" x14ac:dyDescent="0.4">
      <c r="A106">
        <v>704</v>
      </c>
      <c r="B106" t="s">
        <v>727</v>
      </c>
      <c r="C106" t="s">
        <v>785</v>
      </c>
      <c r="D106" t="s">
        <v>734</v>
      </c>
      <c r="E106" t="s">
        <v>1041</v>
      </c>
      <c r="F106" t="s">
        <v>1042</v>
      </c>
      <c r="G106" t="s">
        <v>1043</v>
      </c>
    </row>
    <row r="107" spans="1:7" x14ac:dyDescent="0.4">
      <c r="A107">
        <v>703</v>
      </c>
      <c r="B107" t="s">
        <v>727</v>
      </c>
      <c r="C107" t="s">
        <v>733</v>
      </c>
      <c r="D107" t="s">
        <v>734</v>
      </c>
      <c r="E107" t="s">
        <v>1044</v>
      </c>
      <c r="F107" t="s">
        <v>1045</v>
      </c>
      <c r="G107" t="s">
        <v>1046</v>
      </c>
    </row>
    <row r="108" spans="1:7" x14ac:dyDescent="0.4">
      <c r="A108">
        <v>702</v>
      </c>
      <c r="B108" t="s">
        <v>727</v>
      </c>
      <c r="C108" t="s">
        <v>733</v>
      </c>
      <c r="D108" t="s">
        <v>734</v>
      </c>
      <c r="E108" t="s">
        <v>1047</v>
      </c>
      <c r="F108" t="s">
        <v>1048</v>
      </c>
      <c r="G108" t="s">
        <v>1049</v>
      </c>
    </row>
    <row r="109" spans="1:7" x14ac:dyDescent="0.4">
      <c r="A109">
        <v>701</v>
      </c>
      <c r="B109" t="s">
        <v>727</v>
      </c>
      <c r="C109" t="s">
        <v>785</v>
      </c>
      <c r="D109" t="s">
        <v>734</v>
      </c>
      <c r="E109" t="s">
        <v>1050</v>
      </c>
      <c r="F109" t="s">
        <v>1051</v>
      </c>
      <c r="G109" t="s">
        <v>1052</v>
      </c>
    </row>
    <row r="110" spans="1:7" x14ac:dyDescent="0.4">
      <c r="A110">
        <v>700</v>
      </c>
      <c r="B110" t="s">
        <v>727</v>
      </c>
      <c r="C110" t="s">
        <v>785</v>
      </c>
      <c r="D110" t="s">
        <v>734</v>
      </c>
      <c r="E110" t="s">
        <v>1053</v>
      </c>
      <c r="F110" t="s">
        <v>1054</v>
      </c>
      <c r="G110" t="s">
        <v>1055</v>
      </c>
    </row>
    <row r="111" spans="1:7" x14ac:dyDescent="0.4">
      <c r="A111">
        <v>699</v>
      </c>
      <c r="B111" t="s">
        <v>727</v>
      </c>
      <c r="C111" t="s">
        <v>886</v>
      </c>
      <c r="D111" t="s">
        <v>734</v>
      </c>
      <c r="E111" t="s">
        <v>1056</v>
      </c>
      <c r="F111" t="s">
        <v>1057</v>
      </c>
      <c r="G111" t="s">
        <v>1058</v>
      </c>
    </row>
    <row r="112" spans="1:7" x14ac:dyDescent="0.4">
      <c r="A112">
        <v>698</v>
      </c>
      <c r="B112" t="s">
        <v>727</v>
      </c>
      <c r="C112" t="s">
        <v>926</v>
      </c>
      <c r="D112" t="s">
        <v>734</v>
      </c>
      <c r="E112" t="s">
        <v>1059</v>
      </c>
      <c r="F112" t="s">
        <v>1060</v>
      </c>
      <c r="G112" t="s">
        <v>1061</v>
      </c>
    </row>
    <row r="113" spans="1:7" x14ac:dyDescent="0.4">
      <c r="A113">
        <v>697</v>
      </c>
      <c r="B113" t="s">
        <v>727</v>
      </c>
      <c r="C113" t="s">
        <v>926</v>
      </c>
      <c r="D113" t="s">
        <v>734</v>
      </c>
      <c r="E113" t="s">
        <v>1062</v>
      </c>
      <c r="F113" t="s">
        <v>1063</v>
      </c>
      <c r="G113" t="s">
        <v>1064</v>
      </c>
    </row>
    <row r="114" spans="1:7" x14ac:dyDescent="0.4">
      <c r="A114">
        <v>696</v>
      </c>
      <c r="B114" t="s">
        <v>727</v>
      </c>
      <c r="C114" t="s">
        <v>785</v>
      </c>
      <c r="D114" t="s">
        <v>734</v>
      </c>
      <c r="E114" t="s">
        <v>1065</v>
      </c>
      <c r="F114" t="s">
        <v>1066</v>
      </c>
      <c r="G114" t="s">
        <v>1067</v>
      </c>
    </row>
    <row r="115" spans="1:7" x14ac:dyDescent="0.4">
      <c r="A115">
        <v>695</v>
      </c>
      <c r="B115" t="s">
        <v>727</v>
      </c>
      <c r="C115" t="s">
        <v>785</v>
      </c>
      <c r="D115" t="s">
        <v>734</v>
      </c>
      <c r="E115" t="s">
        <v>1068</v>
      </c>
      <c r="F115" t="s">
        <v>1069</v>
      </c>
      <c r="G115" t="s">
        <v>1070</v>
      </c>
    </row>
    <row r="116" spans="1:7" x14ac:dyDescent="0.4">
      <c r="A116">
        <v>694</v>
      </c>
      <c r="B116" t="s">
        <v>727</v>
      </c>
      <c r="C116" t="s">
        <v>785</v>
      </c>
      <c r="D116" t="s">
        <v>734</v>
      </c>
      <c r="E116" t="s">
        <v>1071</v>
      </c>
      <c r="F116" t="s">
        <v>1072</v>
      </c>
      <c r="G116" t="s">
        <v>1073</v>
      </c>
    </row>
    <row r="117" spans="1:7" x14ac:dyDescent="0.4">
      <c r="A117">
        <v>693</v>
      </c>
      <c r="B117" t="s">
        <v>727</v>
      </c>
      <c r="C117" t="s">
        <v>785</v>
      </c>
      <c r="D117" t="s">
        <v>734</v>
      </c>
      <c r="E117" t="s">
        <v>1074</v>
      </c>
      <c r="F117" t="s">
        <v>1075</v>
      </c>
      <c r="G117" t="s">
        <v>1076</v>
      </c>
    </row>
    <row r="118" spans="1:7" x14ac:dyDescent="0.4">
      <c r="A118">
        <v>692</v>
      </c>
      <c r="B118" t="s">
        <v>727</v>
      </c>
      <c r="C118" t="s">
        <v>785</v>
      </c>
      <c r="D118" t="s">
        <v>734</v>
      </c>
      <c r="E118" t="s">
        <v>1077</v>
      </c>
      <c r="F118" t="s">
        <v>1078</v>
      </c>
      <c r="G118" t="s">
        <v>1079</v>
      </c>
    </row>
    <row r="119" spans="1:7" x14ac:dyDescent="0.4">
      <c r="A119">
        <v>691</v>
      </c>
      <c r="B119" t="s">
        <v>727</v>
      </c>
      <c r="C119" t="s">
        <v>785</v>
      </c>
      <c r="D119" t="s">
        <v>734</v>
      </c>
      <c r="E119" t="s">
        <v>1080</v>
      </c>
      <c r="F119" t="s">
        <v>1081</v>
      </c>
      <c r="G119" t="s">
        <v>1082</v>
      </c>
    </row>
    <row r="120" spans="1:7" x14ac:dyDescent="0.4">
      <c r="A120">
        <v>690</v>
      </c>
      <c r="B120" t="s">
        <v>727</v>
      </c>
      <c r="C120" t="s">
        <v>728</v>
      </c>
      <c r="D120" t="s">
        <v>734</v>
      </c>
      <c r="E120" t="s">
        <v>1083</v>
      </c>
      <c r="F120" t="s">
        <v>1084</v>
      </c>
      <c r="G120" t="s">
        <v>1085</v>
      </c>
    </row>
    <row r="121" spans="1:7" x14ac:dyDescent="0.4">
      <c r="A121">
        <v>689</v>
      </c>
      <c r="B121" t="s">
        <v>727</v>
      </c>
      <c r="C121" t="s">
        <v>785</v>
      </c>
      <c r="D121" t="s">
        <v>734</v>
      </c>
      <c r="E121" t="s">
        <v>1086</v>
      </c>
      <c r="F121" t="s">
        <v>1087</v>
      </c>
      <c r="G121" t="s">
        <v>1088</v>
      </c>
    </row>
    <row r="123" spans="1:7" x14ac:dyDescent="0.4">
      <c r="A123" s="4" t="s">
        <v>1089</v>
      </c>
      <c r="B123" s="38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1AF7-D944-43F1-B25C-9EA7B8DEE14F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717</v>
      </c>
    </row>
    <row r="3" spans="1:8" x14ac:dyDescent="0.4">
      <c r="B3" s="74" t="s">
        <v>718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IF(기초자료입력!C22&lt;&gt;"","평가 안건: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2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2"/>
      <c r="D7" s="72"/>
      <c r="E7" s="72"/>
      <c r="F7" s="72"/>
      <c r="G7" s="72"/>
      <c r="H7" s="72"/>
    </row>
    <row r="8" spans="1:8" x14ac:dyDescent="0.4">
      <c r="B8" s="72"/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4.049999999999997" customHeight="1" x14ac:dyDescent="0.4">
      <c r="B10" s="72" t="str">
        <f>"1. "&amp;IF(기초자료입력!C5&lt;&gt;"",기초자료입력!C5,"20○○")&amp;"학년도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ht="60" customHeight="1" x14ac:dyDescent="0.4">
      <c r="B12" s="72" t="s">
        <v>719</v>
      </c>
      <c r="C12" s="72"/>
      <c r="D12" s="72"/>
      <c r="E12" s="72"/>
      <c r="F12" s="72"/>
      <c r="G12" s="72"/>
      <c r="H12" s="72"/>
    </row>
    <row r="13" spans="1:8" x14ac:dyDescent="0.4">
      <c r="B13" s="72"/>
      <c r="C13" s="72"/>
      <c r="D13" s="72"/>
      <c r="E13" s="72"/>
      <c r="F13" s="72"/>
      <c r="G13" s="72"/>
      <c r="H13" s="72"/>
    </row>
    <row r="14" spans="1:8" ht="34.049999999999997" customHeight="1" x14ac:dyDescent="0.4">
      <c r="B14" s="72" t="s">
        <v>720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ht="49.95" customHeight="1" x14ac:dyDescent="0.4">
      <c r="B16" s="72" t="s">
        <v>721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3" t="s">
        <v>722</v>
      </c>
      <c r="C19" s="73"/>
      <c r="D19" s="73"/>
      <c r="E19" s="73"/>
      <c r="F19" s="73"/>
      <c r="G19" s="73"/>
      <c r="H19" s="7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IF(기초자료입력!B58&lt;&gt;"","위원 구분: "&amp;기초자료입력!B58,"")</f>
        <v/>
      </c>
      <c r="C21" s="73"/>
      <c r="D21" s="73"/>
      <c r="E21" s="73"/>
      <c r="F21" s="73"/>
      <c r="G21" s="73"/>
      <c r="H21" s="73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3" t="s">
        <v>723</v>
      </c>
      <c r="C23" s="73"/>
      <c r="D23" s="73"/>
      <c r="E23" s="73"/>
      <c r="F23" s="73"/>
      <c r="G23" s="73"/>
      <c r="H23" s="73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3" t="str">
        <f>IF(기초자료입력!C4&lt;&gt;"",기초자료입력!C4,"○○○학교")&amp;"장 귀하"</f>
        <v>○○○학교장 귀하</v>
      </c>
      <c r="C25" s="73"/>
      <c r="D25" s="73"/>
      <c r="E25" s="73"/>
      <c r="F25" s="73"/>
      <c r="G25" s="73"/>
      <c r="H25" s="73"/>
    </row>
  </sheetData>
  <mergeCells count="11">
    <mergeCell ref="B14:H15"/>
    <mergeCell ref="B3:H3"/>
    <mergeCell ref="B5:H5"/>
    <mergeCell ref="B7:H8"/>
    <mergeCell ref="B10:H11"/>
    <mergeCell ref="B12:H13"/>
    <mergeCell ref="B16:H17"/>
    <mergeCell ref="B19:H19"/>
    <mergeCell ref="B21:H21"/>
    <mergeCell ref="B23:H23"/>
    <mergeCell ref="B25:H25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28FA4-476E-4D8A-9BF8-08AB74F27F90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706</v>
      </c>
    </row>
    <row r="2" spans="1:11" x14ac:dyDescent="0.4">
      <c r="K2" s="35" t="s">
        <v>321</v>
      </c>
    </row>
    <row r="3" spans="1:11" x14ac:dyDescent="0.4">
      <c r="B3" s="77" t="str">
        <f>"[13-3] "&amp;IF(기초자료입력!C5&lt;&gt;"",기초자료입력!C5,"20○○")&amp;"학년도 교복(동복·하복) 구매 업체별 제안서 평가표"</f>
        <v>[13-3] 20○○학년도 교복(동복·하복) 구매 업체별 제안서 평가표</v>
      </c>
      <c r="C3" s="78"/>
      <c r="D3" s="78"/>
      <c r="E3" s="78"/>
      <c r="F3" s="78"/>
      <c r="G3" s="78"/>
      <c r="H3" s="78"/>
      <c r="I3" s="37">
        <v>1</v>
      </c>
      <c r="J3" s="37"/>
    </row>
    <row r="4" spans="1:11" x14ac:dyDescent="0.4">
      <c r="B4" s="78"/>
      <c r="C4" s="78"/>
      <c r="D4" s="78"/>
      <c r="E4" s="78"/>
      <c r="F4" s="78"/>
      <c r="G4" s="78"/>
      <c r="H4" s="78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/>
      </c>
      <c r="D5" s="37" t="s">
        <v>88</v>
      </c>
      <c r="E5" s="37" t="str">
        <f>IF(기초자료입력!C5&lt;&gt;"",기초자료입력!C5,"")</f>
        <v/>
      </c>
      <c r="F5" s="37" t="s">
        <v>324</v>
      </c>
      <c r="G5" s="76">
        <f>IFERROR(INDEX(기초자료입력!$B$44:$B$53,I3),"")</f>
        <v>0</v>
      </c>
      <c r="H5" s="76"/>
      <c r="I5" s="76"/>
      <c r="J5" s="76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665</v>
      </c>
      <c r="C7" s="63" t="s">
        <v>60</v>
      </c>
      <c r="D7" s="63" t="s">
        <v>707</v>
      </c>
      <c r="E7" s="63" t="s">
        <v>708</v>
      </c>
      <c r="F7" s="63" t="s">
        <v>709</v>
      </c>
      <c r="G7" s="63" t="s">
        <v>710</v>
      </c>
      <c r="H7" s="63" t="s">
        <v>711</v>
      </c>
      <c r="I7" s="63" t="s">
        <v>712</v>
      </c>
      <c r="J7" s="60" t="s">
        <v>299</v>
      </c>
    </row>
    <row r="8" spans="1:11" ht="18" customHeight="1" x14ac:dyDescent="0.4">
      <c r="B8" s="79">
        <f>I3</f>
        <v>1</v>
      </c>
      <c r="C8" s="79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0" t="s">
        <v>713</v>
      </c>
    </row>
    <row r="9" spans="1:11" ht="18" customHeight="1" x14ac:dyDescent="0.4">
      <c r="B9" s="79"/>
      <c r="C9" s="79"/>
      <c r="D9" s="28"/>
      <c r="E9" s="61"/>
      <c r="F9" s="61"/>
      <c r="G9" s="61"/>
      <c r="H9" s="61"/>
      <c r="I9" s="28" t="str">
        <f t="shared" si="0"/>
        <v/>
      </c>
      <c r="J9" s="80"/>
    </row>
    <row r="10" spans="1:11" ht="18" customHeight="1" x14ac:dyDescent="0.4">
      <c r="B10" s="79"/>
      <c r="C10" s="79"/>
      <c r="D10" s="28"/>
      <c r="E10" s="61"/>
      <c r="F10" s="61"/>
      <c r="G10" s="61"/>
      <c r="H10" s="61"/>
      <c r="I10" s="28" t="str">
        <f t="shared" si="0"/>
        <v/>
      </c>
      <c r="J10" s="80"/>
    </row>
    <row r="11" spans="1:11" ht="18" customHeight="1" x14ac:dyDescent="0.4">
      <c r="B11" s="79"/>
      <c r="C11" s="79"/>
      <c r="D11" s="28"/>
      <c r="E11" s="61"/>
      <c r="F11" s="61"/>
      <c r="G11" s="61"/>
      <c r="H11" s="61"/>
      <c r="I11" s="28" t="str">
        <f t="shared" si="0"/>
        <v/>
      </c>
      <c r="J11" s="80"/>
    </row>
    <row r="12" spans="1:11" ht="18" customHeight="1" x14ac:dyDescent="0.4">
      <c r="B12" s="79"/>
      <c r="C12" s="79"/>
      <c r="D12" s="28"/>
      <c r="E12" s="61"/>
      <c r="F12" s="61"/>
      <c r="G12" s="61"/>
      <c r="H12" s="61"/>
      <c r="I12" s="28" t="str">
        <f t="shared" si="0"/>
        <v/>
      </c>
      <c r="J12" s="80"/>
    </row>
    <row r="13" spans="1:11" ht="18" customHeight="1" x14ac:dyDescent="0.4">
      <c r="B13" s="79"/>
      <c r="C13" s="79"/>
      <c r="D13" s="28"/>
      <c r="E13" s="61"/>
      <c r="F13" s="61"/>
      <c r="G13" s="61"/>
      <c r="H13" s="61"/>
      <c r="I13" s="28" t="str">
        <f t="shared" si="0"/>
        <v/>
      </c>
      <c r="J13" s="80"/>
    </row>
    <row r="14" spans="1:11" ht="18" customHeight="1" x14ac:dyDescent="0.4">
      <c r="B14" s="79"/>
      <c r="C14" s="79"/>
      <c r="D14" s="28"/>
      <c r="E14" s="61"/>
      <c r="F14" s="61"/>
      <c r="G14" s="61"/>
      <c r="H14" s="61"/>
      <c r="I14" s="28" t="str">
        <f t="shared" si="0"/>
        <v/>
      </c>
      <c r="J14" s="80"/>
    </row>
    <row r="15" spans="1:11" ht="18" customHeight="1" x14ac:dyDescent="0.4">
      <c r="B15" s="79"/>
      <c r="C15" s="79"/>
      <c r="D15" s="28"/>
      <c r="E15" s="61"/>
      <c r="F15" s="61"/>
      <c r="G15" s="61"/>
      <c r="H15" s="61"/>
      <c r="I15" s="28" t="str">
        <f t="shared" si="0"/>
        <v/>
      </c>
      <c r="J15" s="80"/>
    </row>
    <row r="16" spans="1:11" x14ac:dyDescent="0.4">
      <c r="B16" s="75" t="s">
        <v>714</v>
      </c>
      <c r="C16" s="75"/>
      <c r="D16" s="75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5" t="s">
        <v>715</v>
      </c>
      <c r="C17" s="75"/>
      <c r="D17" s="75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6" t="s">
        <v>716</v>
      </c>
      <c r="C19" s="76"/>
      <c r="D19" s="76"/>
      <c r="E19" s="76"/>
      <c r="F19" s="76"/>
      <c r="G19" s="76"/>
      <c r="H19" s="76"/>
      <c r="I19" s="76"/>
      <c r="J19" s="76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88C40-390B-47D4-8939-7524C5E92C48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697</v>
      </c>
    </row>
    <row r="3" spans="1:9" x14ac:dyDescent="0.4">
      <c r="B3" s="77" t="s">
        <v>698</v>
      </c>
      <c r="C3" s="78"/>
      <c r="D3" s="78"/>
      <c r="E3" s="78"/>
      <c r="F3" s="78"/>
      <c r="G3" s="78"/>
      <c r="H3" s="78"/>
      <c r="I3" s="78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8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8"/>
      <c r="D5" s="78"/>
      <c r="E5" s="78"/>
      <c r="F5" s="78"/>
      <c r="G5" s="78"/>
      <c r="H5" s="78"/>
      <c r="I5" s="78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2" t="s">
        <v>699</v>
      </c>
      <c r="C7" s="82"/>
      <c r="D7" s="82"/>
      <c r="E7" s="82" t="s">
        <v>700</v>
      </c>
      <c r="F7" s="82"/>
      <c r="G7" s="82"/>
      <c r="H7" s="82" t="s">
        <v>701</v>
      </c>
      <c r="I7" s="82" t="s">
        <v>299</v>
      </c>
    </row>
    <row r="8" spans="1:9" ht="30" customHeight="1" x14ac:dyDescent="0.4">
      <c r="B8" s="63" t="s">
        <v>60</v>
      </c>
      <c r="C8" s="63" t="s">
        <v>365</v>
      </c>
      <c r="D8" s="63" t="s">
        <v>417</v>
      </c>
      <c r="E8" s="63" t="s">
        <v>603</v>
      </c>
      <c r="F8" s="63" t="s">
        <v>666</v>
      </c>
      <c r="G8" s="63" t="s">
        <v>664</v>
      </c>
      <c r="H8" s="82"/>
      <c r="I8" s="82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1" t="s">
        <v>702</v>
      </c>
      <c r="C20" s="76"/>
      <c r="D20" s="76"/>
      <c r="E20" s="76"/>
      <c r="F20" s="76"/>
      <c r="G20" s="76"/>
      <c r="H20" s="76"/>
      <c r="I20" s="76"/>
    </row>
    <row r="21" spans="2:9" x14ac:dyDescent="0.4">
      <c r="B21" s="76" t="s">
        <v>703</v>
      </c>
      <c r="C21" s="76"/>
      <c r="D21" s="76"/>
      <c r="E21" s="76"/>
      <c r="F21" s="76"/>
      <c r="G21" s="76"/>
      <c r="H21" s="76"/>
      <c r="I21" s="76"/>
    </row>
    <row r="22" spans="2:9" x14ac:dyDescent="0.4">
      <c r="B22" s="76" t="s">
        <v>704</v>
      </c>
      <c r="C22" s="76"/>
      <c r="D22" s="76"/>
      <c r="E22" s="76"/>
      <c r="F22" s="76"/>
      <c r="G22" s="76"/>
      <c r="H22" s="76"/>
      <c r="I22" s="76"/>
    </row>
    <row r="23" spans="2:9" x14ac:dyDescent="0.4">
      <c r="B23" s="76" t="s">
        <v>705</v>
      </c>
      <c r="C23" s="76"/>
      <c r="D23" s="76"/>
      <c r="E23" s="76"/>
      <c r="F23" s="76"/>
      <c r="G23" s="76"/>
      <c r="H23" s="76"/>
      <c r="I23" s="76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26722-A4D9-4955-B971-2E6056CE41C1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691</v>
      </c>
    </row>
    <row r="3" spans="1:8" x14ac:dyDescent="0.4">
      <c r="B3" s="74" t="str">
        <f>IF(기초자료입력!C5&lt;&gt;"",기초자료입력!C5&amp;"학년도 ","")&amp;"교복선정 평가위원회 참석 등록부"</f>
        <v>교복선정 평가위원회 참석 등록부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IF(기초자료입력!C4&lt;&gt;"",기초자료입력!C4,"")&amp;IF(기초자료입력!C22&lt;&gt;""," ·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692</v>
      </c>
      <c r="C7" s="83"/>
      <c r="D7" s="83"/>
      <c r="E7" s="83"/>
      <c r="F7" s="83"/>
      <c r="G7" s="83"/>
      <c r="H7" s="83"/>
    </row>
    <row r="8" spans="1:8" x14ac:dyDescent="0.4">
      <c r="B8" s="21" t="s">
        <v>693</v>
      </c>
      <c r="C8" s="83" t="s">
        <v>694</v>
      </c>
      <c r="D8" s="83"/>
      <c r="E8" s="83"/>
      <c r="F8" s="83"/>
      <c r="G8" s="83"/>
      <c r="H8" s="83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4" t="s">
        <v>695</v>
      </c>
      <c r="C10" s="83"/>
      <c r="D10" s="83"/>
      <c r="E10" s="83"/>
      <c r="F10" s="83"/>
      <c r="G10" s="83"/>
      <c r="H10" s="83"/>
    </row>
    <row r="11" spans="1:8" x14ac:dyDescent="0.4">
      <c r="B11" s="24" t="s">
        <v>503</v>
      </c>
      <c r="C11" s="24" t="s">
        <v>603</v>
      </c>
      <c r="D11" s="24" t="s">
        <v>505</v>
      </c>
      <c r="E11" s="24" t="s">
        <v>696</v>
      </c>
      <c r="F11" s="24" t="s">
        <v>299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1A65E-A4E8-4730-97FE-35C3BEEFB247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683</v>
      </c>
    </row>
    <row r="3" spans="1:8" x14ac:dyDescent="0.4">
      <c r="B3" s="87" t="str">
        <f>IF(기초자료입력!C4&lt;&gt;"",기초자료입력!C4,"○○학교")&amp;" 교복 구매 제안서 평가 결과"</f>
        <v>○○학교 교복 구매 제안서 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273</v>
      </c>
      <c r="C7" s="89" t="s">
        <v>493</v>
      </c>
      <c r="D7" s="89"/>
      <c r="E7" s="89"/>
      <c r="F7" s="89"/>
      <c r="G7" s="89"/>
      <c r="H7" s="90"/>
    </row>
    <row r="8" spans="1:8" x14ac:dyDescent="0.4">
      <c r="B8" s="53" t="s">
        <v>280</v>
      </c>
      <c r="C8" s="89"/>
      <c r="D8" s="89"/>
      <c r="E8" s="89"/>
      <c r="F8" s="89"/>
      <c r="G8" s="89"/>
      <c r="H8" s="90"/>
    </row>
    <row r="9" spans="1:8" x14ac:dyDescent="0.4">
      <c r="B9" s="53" t="s">
        <v>274</v>
      </c>
      <c r="C9" s="91" t="str">
        <f>IF(기초자료입력!C22&lt;&gt;"",기초자료입력!C22,IF(기초자료입력!C5&lt;&gt;"",기초자료입력!C5,"20○○")&amp;"학년도 교복 업체 선정을 위한 제안서 평가 집계결과 보고")</f>
        <v>20○○학년도 교복 업체 선정을 위한 제안서 평가 집계결과 보고</v>
      </c>
      <c r="D9" s="89"/>
      <c r="E9" s="89"/>
      <c r="F9" s="89"/>
      <c r="G9" s="89"/>
      <c r="H9" s="90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1" t="str">
        <f>"1. 관련："&amp;IF(기초자료입력!C23&lt;&gt;"",기초자료입력!C23,"관련 문서를 확인하십시오.")</f>
        <v>1. 관련：관련 문서를 확인하십시오.</v>
      </c>
      <c r="C11" s="76"/>
      <c r="D11" s="76"/>
      <c r="E11" s="76"/>
      <c r="F11" s="76"/>
      <c r="G11" s="76"/>
      <c r="H11" s="90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6" t="str">
        <f>"2. "&amp;IF(기초자료입력!C5&lt;&gt;"",기초자료입력!C5,"20○○")&amp;"학년도 교복업체 선정을 위한 제안서 평가위원회 실시 결과를 아래와 같이 보고합니다."</f>
        <v>2. 20○○학년도 교복업체 선정을 위한 제안서 평가위원회 실시 결과를 아래와 같이 보고합니다.</v>
      </c>
      <c r="C13" s="86"/>
      <c r="D13" s="86"/>
      <c r="E13" s="86"/>
      <c r="F13" s="86"/>
      <c r="G13" s="86"/>
      <c r="H13" s="71"/>
    </row>
    <row r="14" spans="1:8" x14ac:dyDescent="0.4">
      <c r="B14" s="86"/>
      <c r="C14" s="86"/>
      <c r="D14" s="86"/>
      <c r="E14" s="86"/>
      <c r="F14" s="86"/>
      <c r="G14" s="86"/>
      <c r="H14" s="71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85" t="s">
        <v>60</v>
      </c>
      <c r="C17" s="85" t="s">
        <v>684</v>
      </c>
      <c r="D17" s="85"/>
      <c r="E17" s="85"/>
      <c r="F17" s="85" t="s">
        <v>687</v>
      </c>
      <c r="G17" s="85" t="s">
        <v>688</v>
      </c>
    </row>
    <row r="18" spans="2:7" x14ac:dyDescent="0.4">
      <c r="B18" s="85"/>
      <c r="C18" s="60" t="s">
        <v>685</v>
      </c>
      <c r="D18" s="60" t="s">
        <v>686</v>
      </c>
      <c r="E18" s="60" t="s">
        <v>278</v>
      </c>
      <c r="F18" s="85"/>
      <c r="G18" s="85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6" t="s">
        <v>689</v>
      </c>
      <c r="C29" s="76"/>
      <c r="D29" s="76"/>
      <c r="E29" s="76"/>
      <c r="F29" s="76"/>
      <c r="G29" s="76"/>
    </row>
    <row r="30" spans="2:7" x14ac:dyDescent="0.4">
      <c r="B30" s="86" t="s">
        <v>690</v>
      </c>
      <c r="C30" s="86"/>
      <c r="D30" s="86"/>
      <c r="E30" s="86"/>
      <c r="F30" s="86"/>
      <c r="G30" s="86"/>
    </row>
    <row r="31" spans="2:7" x14ac:dyDescent="0.4">
      <c r="B31" s="86"/>
      <c r="C31" s="86"/>
      <c r="D31" s="86"/>
      <c r="E31" s="86"/>
      <c r="F31" s="86"/>
      <c r="G31" s="86"/>
    </row>
    <row r="32" spans="2:7" x14ac:dyDescent="0.4">
      <c r="B32" s="86"/>
      <c r="C32" s="86"/>
      <c r="D32" s="86"/>
      <c r="E32" s="86"/>
      <c r="F32" s="86"/>
      <c r="G32" s="86"/>
    </row>
    <row r="33" spans="2:7" x14ac:dyDescent="0.4">
      <c r="B33" s="86"/>
      <c r="C33" s="86"/>
      <c r="D33" s="86"/>
      <c r="E33" s="86"/>
      <c r="F33" s="86"/>
      <c r="G33" s="86"/>
    </row>
    <row r="34" spans="2:7" x14ac:dyDescent="0.4">
      <c r="B34" s="86"/>
      <c r="C34" s="86"/>
      <c r="D34" s="86"/>
      <c r="E34" s="86"/>
      <c r="F34" s="86"/>
      <c r="G34" s="86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276</v>
      </c>
      <c r="G37" s="52" t="s">
        <v>277</v>
      </c>
    </row>
    <row r="38" spans="2:7" x14ac:dyDescent="0.4">
      <c r="B38" s="52" t="s">
        <v>288</v>
      </c>
      <c r="C38" s="76" t="str">
        <f>IF(기초자료입력!C9&lt;&gt;"",기초자료입력!C9,"")</f>
        <v/>
      </c>
      <c r="D38" s="76"/>
      <c r="E38" s="76"/>
      <c r="F38" s="52" t="s">
        <v>289</v>
      </c>
      <c r="G38" s="37"/>
    </row>
  </sheetData>
  <mergeCells count="13">
    <mergeCell ref="B13:H14"/>
    <mergeCell ref="B3:H4"/>
    <mergeCell ref="C7:H7"/>
    <mergeCell ref="C8:H8"/>
    <mergeCell ref="C9:H9"/>
    <mergeCell ref="B11:H11"/>
    <mergeCell ref="C38:E38"/>
    <mergeCell ref="B17:B18"/>
    <mergeCell ref="C17:E17"/>
    <mergeCell ref="F17:F18"/>
    <mergeCell ref="G17:G18"/>
    <mergeCell ref="B29:G29"/>
    <mergeCell ref="B30:G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3ED7E-2D35-4E84-90E2-581507507119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676</v>
      </c>
    </row>
    <row r="3" spans="1:8" x14ac:dyDescent="0.4">
      <c r="B3" s="87" t="str">
        <f>IF(기초자료입력!C4&lt;&gt;"",기초자료입력!C4,"○○학교")&amp;" 교복 구매 제안서 정량평가 결과"</f>
        <v>○○학교 교복 구매 제안서 정량평가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8" x14ac:dyDescent="0.4">
      <c r="B8" s="53" t="s">
        <v>280</v>
      </c>
      <c r="C8" s="89"/>
      <c r="D8" s="89"/>
      <c r="E8" s="89"/>
      <c r="F8" s="89"/>
      <c r="G8" s="89"/>
      <c r="H8" s="89"/>
    </row>
    <row r="9" spans="1:8" x14ac:dyDescent="0.4">
      <c r="B9" s="53" t="s">
        <v>274</v>
      </c>
      <c r="C9" s="91" t="str">
        <f>IF(기초자료입력!C22&lt;&gt;"",기초자료입력!C22,IF(기초자료입력!C5&lt;&gt;"",기초자료입력!C5,"20○○")&amp;"학년도 교복 학교주관구매 제안서 정량평가 결과 보고")</f>
        <v>20○○학년도 교복 학교주관구매 제안서 정량평가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20○○학년도 교복 학교주관구매 2단계 입찰(규격가격동시) 공고와 관련하여 접수된 제안서에 대한 정량평가를 실시하고, 그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677</v>
      </c>
      <c r="C16" s="76"/>
      <c r="D16" s="76"/>
      <c r="E16" s="76"/>
      <c r="F16" s="76"/>
      <c r="G16" s="76"/>
      <c r="H16" s="76"/>
    </row>
    <row r="17" spans="2:8" x14ac:dyDescent="0.4">
      <c r="B17" s="85" t="s">
        <v>503</v>
      </c>
      <c r="C17" s="85" t="s">
        <v>60</v>
      </c>
      <c r="D17" s="85" t="s">
        <v>312</v>
      </c>
      <c r="E17" s="85"/>
      <c r="F17" s="85"/>
      <c r="G17" s="85"/>
      <c r="H17" s="85"/>
    </row>
    <row r="18" spans="2:8" x14ac:dyDescent="0.4">
      <c r="B18" s="85"/>
      <c r="C18" s="85"/>
      <c r="D18" s="60" t="s">
        <v>678</v>
      </c>
      <c r="E18" s="60" t="s">
        <v>679</v>
      </c>
      <c r="F18" s="60" t="s">
        <v>680</v>
      </c>
      <c r="G18" s="60" t="s">
        <v>681</v>
      </c>
      <c r="H18" s="60" t="s">
        <v>278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6" t="s">
        <v>682</v>
      </c>
      <c r="C30" s="86"/>
      <c r="D30" s="86"/>
      <c r="E30" s="86"/>
      <c r="F30" s="86"/>
      <c r="G30" s="86"/>
      <c r="H30" s="8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276</v>
      </c>
      <c r="G33" s="53" t="s">
        <v>287</v>
      </c>
      <c r="H33" s="53" t="s">
        <v>277</v>
      </c>
    </row>
    <row r="34" spans="2:8" x14ac:dyDescent="0.4">
      <c r="B34" s="52" t="s">
        <v>288</v>
      </c>
      <c r="C34" s="76" t="str">
        <f>IF(기초자료입력!C9&lt;&gt;"",기초자료입력!C9,"")</f>
        <v/>
      </c>
      <c r="D34" s="76"/>
      <c r="E34" s="76"/>
      <c r="F34" s="53" t="s">
        <v>289</v>
      </c>
      <c r="G34" s="89"/>
      <c r="H34" s="89"/>
    </row>
    <row r="35" spans="2:8" x14ac:dyDescent="0.4">
      <c r="B35" s="52" t="s">
        <v>290</v>
      </c>
      <c r="C35" s="37"/>
      <c r="D35" s="52" t="s">
        <v>291</v>
      </c>
      <c r="E35" s="76"/>
      <c r="F35" s="89"/>
      <c r="G35" s="89"/>
      <c r="H35" s="89"/>
    </row>
    <row r="36" spans="2:8" x14ac:dyDescent="0.4">
      <c r="B36" s="52" t="s">
        <v>292</v>
      </c>
      <c r="C36" s="37"/>
      <c r="D36" s="52" t="s">
        <v>293</v>
      </c>
      <c r="E36" s="37"/>
      <c r="F36" s="53" t="s">
        <v>294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E5DD-EA96-4D22-9652-30EA16BFDF14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671</v>
      </c>
    </row>
    <row r="3" spans="1:8" x14ac:dyDescent="0.4">
      <c r="B3" s="87" t="str">
        <f>IF(기초자료입력!C4&lt;&gt;"",기초자료입력!C4,"○○학교")&amp;" 교복 제안서 평가위원회 개최"</f>
        <v>○○학교 교복 제안서 평가위원회 개최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8" x14ac:dyDescent="0.4">
      <c r="B8" s="53" t="s">
        <v>280</v>
      </c>
      <c r="C8" s="89"/>
      <c r="D8" s="89"/>
      <c r="E8" s="89"/>
      <c r="F8" s="89"/>
      <c r="G8" s="89"/>
      <c r="H8" s="89"/>
    </row>
    <row r="9" spans="1:8" x14ac:dyDescent="0.4">
      <c r="B9" s="53" t="s">
        <v>274</v>
      </c>
      <c r="C9" s="91" t="str">
        <f>IF(기초자료입력!C22&lt;&gt;"",기초자료입력!C22,IF(기초자료입력!C5&lt;&gt;"",기초자료입력!C5,"20○○")&amp;"학년도 교복 학교주관구매 제안서 평가위원회 개최")</f>
        <v>20○○학년도 교복 학교주관구매 제안서 평가위원회 개최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6" t="str">
        <f>"2. "&amp;IF(기초자료입력!C5&lt;&gt;"",기초자료입력!C5,"20○○")&amp;"학년도 교복 학교주관구매 제안서 평가위원회를 아래와 같이 개최하고자 합니다."</f>
        <v>2. 20○○학년도 교복 학교주관구매 제안서 평가위원회를 아래와 같이 개최하고자 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672</v>
      </c>
      <c r="C16" s="92"/>
      <c r="D16" s="76"/>
      <c r="E16" s="76"/>
      <c r="F16" s="76"/>
      <c r="G16" s="76"/>
      <c r="H16" s="76"/>
    </row>
    <row r="17" spans="2:8" x14ac:dyDescent="0.4">
      <c r="B17" s="52" t="s">
        <v>673</v>
      </c>
      <c r="C17" s="92"/>
      <c r="D17" s="76"/>
      <c r="E17" s="76"/>
      <c r="F17" s="76"/>
      <c r="G17" s="76"/>
      <c r="H17" s="76"/>
    </row>
    <row r="18" spans="2:8" x14ac:dyDescent="0.4">
      <c r="B18" s="52" t="s">
        <v>674</v>
      </c>
      <c r="C18" s="76" t="str">
        <f>IF(COUNTA(기초자료입력!B58:B67)&gt;0,"평가위원 "&amp;COUNTA(기초자료입력!B58:B67)&amp;"명","")</f>
        <v/>
      </c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503</v>
      </c>
      <c r="C20" s="60" t="s">
        <v>310</v>
      </c>
      <c r="D20" s="60" t="s">
        <v>505</v>
      </c>
      <c r="E20" s="60" t="s">
        <v>299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6" t="s">
        <v>675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276</v>
      </c>
      <c r="G35" s="53" t="s">
        <v>287</v>
      </c>
      <c r="H35" s="53" t="s">
        <v>277</v>
      </c>
    </row>
    <row r="36" spans="2:8" x14ac:dyDescent="0.4">
      <c r="B36" s="52" t="s">
        <v>288</v>
      </c>
      <c r="C36" s="76" t="str">
        <f>IF(기초자료입력!C9&lt;&gt;"",기초자료입력!C9,"")</f>
        <v/>
      </c>
      <c r="D36" s="76"/>
      <c r="E36" s="76"/>
      <c r="F36" s="53" t="s">
        <v>289</v>
      </c>
      <c r="G36" s="89"/>
      <c r="H36" s="89"/>
    </row>
    <row r="37" spans="2:8" x14ac:dyDescent="0.4">
      <c r="B37" s="52" t="s">
        <v>290</v>
      </c>
      <c r="C37" s="37"/>
      <c r="D37" s="52" t="s">
        <v>291</v>
      </c>
      <c r="E37" s="76"/>
      <c r="F37" s="89"/>
      <c r="G37" s="89"/>
      <c r="H37" s="89"/>
    </row>
    <row r="38" spans="2:8" x14ac:dyDescent="0.4">
      <c r="B38" s="52" t="s">
        <v>292</v>
      </c>
      <c r="C38" s="37"/>
      <c r="D38" s="52" t="s">
        <v>293</v>
      </c>
      <c r="E38" s="37"/>
      <c r="F38" s="53" t="s">
        <v>294</v>
      </c>
      <c r="G38" s="89"/>
      <c r="H38" s="89"/>
    </row>
  </sheetData>
  <mergeCells count="14">
    <mergeCell ref="B13:H14"/>
    <mergeCell ref="B3:H4"/>
    <mergeCell ref="C7:H7"/>
    <mergeCell ref="C8:H8"/>
    <mergeCell ref="C9:H9"/>
    <mergeCell ref="B11:H11"/>
    <mergeCell ref="E37:H37"/>
    <mergeCell ref="G38:H38"/>
    <mergeCell ref="C16:H16"/>
    <mergeCell ref="C17:H17"/>
    <mergeCell ref="C18:H18"/>
    <mergeCell ref="B32:H32"/>
    <mergeCell ref="C36:E36"/>
    <mergeCell ref="G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2C6D9-D3AA-4735-8846-079F5B7A7C05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658</v>
      </c>
    </row>
    <row r="3" spans="1:17" x14ac:dyDescent="0.4">
      <c r="B3" s="77" t="str">
        <f>IF(기초자료입력!C5&lt;&gt;"",기초자료입력!C5,"20○○")&amp;"학년도 교복 학교주관구매 제안서 접수대장"</f>
        <v>20○○학년도 교복 학교주관구매 제안서 접수대장</v>
      </c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7" x14ac:dyDescent="0.4">
      <c r="B4" s="78" t="str">
        <f>IF(기초자료입력!C4&lt;&gt;"",기초자료입력!C4,"○○학교")</f>
        <v>○○학교</v>
      </c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2" t="s">
        <v>659</v>
      </c>
      <c r="C6" s="82" t="s">
        <v>660</v>
      </c>
      <c r="D6" s="82" t="s">
        <v>661</v>
      </c>
      <c r="E6" s="82"/>
      <c r="F6" s="82"/>
      <c r="G6" s="82" t="s">
        <v>662</v>
      </c>
      <c r="H6" s="82"/>
      <c r="I6" s="82"/>
      <c r="J6" s="82" t="s">
        <v>663</v>
      </c>
      <c r="K6" s="82"/>
      <c r="L6" s="82" t="s">
        <v>299</v>
      </c>
    </row>
    <row r="7" spans="1:17" ht="30" customHeight="1" x14ac:dyDescent="0.4">
      <c r="B7" s="82"/>
      <c r="C7" s="82"/>
      <c r="D7" s="63" t="s">
        <v>60</v>
      </c>
      <c r="E7" s="63" t="s">
        <v>365</v>
      </c>
      <c r="F7" s="63" t="s">
        <v>292</v>
      </c>
      <c r="G7" s="63" t="s">
        <v>664</v>
      </c>
      <c r="H7" s="63" t="s">
        <v>665</v>
      </c>
      <c r="I7" s="63" t="s">
        <v>603</v>
      </c>
      <c r="J7" s="63" t="s">
        <v>666</v>
      </c>
      <c r="K7" s="63" t="s">
        <v>664</v>
      </c>
      <c r="L7" s="82"/>
      <c r="M7" t="s">
        <v>292</v>
      </c>
      <c r="N7" s="27" t="s">
        <v>664</v>
      </c>
      <c r="O7" t="s">
        <v>665</v>
      </c>
      <c r="P7" t="s">
        <v>667</v>
      </c>
      <c r="Q7" t="s">
        <v>668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4"/>
      <c r="G8" s="64"/>
      <c r="H8" s="64"/>
      <c r="I8" s="64"/>
      <c r="J8" s="64"/>
      <c r="K8" s="64"/>
      <c r="L8" s="64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4"/>
      <c r="G9" s="64"/>
      <c r="H9" s="64"/>
      <c r="I9" s="64"/>
      <c r="J9" s="64"/>
      <c r="K9" s="64"/>
      <c r="L9" s="64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4"/>
      <c r="G10" s="64"/>
      <c r="H10" s="64"/>
      <c r="I10" s="64"/>
      <c r="J10" s="64"/>
      <c r="K10" s="64"/>
      <c r="L10" s="64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4"/>
      <c r="G11" s="64"/>
      <c r="H11" s="64"/>
      <c r="I11" s="64"/>
      <c r="J11" s="64"/>
      <c r="K11" s="64"/>
      <c r="L11" s="64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4"/>
      <c r="G12" s="64"/>
      <c r="H12" s="64"/>
      <c r="I12" s="64"/>
      <c r="J12" s="64"/>
      <c r="K12" s="64"/>
      <c r="L12" s="64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4"/>
      <c r="G13" s="64"/>
      <c r="H13" s="64"/>
      <c r="I13" s="64"/>
      <c r="J13" s="64"/>
      <c r="K13" s="64"/>
      <c r="L13" s="64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4"/>
      <c r="G14" s="64"/>
      <c r="H14" s="64"/>
      <c r="I14" s="64"/>
      <c r="J14" s="64"/>
      <c r="K14" s="64"/>
      <c r="L14" s="64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4"/>
      <c r="G15" s="64"/>
      <c r="H15" s="64"/>
      <c r="I15" s="64"/>
      <c r="J15" s="64"/>
      <c r="K15" s="64"/>
      <c r="L15" s="64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4"/>
      <c r="G16" s="64"/>
      <c r="H16" s="64"/>
      <c r="I16" s="64"/>
      <c r="J16" s="64"/>
      <c r="K16" s="64"/>
      <c r="L16" s="64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4"/>
      <c r="G17" s="64"/>
      <c r="H17" s="64"/>
      <c r="I17" s="64"/>
      <c r="J17" s="64"/>
      <c r="K17" s="64"/>
      <c r="L17" s="64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6" t="s">
        <v>669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2:12" x14ac:dyDescent="0.4">
      <c r="B21" s="76" t="s">
        <v>670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C97A-24AF-432D-9837-D38620E4EF6E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653</v>
      </c>
    </row>
    <row r="3" spans="1:8" x14ac:dyDescent="0.4">
      <c r="B3" s="87" t="str">
        <f>IF(기초자료입력!C4&lt;&gt;"",기초자료입력!C4,"○○학교")&amp;" 교복구매 제안서 접수 결과"</f>
        <v>○○학교 교복구매 제안서 접수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8" x14ac:dyDescent="0.4">
      <c r="B8" s="53" t="s">
        <v>280</v>
      </c>
      <c r="C8" s="89"/>
      <c r="D8" s="89"/>
      <c r="E8" s="89"/>
      <c r="F8" s="89"/>
      <c r="G8" s="89"/>
      <c r="H8" s="89"/>
    </row>
    <row r="9" spans="1:8" x14ac:dyDescent="0.4">
      <c r="B9" s="53" t="s">
        <v>274</v>
      </c>
      <c r="C9" s="91" t="str">
        <f>IF(기초자료입력!C22&lt;&gt;"",기초자료입력!C22,IF(기초자료입력!C5&lt;&gt;"",기초자료입력!C5,"20○○")&amp;"학년도 교복 학교주관구매 제안서 접수 결과 보고")</f>
        <v>20○○학년도 교복 학교주관구매 제안서 접수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20○○학년도 교복 학교주관구매 2단계 입찰(규격·가격 동시) 공고와 관련하여 제안서 접수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654</v>
      </c>
      <c r="C16" s="76"/>
      <c r="D16" s="76"/>
      <c r="E16" s="76"/>
      <c r="F16" s="76"/>
      <c r="G16" s="76"/>
      <c r="H16" s="76"/>
    </row>
    <row r="17" spans="2:8" x14ac:dyDescent="0.4">
      <c r="B17" s="85" t="s">
        <v>655</v>
      </c>
      <c r="C17" s="85" t="s">
        <v>656</v>
      </c>
      <c r="D17" s="85" t="s">
        <v>657</v>
      </c>
      <c r="E17" s="85"/>
      <c r="F17" s="37"/>
      <c r="G17" s="37"/>
      <c r="H17" s="37"/>
    </row>
    <row r="18" spans="2:8" x14ac:dyDescent="0.4">
      <c r="B18" s="85"/>
      <c r="C18" s="85"/>
      <c r="D18" s="60" t="s">
        <v>60</v>
      </c>
      <c r="E18" s="60" t="s">
        <v>365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6" t="str">
        <f>"붙임  "&amp;IF(기초자료입력!C5&lt;&gt;"",기초자료입력!C5,"20○○")&amp;"학년도 교복 학교주관구매 제안서 접수대장 1부.  끝."</f>
        <v>붙임  20○○학년도 교복 학교주관구매 제안서 접수대장 1부.  끝.</v>
      </c>
      <c r="C30" s="76"/>
      <c r="D30" s="76"/>
      <c r="E30" s="76"/>
      <c r="F30" s="76"/>
      <c r="G30" s="76"/>
      <c r="H30" s="7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276</v>
      </c>
      <c r="G33" s="53" t="s">
        <v>287</v>
      </c>
      <c r="H33" s="53" t="s">
        <v>277</v>
      </c>
    </row>
    <row r="34" spans="2:8" x14ac:dyDescent="0.4">
      <c r="B34" s="52" t="s">
        <v>288</v>
      </c>
      <c r="C34" s="76" t="str">
        <f>IF(기초자료입력!C9&lt;&gt;"",기초자료입력!C9,"")</f>
        <v/>
      </c>
      <c r="D34" s="76"/>
      <c r="E34" s="76"/>
      <c r="F34" s="53" t="s">
        <v>289</v>
      </c>
      <c r="G34" s="89"/>
      <c r="H34" s="89"/>
    </row>
    <row r="35" spans="2:8" x14ac:dyDescent="0.4">
      <c r="B35" s="52" t="s">
        <v>290</v>
      </c>
      <c r="C35" s="37"/>
      <c r="D35" s="52" t="s">
        <v>291</v>
      </c>
      <c r="E35" s="76"/>
      <c r="F35" s="89"/>
      <c r="G35" s="89"/>
      <c r="H35" s="89"/>
    </row>
    <row r="36" spans="2:8" x14ac:dyDescent="0.4">
      <c r="B36" s="52" t="s">
        <v>292</v>
      </c>
      <c r="C36" s="37"/>
      <c r="D36" s="52" t="s">
        <v>293</v>
      </c>
      <c r="E36" s="37"/>
      <c r="F36" s="53" t="s">
        <v>294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93663-22D2-4737-A42E-3DE1955B85F2}">
  <sheetPr codeName="Sheet14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645</v>
      </c>
    </row>
    <row r="2" spans="1:8" x14ac:dyDescent="0.4">
      <c r="G2" s="93" t="str">
        <f>IF(기초자료입력!C4&lt;&gt;"",기초자료입력!C4,"○ ○ 학 교")</f>
        <v>○ ○ 학 교</v>
      </c>
      <c r="H2" s="88"/>
    </row>
    <row r="3" spans="1:8" x14ac:dyDescent="0.4">
      <c r="B3" s="87" t="s">
        <v>646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273</v>
      </c>
      <c r="C7" s="89" t="s">
        <v>647</v>
      </c>
      <c r="D7" s="89"/>
      <c r="E7" s="89"/>
      <c r="F7" s="89"/>
      <c r="G7" s="89"/>
      <c r="H7" s="89"/>
    </row>
    <row r="8" spans="1:8" x14ac:dyDescent="0.4">
      <c r="B8" s="53" t="s">
        <v>280</v>
      </c>
      <c r="C8" s="89"/>
      <c r="D8" s="89"/>
      <c r="E8" s="89"/>
      <c r="F8" s="89"/>
      <c r="G8" s="89"/>
      <c r="H8" s="89"/>
    </row>
    <row r="9" spans="1:8" x14ac:dyDescent="0.4">
      <c r="B9" s="53" t="s">
        <v>274</v>
      </c>
      <c r="C9" s="91" t="str">
        <f>IF(기초자료입력!C22&lt;&gt;"",기초자료입력!C22,"신입생 교복구매 사전 안내 가정통신문 발송")</f>
        <v>신입생 교복구매 사전 안내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648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649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650</v>
      </c>
      <c r="C15" s="76" t="str">
        <f>IF(기초자료입력!C5&lt;&gt;"",기초자료입력!C5,"20○○")&amp;"학년도 예비 중1(예비 고1) 학생 및 학부모"</f>
        <v>20○○학년도 예비 중1(예비 고1) 학생 및 학부모</v>
      </c>
      <c r="D15" s="76"/>
      <c r="E15" s="76"/>
      <c r="F15" s="76"/>
      <c r="G15" s="76"/>
      <c r="H15" s="76"/>
    </row>
    <row r="16" spans="1:8" x14ac:dyDescent="0.4">
      <c r="B16" s="52" t="s">
        <v>651</v>
      </c>
      <c r="C16" s="76" t="str">
        <f>IF(기초자료입력!C12&lt;&gt;"",기초자료입력!C12&amp;" 관련 교복 학교주관구매 참여 및 지원 방법, 기타 교복관련 사항","교복 학교주관구매 참여 및 지원 방법, 기타 교복관련 사항")</f>
        <v>교복 학교주관구매 참여 및 지원 방법, 기타 교복관련 사항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652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276</v>
      </c>
      <c r="G22" s="53" t="s">
        <v>287</v>
      </c>
      <c r="H22" s="53" t="s">
        <v>277</v>
      </c>
    </row>
    <row r="23" spans="2:8" x14ac:dyDescent="0.4">
      <c r="B23" s="52" t="s">
        <v>288</v>
      </c>
      <c r="C23" s="76" t="str">
        <f>IF(기초자료입력!C9&lt;&gt;"",기초자료입력!C9,"")</f>
        <v/>
      </c>
      <c r="D23" s="76"/>
      <c r="E23" s="76"/>
      <c r="F23" s="53" t="s">
        <v>289</v>
      </c>
      <c r="G23" s="89"/>
      <c r="H23" s="89"/>
    </row>
    <row r="24" spans="2:8" x14ac:dyDescent="0.4">
      <c r="B24" s="52" t="s">
        <v>290</v>
      </c>
      <c r="C24" s="37"/>
      <c r="D24" s="52" t="s">
        <v>291</v>
      </c>
      <c r="E24" s="76"/>
      <c r="F24" s="89"/>
      <c r="G24" s="89"/>
      <c r="H24" s="89"/>
    </row>
    <row r="25" spans="2:8" x14ac:dyDescent="0.4">
      <c r="B25" s="52" t="s">
        <v>292</v>
      </c>
      <c r="C25" s="37"/>
      <c r="D25" s="52" t="s">
        <v>293</v>
      </c>
      <c r="E25" s="37"/>
      <c r="F25" s="53" t="s">
        <v>294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9EFEB-D9FB-440F-A99A-7E37E0A13A41}">
  <sheetPr codeName="Sheet15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628</v>
      </c>
    </row>
    <row r="2" spans="1:9" x14ac:dyDescent="0.4">
      <c r="I2" s="35" t="s">
        <v>629</v>
      </c>
    </row>
    <row r="3" spans="1:9" x14ac:dyDescent="0.4">
      <c r="B3" s="87" t="s">
        <v>630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9" x14ac:dyDescent="0.4">
      <c r="B8" s="53" t="s">
        <v>280</v>
      </c>
      <c r="C8" s="89"/>
      <c r="D8" s="89"/>
      <c r="E8" s="89"/>
      <c r="F8" s="89"/>
      <c r="G8" s="89"/>
      <c r="H8" s="89"/>
    </row>
    <row r="9" spans="1:9" x14ac:dyDescent="0.4">
      <c r="B9" s="53" t="s">
        <v>274</v>
      </c>
      <c r="C9" s="91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281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6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631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632</v>
      </c>
      <c r="C16" s="95"/>
      <c r="D16" s="76"/>
      <c r="E16" s="76" t="s">
        <v>633</v>
      </c>
      <c r="F16" s="76"/>
      <c r="G16" s="76"/>
      <c r="H16" s="76"/>
    </row>
    <row r="17" spans="2:8" x14ac:dyDescent="0.4">
      <c r="B17" s="52" t="s">
        <v>634</v>
      </c>
      <c r="C17" s="76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6"/>
      <c r="E17" s="76"/>
      <c r="F17" s="76"/>
      <c r="G17" s="76"/>
      <c r="H17" s="76"/>
    </row>
    <row r="18" spans="2:8" x14ac:dyDescent="0.4">
      <c r="B18" s="76" t="s">
        <v>635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1" t="s">
        <v>636</v>
      </c>
      <c r="C20" s="76"/>
      <c r="D20" s="76"/>
      <c r="E20" s="76"/>
      <c r="F20" s="76"/>
      <c r="G20" s="76"/>
      <c r="H20" s="76"/>
    </row>
    <row r="21" spans="2:8" x14ac:dyDescent="0.4">
      <c r="B21" s="31" t="s">
        <v>60</v>
      </c>
      <c r="C21" s="31" t="s">
        <v>637</v>
      </c>
      <c r="D21" s="31" t="s">
        <v>365</v>
      </c>
      <c r="E21" s="31" t="s">
        <v>417</v>
      </c>
      <c r="F21" s="76"/>
      <c r="G21" s="76"/>
      <c r="H21" s="76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6"/>
      <c r="G22" s="76"/>
      <c r="H22" s="76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4" t="s">
        <v>638</v>
      </c>
      <c r="C24" s="86"/>
      <c r="D24" s="86"/>
      <c r="E24" s="86"/>
      <c r="F24" s="86"/>
      <c r="G24" s="86"/>
      <c r="H24" s="86"/>
    </row>
    <row r="25" spans="2:8" x14ac:dyDescent="0.4">
      <c r="B25" s="76" t="str">
        <f>"5. 납품기한："&amp;IF(기초자료입력!C17&lt;&gt;"",TEXT(기초자료입력!C17,"yyyy.mm.dd."),"")</f>
        <v>5. 납품기한：</v>
      </c>
      <c r="C25" s="76"/>
      <c r="D25" s="76"/>
      <c r="E25" s="76"/>
      <c r="F25" s="76"/>
      <c r="G25" s="76"/>
      <c r="H25" s="76"/>
    </row>
    <row r="26" spans="2:8" x14ac:dyDescent="0.4">
      <c r="B26" s="81" t="s">
        <v>639</v>
      </c>
      <c r="C26" s="76"/>
      <c r="D26" s="76"/>
      <c r="E26" s="76"/>
      <c r="F26" s="76"/>
      <c r="G26" s="76"/>
      <c r="H26" s="76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6" t="s">
        <v>640</v>
      </c>
      <c r="C28" s="76"/>
      <c r="D28" s="76"/>
      <c r="E28" s="76"/>
      <c r="F28" s="76"/>
      <c r="G28" s="76"/>
      <c r="H28" s="76"/>
    </row>
    <row r="29" spans="2:8" x14ac:dyDescent="0.4">
      <c r="B29" s="76" t="s">
        <v>641</v>
      </c>
      <c r="C29" s="76"/>
      <c r="D29" s="76"/>
      <c r="E29" s="76"/>
      <c r="F29" s="76"/>
      <c r="G29" s="76"/>
      <c r="H29" s="76"/>
    </row>
    <row r="30" spans="2:8" x14ac:dyDescent="0.4">
      <c r="B30" s="76" t="s">
        <v>642</v>
      </c>
      <c r="C30" s="76"/>
      <c r="D30" s="76"/>
      <c r="E30" s="76"/>
      <c r="F30" s="76"/>
      <c r="G30" s="76"/>
      <c r="H30" s="76"/>
    </row>
    <row r="31" spans="2:8" x14ac:dyDescent="0.4">
      <c r="B31" s="76" t="s">
        <v>643</v>
      </c>
      <c r="C31" s="76"/>
      <c r="D31" s="76"/>
      <c r="E31" s="76"/>
      <c r="F31" s="76"/>
      <c r="G31" s="76"/>
      <c r="H31" s="76"/>
    </row>
    <row r="32" spans="2:8" x14ac:dyDescent="0.4">
      <c r="B32" s="76" t="s">
        <v>644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276</v>
      </c>
      <c r="G34" s="53" t="s">
        <v>287</v>
      </c>
      <c r="H34" s="53" t="s">
        <v>277</v>
      </c>
    </row>
    <row r="35" spans="2:8" x14ac:dyDescent="0.4">
      <c r="B35" s="52" t="s">
        <v>288</v>
      </c>
      <c r="C35" s="76" t="str">
        <f>IF(기초자료입력!C9&lt;&gt;"",기초자료입력!C9,"")</f>
        <v/>
      </c>
      <c r="D35" s="76"/>
      <c r="E35" s="76"/>
      <c r="F35" s="53" t="s">
        <v>289</v>
      </c>
      <c r="G35" s="89"/>
      <c r="H35" s="89"/>
    </row>
    <row r="36" spans="2:8" x14ac:dyDescent="0.4">
      <c r="B36" s="52" t="s">
        <v>290</v>
      </c>
      <c r="C36" s="37"/>
      <c r="D36" s="52" t="s">
        <v>291</v>
      </c>
      <c r="E36" s="76"/>
      <c r="F36" s="89"/>
      <c r="G36" s="89"/>
      <c r="H36" s="89"/>
    </row>
    <row r="37" spans="2:8" x14ac:dyDescent="0.4">
      <c r="B37" s="52" t="s">
        <v>292</v>
      </c>
      <c r="C37" s="37"/>
      <c r="D37" s="52" t="s">
        <v>293</v>
      </c>
      <c r="E37" s="37"/>
      <c r="F37" s="53" t="s">
        <v>294</v>
      </c>
      <c r="G37" s="89"/>
      <c r="H37" s="89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1D755-3CC4-4F1F-A311-26625F00F3A2}">
  <sheetPr codeName="Sheet16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618</v>
      </c>
    </row>
    <row r="2" spans="1:9" x14ac:dyDescent="0.4">
      <c r="I2" s="35" t="s">
        <v>607</v>
      </c>
    </row>
    <row r="3" spans="1:9" x14ac:dyDescent="0.4">
      <c r="B3" s="87" t="s">
        <v>619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273</v>
      </c>
      <c r="C7" s="89">
        <f>IFERROR(INDEX(기초자료입력!$B$44:$B$53,I3),"")</f>
        <v>0</v>
      </c>
      <c r="D7" s="89"/>
      <c r="E7" s="89"/>
      <c r="F7" s="89"/>
      <c r="G7" s="89"/>
      <c r="H7" s="89"/>
    </row>
    <row r="8" spans="1:9" x14ac:dyDescent="0.4">
      <c r="B8" s="53" t="s">
        <v>280</v>
      </c>
      <c r="C8" s="89"/>
      <c r="D8" s="89"/>
      <c r="E8" s="89"/>
      <c r="F8" s="89"/>
      <c r="G8" s="89"/>
      <c r="H8" s="89"/>
    </row>
    <row r="9" spans="1:9" x14ac:dyDescent="0.4">
      <c r="B9" s="53" t="s">
        <v>274</v>
      </c>
      <c r="C9" s="91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1" t="s">
        <v>620</v>
      </c>
      <c r="C11" s="76"/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6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1" t="s">
        <v>621</v>
      </c>
      <c r="C15" s="76"/>
      <c r="D15" s="76"/>
      <c r="E15" s="76"/>
      <c r="F15" s="76"/>
      <c r="G15" s="76"/>
      <c r="H15" s="76"/>
    </row>
    <row r="16" spans="1:9" x14ac:dyDescent="0.4">
      <c r="B16" s="31" t="s">
        <v>60</v>
      </c>
      <c r="C16" s="31" t="s">
        <v>365</v>
      </c>
      <c r="D16" s="31" t="s">
        <v>56</v>
      </c>
      <c r="E16" s="31" t="s">
        <v>36</v>
      </c>
      <c r="F16" s="59" t="s">
        <v>622</v>
      </c>
      <c r="G16" s="31" t="s">
        <v>299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623</v>
      </c>
      <c r="C19" s="76"/>
      <c r="D19" s="76"/>
      <c r="E19" s="76"/>
      <c r="F19" s="76"/>
      <c r="G19" s="76"/>
      <c r="H19" s="76"/>
    </row>
    <row r="20" spans="2:8" x14ac:dyDescent="0.4">
      <c r="B20" s="76" t="s">
        <v>624</v>
      </c>
      <c r="C20" s="76"/>
      <c r="D20" s="76"/>
      <c r="E20" s="76"/>
      <c r="F20" s="76"/>
      <c r="G20" s="76"/>
      <c r="H20" s="76"/>
    </row>
    <row r="21" spans="2:8" x14ac:dyDescent="0.4">
      <c r="B21" s="76" t="s">
        <v>625</v>
      </c>
      <c r="C21" s="76"/>
      <c r="D21" s="76"/>
      <c r="E21" s="76"/>
      <c r="F21" s="76"/>
      <c r="G21" s="76"/>
      <c r="H21" s="76"/>
    </row>
    <row r="22" spans="2:8" x14ac:dyDescent="0.4">
      <c r="B22" s="76" t="s">
        <v>626</v>
      </c>
      <c r="C22" s="76"/>
      <c r="D22" s="76"/>
      <c r="E22" s="76"/>
      <c r="F22" s="76"/>
      <c r="G22" s="76"/>
      <c r="H22" s="76"/>
    </row>
    <row r="23" spans="2:8" x14ac:dyDescent="0.4">
      <c r="B23" s="76" t="s">
        <v>627</v>
      </c>
      <c r="C23" s="76"/>
      <c r="D23" s="76"/>
      <c r="E23" s="76"/>
      <c r="F23" s="76"/>
      <c r="G23" s="76"/>
      <c r="H23" s="7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276</v>
      </c>
      <c r="G26" s="53" t="s">
        <v>287</v>
      </c>
      <c r="H26" s="53" t="s">
        <v>277</v>
      </c>
    </row>
    <row r="27" spans="2:8" x14ac:dyDescent="0.4">
      <c r="B27" s="52" t="s">
        <v>288</v>
      </c>
      <c r="C27" s="76" t="str">
        <f>IF(기초자료입력!C9&lt;&gt;"",기초자료입력!C9,"")</f>
        <v/>
      </c>
      <c r="D27" s="76"/>
      <c r="E27" s="76"/>
      <c r="F27" s="53" t="s">
        <v>289</v>
      </c>
      <c r="G27" s="89"/>
      <c r="H27" s="89"/>
    </row>
    <row r="28" spans="2:8" x14ac:dyDescent="0.4">
      <c r="B28" s="52" t="s">
        <v>290</v>
      </c>
      <c r="C28" s="37"/>
      <c r="D28" s="52" t="s">
        <v>291</v>
      </c>
      <c r="E28" s="76"/>
      <c r="F28" s="89"/>
      <c r="G28" s="89"/>
      <c r="H28" s="89"/>
    </row>
    <row r="29" spans="2:8" x14ac:dyDescent="0.4">
      <c r="B29" s="52" t="s">
        <v>292</v>
      </c>
      <c r="C29" s="37"/>
      <c r="D29" s="52" t="s">
        <v>293</v>
      </c>
      <c r="E29" s="37"/>
      <c r="F29" s="53" t="s">
        <v>294</v>
      </c>
      <c r="G29" s="89"/>
      <c r="H29" s="89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F1992-BECD-4B8B-BDF3-772D1120BFE0}">
  <sheetPr codeName="Sheet17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606</v>
      </c>
    </row>
    <row r="2" spans="1:9" x14ac:dyDescent="0.4">
      <c r="I2" s="35" t="s">
        <v>607</v>
      </c>
    </row>
    <row r="3" spans="1:9" x14ac:dyDescent="0.4">
      <c r="B3" s="87" t="s">
        <v>608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9" x14ac:dyDescent="0.4">
      <c r="B8" s="53" t="s">
        <v>280</v>
      </c>
      <c r="C8" s="89"/>
      <c r="D8" s="89"/>
      <c r="E8" s="89"/>
      <c r="F8" s="89"/>
      <c r="G8" s="89"/>
      <c r="H8" s="89"/>
    </row>
    <row r="9" spans="1:9" x14ac:dyDescent="0.4">
      <c r="B9" s="53" t="s">
        <v>274</v>
      </c>
      <c r="C9" s="91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281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6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609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610</v>
      </c>
      <c r="C16" s="76" t="str">
        <f>IF(기초자료입력!C15&lt;&gt;"","금"&amp;TEXT(기초자료입력!C15,"#,##0")&amp;"원","")</f>
        <v/>
      </c>
      <c r="D16" s="76"/>
      <c r="E16" s="76"/>
      <c r="F16" s="76"/>
      <c r="G16" s="76"/>
      <c r="H16" s="76"/>
    </row>
    <row r="17" spans="2:8" x14ac:dyDescent="0.4">
      <c r="B17" s="52" t="s">
        <v>611</v>
      </c>
      <c r="C17" s="92"/>
      <c r="D17" s="76"/>
      <c r="E17" s="76"/>
      <c r="F17" s="76"/>
      <c r="G17" s="76"/>
      <c r="H17" s="76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612</v>
      </c>
      <c r="C19" s="76"/>
      <c r="D19" s="76"/>
      <c r="E19" s="76"/>
      <c r="F19" s="76"/>
      <c r="G19" s="76"/>
      <c r="H19" s="76"/>
    </row>
    <row r="20" spans="2:8" x14ac:dyDescent="0.4">
      <c r="B20" s="31" t="s">
        <v>613</v>
      </c>
      <c r="C20" s="31" t="s">
        <v>60</v>
      </c>
      <c r="D20" s="31" t="s">
        <v>365</v>
      </c>
      <c r="E20" s="31" t="s">
        <v>614</v>
      </c>
      <c r="F20" s="31" t="s">
        <v>615</v>
      </c>
      <c r="G20" s="31" t="s">
        <v>616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4" t="s">
        <v>617</v>
      </c>
      <c r="C23" s="86"/>
      <c r="D23" s="86"/>
      <c r="E23" s="86"/>
      <c r="F23" s="86"/>
      <c r="G23" s="86"/>
      <c r="H23" s="8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276</v>
      </c>
      <c r="G26" s="53" t="s">
        <v>287</v>
      </c>
      <c r="H26" s="53" t="s">
        <v>277</v>
      </c>
    </row>
    <row r="27" spans="2:8" x14ac:dyDescent="0.4">
      <c r="B27" s="52" t="s">
        <v>288</v>
      </c>
      <c r="C27" s="76" t="str">
        <f>IF(기초자료입력!C9&lt;&gt;"",기초자료입력!C9,"")</f>
        <v/>
      </c>
      <c r="D27" s="76"/>
      <c r="E27" s="76"/>
      <c r="F27" s="53" t="s">
        <v>289</v>
      </c>
      <c r="G27" s="89"/>
      <c r="H27" s="89"/>
    </row>
    <row r="28" spans="2:8" x14ac:dyDescent="0.4">
      <c r="B28" s="52" t="s">
        <v>290</v>
      </c>
      <c r="C28" s="37"/>
      <c r="D28" s="52" t="s">
        <v>291</v>
      </c>
      <c r="E28" s="76"/>
      <c r="F28" s="89"/>
      <c r="G28" s="89"/>
      <c r="H28" s="89"/>
    </row>
    <row r="29" spans="2:8" x14ac:dyDescent="0.4">
      <c r="B29" s="52" t="s">
        <v>292</v>
      </c>
      <c r="C29" s="37"/>
      <c r="D29" s="52" t="s">
        <v>293</v>
      </c>
      <c r="E29" s="37"/>
      <c r="F29" s="53" t="s">
        <v>294</v>
      </c>
      <c r="G29" s="89"/>
      <c r="H29" s="89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21EE6-DD6E-4C72-B8E2-B059752B7170}">
  <sheetPr codeName="Sheet18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587</v>
      </c>
    </row>
    <row r="3" spans="1:8" x14ac:dyDescent="0.4">
      <c r="B3" s="74" t="str">
        <f>IF(기초자료입력!C4&lt;&gt;"",기초자료입력!C4,"○○학교")&amp;" 교복 학교주관구매 계획(안)"</f>
        <v>○○학교 교복 학교주관구매 계획(안)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588</v>
      </c>
      <c r="C6" s="96"/>
      <c r="D6" s="96"/>
      <c r="E6" s="96"/>
      <c r="F6" s="96"/>
      <c r="G6" s="96"/>
      <c r="H6" s="96"/>
    </row>
    <row r="7" spans="1:8" x14ac:dyDescent="0.4">
      <c r="B7" s="25" t="s">
        <v>589</v>
      </c>
      <c r="C7" s="96"/>
      <c r="D7" s="96"/>
      <c r="E7" s="96"/>
      <c r="F7" s="96"/>
      <c r="G7" s="96"/>
      <c r="H7" s="96"/>
    </row>
    <row r="8" spans="1:8" x14ac:dyDescent="0.4">
      <c r="B8" s="25" t="s">
        <v>590</v>
      </c>
      <c r="C8" s="96"/>
      <c r="D8" s="96"/>
      <c r="E8" s="96"/>
      <c r="F8" s="96"/>
      <c r="G8" s="96"/>
      <c r="H8" s="96"/>
    </row>
    <row r="9" spans="1:8" x14ac:dyDescent="0.4">
      <c r="B9" s="25" t="s">
        <v>591</v>
      </c>
      <c r="C9" s="96"/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4" t="s">
        <v>592</v>
      </c>
      <c r="C11" s="83"/>
      <c r="D11" s="83"/>
      <c r="E11" s="83"/>
      <c r="F11" s="83"/>
      <c r="G11" s="83"/>
      <c r="H11" s="83"/>
    </row>
    <row r="12" spans="1:8" x14ac:dyDescent="0.4">
      <c r="B12" s="83" t="s">
        <v>593</v>
      </c>
      <c r="C12" s="83"/>
      <c r="D12" s="83"/>
      <c r="E12" s="83"/>
      <c r="F12" s="83"/>
      <c r="G12" s="83"/>
      <c r="H12" s="83"/>
    </row>
    <row r="13" spans="1:8" ht="28.05" customHeight="1" x14ac:dyDescent="0.4">
      <c r="B13" s="72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">
        <v>594</v>
      </c>
      <c r="C15" s="83"/>
      <c r="D15" s="83"/>
      <c r="E15" s="83"/>
      <c r="F15" s="83"/>
      <c r="G15" s="83"/>
      <c r="H15" s="83"/>
    </row>
    <row r="16" spans="1:8" x14ac:dyDescent="0.4">
      <c r="B16" s="84" t="s">
        <v>595</v>
      </c>
      <c r="C16" s="83"/>
      <c r="D16" s="83"/>
      <c r="E16" s="83"/>
      <c r="F16" s="83"/>
      <c r="G16" s="83"/>
      <c r="H16" s="83"/>
    </row>
    <row r="17" spans="2:8" x14ac:dyDescent="0.4">
      <c r="B17" s="83" t="s">
        <v>596</v>
      </c>
      <c r="C17" s="83"/>
      <c r="D17" s="83"/>
      <c r="E17" s="83"/>
      <c r="F17" s="83"/>
      <c r="G17" s="83"/>
      <c r="H17" s="83"/>
    </row>
    <row r="18" spans="2:8" x14ac:dyDescent="0.4">
      <c r="B18" s="83" t="s">
        <v>597</v>
      </c>
      <c r="C18" s="83"/>
      <c r="D18" s="83"/>
      <c r="E18" s="83"/>
      <c r="F18" s="83"/>
      <c r="G18" s="83"/>
      <c r="H18" s="83"/>
    </row>
    <row r="19" spans="2:8" x14ac:dyDescent="0.4">
      <c r="B19" s="84" t="s">
        <v>598</v>
      </c>
      <c r="C19" s="83"/>
      <c r="D19" s="83"/>
      <c r="E19" s="83"/>
      <c r="F19" s="83"/>
      <c r="G19" s="83"/>
      <c r="H19" s="83"/>
    </row>
    <row r="20" spans="2:8" x14ac:dyDescent="0.4">
      <c r="B20" s="83" t="s">
        <v>599</v>
      </c>
      <c r="C20" s="83"/>
      <c r="D20" s="83"/>
      <c r="E20" s="83"/>
      <c r="F20" s="83"/>
      <c r="G20" s="83"/>
      <c r="H20" s="83"/>
    </row>
    <row r="21" spans="2:8" x14ac:dyDescent="0.4">
      <c r="B21" s="84" t="s">
        <v>600</v>
      </c>
      <c r="C21" s="83"/>
      <c r="D21" s="83"/>
      <c r="E21" s="83"/>
      <c r="F21" s="83"/>
      <c r="G21" s="83"/>
      <c r="H21" s="83"/>
    </row>
    <row r="22" spans="2:8" x14ac:dyDescent="0.4">
      <c r="B22" s="83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83"/>
      <c r="D22" s="83"/>
      <c r="E22" s="83"/>
      <c r="F22" s="83"/>
      <c r="G22" s="83"/>
      <c r="H22" s="83"/>
    </row>
    <row r="23" spans="2:8" x14ac:dyDescent="0.4">
      <c r="B23" s="84" t="s">
        <v>601</v>
      </c>
      <c r="C23" s="83"/>
      <c r="D23" s="83"/>
      <c r="E23" s="83"/>
      <c r="F23" s="83"/>
      <c r="G23" s="83"/>
      <c r="H23" s="83"/>
    </row>
    <row r="24" spans="2:8" x14ac:dyDescent="0.4">
      <c r="B24" s="83" t="s">
        <v>602</v>
      </c>
      <c r="C24" s="83"/>
      <c r="D24" s="83"/>
      <c r="E24" s="83"/>
      <c r="F24" s="83"/>
      <c r="G24" s="83"/>
      <c r="H24" s="83"/>
    </row>
    <row r="25" spans="2:8" x14ac:dyDescent="0.4">
      <c r="B25" s="26" t="s">
        <v>503</v>
      </c>
      <c r="C25" s="26" t="s">
        <v>310</v>
      </c>
      <c r="D25" s="26" t="s">
        <v>603</v>
      </c>
      <c r="E25" s="26" t="s">
        <v>505</v>
      </c>
      <c r="F25" s="97" t="s">
        <v>299</v>
      </c>
      <c r="G25" s="98"/>
      <c r="H25" s="9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96"/>
      <c r="G26" s="96"/>
      <c r="H26" s="9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96"/>
      <c r="G27" s="96"/>
      <c r="H27" s="9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96"/>
      <c r="G28" s="96"/>
      <c r="H28" s="9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96"/>
      <c r="G29" s="96"/>
      <c r="H29" s="9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96"/>
      <c r="G30" s="96"/>
      <c r="H30" s="9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96"/>
      <c r="G31" s="96"/>
      <c r="H31" s="9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96"/>
      <c r="G32" s="96"/>
      <c r="H32" s="9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96"/>
      <c r="G33" s="96"/>
      <c r="H33" s="9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96"/>
      <c r="G34" s="96"/>
      <c r="H34" s="9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96"/>
      <c r="G35" s="96"/>
      <c r="H35" s="96"/>
    </row>
    <row r="36" spans="2:8" x14ac:dyDescent="0.4">
      <c r="B36" s="83" t="s">
        <v>604</v>
      </c>
      <c r="C36" s="83"/>
      <c r="D36" s="83"/>
      <c r="E36" s="83"/>
      <c r="F36" s="83"/>
      <c r="G36" s="83"/>
      <c r="H36" s="83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3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83"/>
      <c r="D38" s="83"/>
      <c r="E38" s="83"/>
      <c r="F38" s="83"/>
      <c r="G38" s="83"/>
      <c r="H38" s="83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3" t="s">
        <v>605</v>
      </c>
      <c r="C40" s="83"/>
      <c r="D40" s="83"/>
      <c r="E40" s="83"/>
      <c r="F40" s="83"/>
      <c r="G40" s="83"/>
      <c r="H40" s="83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8C471-2C1E-43D6-8FF7-F03365CE0448}">
  <sheetPr codeName="Sheet19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518</v>
      </c>
      <c r="B1" s="87" t="str">
        <f>"2026학년도 교복 학교주관구매 추진 계획(안)"</f>
        <v>2026학년도 교복 학교주관구매 추진 계획(안)</v>
      </c>
      <c r="C1" s="88"/>
      <c r="D1" s="88"/>
      <c r="E1" s="88"/>
      <c r="F1" s="88"/>
      <c r="G1" s="88"/>
    </row>
    <row r="2" spans="1:7" ht="16.95" customHeight="1" x14ac:dyDescent="0.4">
      <c r="B2" s="71" t="str">
        <f>IF(기초자료입력!C4&lt;&gt;"",기초자료입력!C4&amp;"장",  "○○○학교장")</f>
        <v>○○○학교장</v>
      </c>
      <c r="C2" s="71"/>
      <c r="D2" s="71"/>
      <c r="E2" s="71"/>
      <c r="F2" s="71"/>
      <c r="G2" s="71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99" t="str">
        <f>"1  개요"</f>
        <v>1  개요</v>
      </c>
      <c r="C5" s="76"/>
      <c r="D5" s="76"/>
      <c r="E5" s="76"/>
      <c r="F5" s="76"/>
      <c r="G5" s="76"/>
    </row>
    <row r="6" spans="1:7" ht="16.95" customHeight="1" x14ac:dyDescent="0.4">
      <c r="B6" s="86" t="str">
        <f>"❍ 사업명："&amp;IF(기초자료입력!C5&lt;&gt;"",기초자료입력!C5,"20○○")&amp;"학년도 교복 학교주관구매"</f>
        <v>❍ 사업명：20○○학년도 교복 학교주관구매</v>
      </c>
      <c r="C6" s="86"/>
      <c r="D6" s="86"/>
      <c r="E6" s="86"/>
      <c r="F6" s="86"/>
      <c r="G6" s="86"/>
    </row>
    <row r="7" spans="1:7" ht="30" customHeight="1" x14ac:dyDescent="0.4">
      <c r="B7" s="86" t="s">
        <v>519</v>
      </c>
      <c r="C7" s="86"/>
      <c r="D7" s="86"/>
      <c r="E7" s="86"/>
      <c r="F7" s="86"/>
      <c r="G7" s="86"/>
    </row>
    <row r="8" spans="1:7" ht="30" customHeight="1" x14ac:dyDescent="0.4">
      <c r="B8" s="86" t="s">
        <v>520</v>
      </c>
      <c r="C8" s="86"/>
      <c r="D8" s="86"/>
      <c r="E8" s="86"/>
      <c r="F8" s="86"/>
      <c r="G8" s="86"/>
    </row>
    <row r="9" spans="1:7" ht="16.95" customHeight="1" x14ac:dyDescent="0.4">
      <c r="B9" s="86" t="s">
        <v>521</v>
      </c>
      <c r="C9" s="86"/>
      <c r="D9" s="86"/>
      <c r="E9" s="86"/>
      <c r="F9" s="86"/>
      <c r="G9" s="86"/>
    </row>
    <row r="10" spans="1:7" ht="16.95" customHeight="1" x14ac:dyDescent="0.4">
      <c r="B10" s="86" t="s">
        <v>522</v>
      </c>
      <c r="C10" s="86"/>
      <c r="D10" s="86"/>
      <c r="E10" s="86"/>
      <c r="F10" s="86"/>
      <c r="G10" s="86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99" t="str">
        <f>"2  기본방향"</f>
        <v>2  기본방향</v>
      </c>
      <c r="C13" s="76"/>
      <c r="D13" s="76"/>
      <c r="E13" s="76"/>
      <c r="F13" s="76"/>
      <c r="G13" s="76"/>
    </row>
    <row r="14" spans="1:7" ht="30" customHeight="1" x14ac:dyDescent="0.4">
      <c r="B14" s="86" t="s">
        <v>523</v>
      </c>
      <c r="C14" s="86"/>
      <c r="D14" s="86"/>
      <c r="E14" s="86"/>
      <c r="F14" s="86"/>
      <c r="G14" s="86"/>
    </row>
    <row r="15" spans="1:7" ht="30" customHeight="1" x14ac:dyDescent="0.4">
      <c r="B15" s="86" t="s">
        <v>524</v>
      </c>
      <c r="C15" s="86"/>
      <c r="D15" s="86"/>
      <c r="E15" s="86"/>
      <c r="F15" s="86"/>
      <c r="G15" s="86"/>
    </row>
    <row r="16" spans="1:7" ht="30" customHeight="1" x14ac:dyDescent="0.4">
      <c r="B16" s="86" t="s">
        <v>525</v>
      </c>
      <c r="C16" s="86"/>
      <c r="D16" s="86"/>
      <c r="E16" s="86"/>
      <c r="F16" s="86"/>
      <c r="G16" s="86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99" t="str">
        <f>"3  추진 절차 개요"</f>
        <v>3  추진 절차 개요</v>
      </c>
      <c r="C19" s="76"/>
      <c r="D19" s="76"/>
      <c r="E19" s="76"/>
      <c r="F19" s="76"/>
      <c r="G19" s="76"/>
    </row>
    <row r="20" spans="2:7" x14ac:dyDescent="0.4">
      <c r="B20" s="75" t="s">
        <v>526</v>
      </c>
      <c r="C20" s="89"/>
      <c r="D20" s="75" t="s">
        <v>527</v>
      </c>
      <c r="E20" s="89"/>
      <c r="F20" s="89"/>
      <c r="G20" s="31" t="s">
        <v>276</v>
      </c>
    </row>
    <row r="21" spans="2:7" ht="43.05" customHeight="1" x14ac:dyDescent="0.4">
      <c r="B21" s="102" t="s">
        <v>528</v>
      </c>
      <c r="C21" s="102"/>
      <c r="D21" s="102" t="s">
        <v>529</v>
      </c>
      <c r="E21" s="102"/>
      <c r="F21" s="102"/>
      <c r="G21" s="36" t="s">
        <v>530</v>
      </c>
    </row>
    <row r="22" spans="2:7" ht="30" customHeight="1" x14ac:dyDescent="0.4">
      <c r="B22" s="102" t="s">
        <v>531</v>
      </c>
      <c r="C22" s="102"/>
      <c r="D22" s="102" t="s">
        <v>532</v>
      </c>
      <c r="E22" s="102"/>
      <c r="F22" s="102"/>
      <c r="G22" s="36" t="s">
        <v>530</v>
      </c>
    </row>
    <row r="23" spans="2:7" ht="43.05" customHeight="1" x14ac:dyDescent="0.4">
      <c r="B23" s="102" t="s">
        <v>533</v>
      </c>
      <c r="C23" s="102"/>
      <c r="D23" s="102" t="s">
        <v>534</v>
      </c>
      <c r="E23" s="102"/>
      <c r="F23" s="102"/>
      <c r="G23" s="36" t="s">
        <v>535</v>
      </c>
    </row>
    <row r="24" spans="2:7" ht="30" customHeight="1" x14ac:dyDescent="0.4">
      <c r="B24" s="102" t="s">
        <v>536</v>
      </c>
      <c r="C24" s="102"/>
      <c r="D24" s="102" t="s">
        <v>537</v>
      </c>
      <c r="E24" s="102"/>
      <c r="F24" s="102"/>
      <c r="G24" s="36" t="s">
        <v>538</v>
      </c>
    </row>
    <row r="25" spans="2:7" ht="16.95" customHeight="1" x14ac:dyDescent="0.4">
      <c r="B25" s="102" t="s">
        <v>539</v>
      </c>
      <c r="C25" s="102"/>
      <c r="D25" s="102" t="s">
        <v>540</v>
      </c>
      <c r="E25" s="102"/>
      <c r="F25" s="102"/>
      <c r="G25" s="36" t="s">
        <v>535</v>
      </c>
    </row>
    <row r="26" spans="2:7" ht="30" customHeight="1" x14ac:dyDescent="0.4">
      <c r="B26" s="102" t="s">
        <v>541</v>
      </c>
      <c r="C26" s="102"/>
      <c r="D26" s="102" t="s">
        <v>542</v>
      </c>
      <c r="E26" s="102"/>
      <c r="F26" s="102"/>
      <c r="G26" s="36" t="s">
        <v>538</v>
      </c>
    </row>
    <row r="27" spans="2:7" ht="30" customHeight="1" x14ac:dyDescent="0.4">
      <c r="B27" s="102" t="s">
        <v>543</v>
      </c>
      <c r="C27" s="102"/>
      <c r="D27" s="102" t="s">
        <v>544</v>
      </c>
      <c r="E27" s="102"/>
      <c r="F27" s="102"/>
      <c r="G27" s="36" t="s">
        <v>530</v>
      </c>
    </row>
    <row r="28" spans="2:7" ht="43.05" customHeight="1" x14ac:dyDescent="0.4">
      <c r="B28" s="102" t="s">
        <v>545</v>
      </c>
      <c r="C28" s="102"/>
      <c r="D28" s="102" t="s">
        <v>546</v>
      </c>
      <c r="E28" s="102"/>
      <c r="F28" s="102"/>
      <c r="G28" s="36" t="s">
        <v>530</v>
      </c>
    </row>
    <row r="29" spans="2:7" ht="30" customHeight="1" x14ac:dyDescent="0.4">
      <c r="B29" s="102" t="s">
        <v>547</v>
      </c>
      <c r="C29" s="102"/>
      <c r="D29" s="102" t="s">
        <v>548</v>
      </c>
      <c r="E29" s="102"/>
      <c r="F29" s="102"/>
      <c r="G29" s="36" t="s">
        <v>538</v>
      </c>
    </row>
    <row r="30" spans="2:7" ht="30" customHeight="1" x14ac:dyDescent="0.4">
      <c r="B30" s="102" t="s">
        <v>549</v>
      </c>
      <c r="C30" s="102"/>
      <c r="D30" s="102" t="s">
        <v>550</v>
      </c>
      <c r="E30" s="102"/>
      <c r="F30" s="102"/>
      <c r="G30" s="36" t="s">
        <v>535</v>
      </c>
    </row>
    <row r="31" spans="2:7" ht="43.05" customHeight="1" x14ac:dyDescent="0.4">
      <c r="B31" s="102" t="s">
        <v>551</v>
      </c>
      <c r="C31" s="102"/>
      <c r="D31" s="102" t="s">
        <v>552</v>
      </c>
      <c r="E31" s="102"/>
      <c r="F31" s="102"/>
      <c r="G31" s="36" t="s">
        <v>538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99" t="str">
        <f>"4  세부 추진 절차"</f>
        <v>4  세부 추진 절차</v>
      </c>
      <c r="C34" s="76"/>
      <c r="D34" s="76"/>
      <c r="E34" s="76"/>
      <c r="F34" s="76"/>
      <c r="G34" s="76"/>
    </row>
    <row r="35" spans="2:7" x14ac:dyDescent="0.4">
      <c r="B35" s="81" t="s">
        <v>553</v>
      </c>
      <c r="C35" s="76"/>
      <c r="D35" s="76"/>
      <c r="E35" s="76"/>
      <c r="F35" s="76"/>
      <c r="G35" s="76"/>
    </row>
    <row r="36" spans="2:7" ht="16.95" customHeight="1" x14ac:dyDescent="0.4">
      <c r="B36" s="86" t="s">
        <v>554</v>
      </c>
      <c r="C36" s="86"/>
      <c r="D36" s="86"/>
      <c r="E36" s="86"/>
      <c r="F36" s="86"/>
      <c r="G36" s="86"/>
    </row>
    <row r="37" spans="2:7" ht="43.05" customHeight="1" x14ac:dyDescent="0.4">
      <c r="B37" s="86" t="s">
        <v>555</v>
      </c>
      <c r="C37" s="86"/>
      <c r="D37" s="86"/>
      <c r="E37" s="86"/>
      <c r="F37" s="86"/>
      <c r="G37" s="86"/>
    </row>
    <row r="38" spans="2:7" ht="25.95" customHeight="1" x14ac:dyDescent="0.4">
      <c r="B38" s="86" t="s">
        <v>556</v>
      </c>
      <c r="C38" s="86"/>
      <c r="D38" s="86"/>
      <c r="E38" s="86"/>
      <c r="F38" s="86"/>
      <c r="G38" s="86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1" t="s">
        <v>557</v>
      </c>
      <c r="C40" s="76"/>
      <c r="D40" s="76"/>
      <c r="E40" s="76"/>
      <c r="F40" s="76"/>
      <c r="G40" s="76"/>
    </row>
    <row r="41" spans="2:7" ht="30" customHeight="1" x14ac:dyDescent="0.4">
      <c r="B41" s="86" t="s">
        <v>558</v>
      </c>
      <c r="C41" s="86"/>
      <c r="D41" s="86"/>
      <c r="E41" s="86"/>
      <c r="F41" s="86"/>
      <c r="G41" s="86"/>
    </row>
    <row r="42" spans="2:7" x14ac:dyDescent="0.4">
      <c r="B42" s="31" t="s">
        <v>503</v>
      </c>
      <c r="C42" s="31" t="s">
        <v>310</v>
      </c>
      <c r="D42" s="31" t="s">
        <v>504</v>
      </c>
      <c r="E42" s="31" t="s">
        <v>505</v>
      </c>
      <c r="F42" s="75" t="s">
        <v>299</v>
      </c>
      <c r="G42" s="75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1"/>
      <c r="G43" s="101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1"/>
      <c r="G44" s="101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1"/>
      <c r="G45" s="101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1"/>
      <c r="G46" s="101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1"/>
      <c r="G47" s="101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1"/>
      <c r="G48" s="101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1"/>
      <c r="G49" s="101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1"/>
      <c r="G50" s="101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1"/>
      <c r="G51" s="101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1"/>
      <c r="G52" s="101"/>
    </row>
    <row r="53" spans="2:7" ht="94.95" customHeight="1" x14ac:dyDescent="0.4">
      <c r="B53" s="100" t="s">
        <v>559</v>
      </c>
      <c r="C53" s="100"/>
      <c r="D53" s="100"/>
      <c r="E53" s="100"/>
      <c r="F53" s="100"/>
      <c r="G53" s="100"/>
    </row>
    <row r="54" spans="2:7" ht="25.95" customHeight="1" x14ac:dyDescent="0.4">
      <c r="B54" s="86" t="s">
        <v>560</v>
      </c>
      <c r="C54" s="86"/>
      <c r="D54" s="86"/>
      <c r="E54" s="86"/>
      <c r="F54" s="86"/>
      <c r="G54" s="86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1" t="s">
        <v>561</v>
      </c>
      <c r="C56" s="76"/>
      <c r="D56" s="76"/>
      <c r="E56" s="76"/>
      <c r="F56" s="76"/>
      <c r="G56" s="76"/>
    </row>
    <row r="57" spans="2:7" ht="43.05" customHeight="1" x14ac:dyDescent="0.4">
      <c r="B57" s="86" t="s">
        <v>562</v>
      </c>
      <c r="C57" s="86"/>
      <c r="D57" s="86"/>
      <c r="E57" s="86"/>
      <c r="F57" s="86"/>
      <c r="G57" s="86"/>
    </row>
    <row r="58" spans="2:7" ht="43.05" customHeight="1" x14ac:dyDescent="0.4">
      <c r="B58" s="86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6"/>
      <c r="D58" s="86"/>
      <c r="E58" s="86"/>
      <c r="F58" s="86"/>
      <c r="G58" s="86"/>
    </row>
    <row r="59" spans="2:7" ht="30" customHeight="1" x14ac:dyDescent="0.4">
      <c r="B59" s="86" t="s">
        <v>563</v>
      </c>
      <c r="C59" s="86"/>
      <c r="D59" s="86"/>
      <c r="E59" s="86"/>
      <c r="F59" s="86"/>
      <c r="G59" s="86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1" t="s">
        <v>564</v>
      </c>
      <c r="C61" s="76"/>
      <c r="D61" s="76"/>
      <c r="E61" s="76"/>
      <c r="F61" s="76"/>
      <c r="G61" s="76"/>
    </row>
    <row r="62" spans="2:7" ht="43.05" customHeight="1" x14ac:dyDescent="0.4">
      <c r="B62" s="86" t="s">
        <v>565</v>
      </c>
      <c r="C62" s="86"/>
      <c r="D62" s="86"/>
      <c r="E62" s="86"/>
      <c r="F62" s="86"/>
      <c r="G62" s="86"/>
    </row>
    <row r="63" spans="2:7" ht="55.95" customHeight="1" x14ac:dyDescent="0.4">
      <c r="B63" s="86" t="s">
        <v>566</v>
      </c>
      <c r="C63" s="86"/>
      <c r="D63" s="86"/>
      <c r="E63" s="86"/>
      <c r="F63" s="86"/>
      <c r="G63" s="86"/>
    </row>
    <row r="64" spans="2:7" ht="30" customHeight="1" x14ac:dyDescent="0.4">
      <c r="B64" s="86" t="s">
        <v>567</v>
      </c>
      <c r="C64" s="86"/>
      <c r="D64" s="86"/>
      <c r="E64" s="86"/>
      <c r="F64" s="86"/>
      <c r="G64" s="86"/>
    </row>
    <row r="65" spans="2:7" ht="16.95" customHeight="1" x14ac:dyDescent="0.4">
      <c r="B65" s="86" t="s">
        <v>568</v>
      </c>
      <c r="C65" s="86"/>
      <c r="D65" s="86"/>
      <c r="E65" s="86"/>
      <c r="F65" s="86"/>
      <c r="G65" s="86"/>
    </row>
    <row r="66" spans="2:7" ht="43.05" customHeight="1" x14ac:dyDescent="0.4">
      <c r="B66" s="86" t="s">
        <v>569</v>
      </c>
      <c r="C66" s="86"/>
      <c r="D66" s="86"/>
      <c r="E66" s="86"/>
      <c r="F66" s="86"/>
      <c r="G66" s="86"/>
    </row>
    <row r="67" spans="2:7" ht="30" customHeight="1" x14ac:dyDescent="0.4">
      <c r="B67" s="86" t="s">
        <v>570</v>
      </c>
      <c r="C67" s="86"/>
      <c r="D67" s="86"/>
      <c r="E67" s="86"/>
      <c r="F67" s="86"/>
      <c r="G67" s="86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1" t="s">
        <v>571</v>
      </c>
      <c r="C69" s="76"/>
      <c r="D69" s="76"/>
      <c r="E69" s="76"/>
      <c r="F69" s="76"/>
      <c r="G69" s="76"/>
    </row>
    <row r="70" spans="2:7" ht="30" customHeight="1" x14ac:dyDescent="0.4">
      <c r="B70" s="86" t="s">
        <v>572</v>
      </c>
      <c r="C70" s="86"/>
      <c r="D70" s="86"/>
      <c r="E70" s="86"/>
      <c r="F70" s="86"/>
      <c r="G70" s="86"/>
    </row>
    <row r="71" spans="2:7" ht="43.05" customHeight="1" x14ac:dyDescent="0.4">
      <c r="B71" s="86" t="s">
        <v>573</v>
      </c>
      <c r="C71" s="86"/>
      <c r="D71" s="86"/>
      <c r="E71" s="86"/>
      <c r="F71" s="86"/>
      <c r="G71" s="86"/>
    </row>
    <row r="72" spans="2:7" ht="43.05" customHeight="1" x14ac:dyDescent="0.4">
      <c r="B72" s="86" t="s">
        <v>574</v>
      </c>
      <c r="C72" s="86"/>
      <c r="D72" s="86"/>
      <c r="E72" s="86"/>
      <c r="F72" s="86"/>
      <c r="G72" s="86"/>
    </row>
    <row r="73" spans="2:7" ht="43.05" customHeight="1" x14ac:dyDescent="0.4">
      <c r="B73" s="86" t="s">
        <v>575</v>
      </c>
      <c r="C73" s="86"/>
      <c r="D73" s="86"/>
      <c r="E73" s="86"/>
      <c r="F73" s="86"/>
      <c r="G73" s="86"/>
    </row>
    <row r="74" spans="2:7" ht="37.049999999999997" customHeight="1" x14ac:dyDescent="0.4">
      <c r="B74" s="86" t="s">
        <v>576</v>
      </c>
      <c r="C74" s="86"/>
      <c r="D74" s="86"/>
      <c r="E74" s="86"/>
      <c r="F74" s="86"/>
      <c r="G74" s="86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1" t="s">
        <v>577</v>
      </c>
      <c r="C76" s="76"/>
      <c r="D76" s="76"/>
      <c r="E76" s="76"/>
      <c r="F76" s="76"/>
      <c r="G76" s="76"/>
    </row>
    <row r="77" spans="2:7" ht="30" customHeight="1" x14ac:dyDescent="0.4">
      <c r="B77" s="86" t="s">
        <v>578</v>
      </c>
      <c r="C77" s="86"/>
      <c r="D77" s="86"/>
      <c r="E77" s="86"/>
      <c r="F77" s="86"/>
      <c r="G77" s="86"/>
    </row>
    <row r="78" spans="2:7" ht="15" customHeight="1" x14ac:dyDescent="0.4">
      <c r="B78" s="86" t="s">
        <v>579</v>
      </c>
      <c r="C78" s="86"/>
      <c r="D78" s="86"/>
      <c r="E78" s="86"/>
      <c r="F78" s="86"/>
      <c r="G78" s="86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1" t="s">
        <v>580</v>
      </c>
      <c r="C80" s="76"/>
      <c r="D80" s="76"/>
      <c r="E80" s="76"/>
      <c r="F80" s="76"/>
      <c r="G80" s="76"/>
    </row>
    <row r="81" spans="2:7" ht="30" customHeight="1" x14ac:dyDescent="0.4">
      <c r="B81" s="86" t="s">
        <v>581</v>
      </c>
      <c r="C81" s="86"/>
      <c r="D81" s="86"/>
      <c r="E81" s="86"/>
      <c r="F81" s="86"/>
      <c r="G81" s="86"/>
    </row>
    <row r="82" spans="2:7" ht="43.05" customHeight="1" x14ac:dyDescent="0.4">
      <c r="B82" s="86" t="s">
        <v>582</v>
      </c>
      <c r="C82" s="86"/>
      <c r="D82" s="86"/>
      <c r="E82" s="86"/>
      <c r="F82" s="86"/>
      <c r="G82" s="86"/>
    </row>
    <row r="83" spans="2:7" ht="16.95" customHeight="1" x14ac:dyDescent="0.4">
      <c r="B83" s="86" t="s">
        <v>583</v>
      </c>
      <c r="C83" s="86"/>
      <c r="D83" s="86"/>
      <c r="E83" s="86"/>
      <c r="F83" s="86"/>
      <c r="G83" s="86"/>
    </row>
    <row r="84" spans="2:7" ht="30" customHeight="1" x14ac:dyDescent="0.4">
      <c r="B84" s="86" t="s">
        <v>584</v>
      </c>
      <c r="C84" s="86"/>
      <c r="D84" s="86"/>
      <c r="E84" s="86"/>
      <c r="F84" s="86"/>
      <c r="G84" s="86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99" t="str">
        <f>"5  기대효과"</f>
        <v>5  기대효과</v>
      </c>
      <c r="C87" s="76"/>
      <c r="D87" s="76"/>
      <c r="E87" s="76"/>
      <c r="F87" s="76"/>
      <c r="G87" s="76"/>
    </row>
    <row r="88" spans="2:7" ht="43.05" customHeight="1" x14ac:dyDescent="0.4">
      <c r="B88" s="86" t="s">
        <v>585</v>
      </c>
      <c r="C88" s="86"/>
      <c r="D88" s="86"/>
      <c r="E88" s="86"/>
      <c r="F88" s="86"/>
      <c r="G88" s="86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6" t="s">
        <v>586</v>
      </c>
      <c r="C90" s="86"/>
      <c r="D90" s="86"/>
      <c r="E90" s="86"/>
      <c r="F90" s="86"/>
      <c r="G90" s="86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9A7E2-199C-4102-B0A9-76E40068A106}">
  <sheetPr codeName="Sheet20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516</v>
      </c>
    </row>
    <row r="3" spans="1:8" ht="24" x14ac:dyDescent="0.4">
      <c r="B3" s="87" t="s">
        <v>517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272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273</v>
      </c>
      <c r="C7" s="96" t="s">
        <v>493</v>
      </c>
      <c r="D7" s="96"/>
      <c r="E7" s="96"/>
      <c r="F7" s="96"/>
      <c r="G7" s="96"/>
      <c r="H7" s="96"/>
    </row>
    <row r="8" spans="1:8" x14ac:dyDescent="0.4">
      <c r="B8" s="25" t="s">
        <v>280</v>
      </c>
      <c r="C8" s="96"/>
      <c r="D8" s="96"/>
      <c r="E8" s="96"/>
      <c r="F8" s="96"/>
      <c r="G8" s="96"/>
      <c r="H8" s="96"/>
    </row>
    <row r="9" spans="1:8" x14ac:dyDescent="0.4">
      <c r="B9" s="25" t="s">
        <v>274</v>
      </c>
      <c r="C9" s="98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281</v>
      </c>
      <c r="C11" s="83" t="str">
        <f>IF(기초자료입력!C23&lt;&gt;"",기초자료입력!C23,"")</f>
        <v/>
      </c>
      <c r="D11" s="83"/>
      <c r="E11" s="83"/>
      <c r="F11" s="83"/>
      <c r="G11" s="83"/>
      <c r="H11" s="8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2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83"/>
      <c r="D15" s="83"/>
      <c r="E15" s="83"/>
      <c r="F15" s="83"/>
      <c r="G15" s="83"/>
      <c r="H15" s="8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276</v>
      </c>
      <c r="G17" s="22" t="s">
        <v>287</v>
      </c>
      <c r="H17" s="22" t="s">
        <v>277</v>
      </c>
    </row>
    <row r="18" spans="2:8" x14ac:dyDescent="0.4">
      <c r="B18" s="25" t="s">
        <v>288</v>
      </c>
      <c r="C18" s="96" t="str">
        <f>IF(기초자료입력!C9&lt;&gt;"",기초자료입력!C9,"")</f>
        <v/>
      </c>
      <c r="D18" s="96"/>
      <c r="E18" s="96"/>
      <c r="F18" s="25" t="s">
        <v>289</v>
      </c>
      <c r="G18" s="96"/>
      <c r="H18" s="96"/>
    </row>
    <row r="19" spans="2:8" x14ac:dyDescent="0.4">
      <c r="B19" s="25" t="s">
        <v>290</v>
      </c>
      <c r="C19" s="22"/>
      <c r="D19" s="25" t="s">
        <v>291</v>
      </c>
      <c r="E19" s="96"/>
      <c r="F19" s="96"/>
      <c r="G19" s="96"/>
      <c r="H19" s="96"/>
    </row>
    <row r="20" spans="2:8" x14ac:dyDescent="0.4">
      <c r="B20" s="25" t="s">
        <v>292</v>
      </c>
      <c r="C20" s="22"/>
      <c r="D20" s="25" t="s">
        <v>293</v>
      </c>
      <c r="E20" s="22"/>
      <c r="F20" s="25" t="s">
        <v>294</v>
      </c>
      <c r="G20" s="96"/>
      <c r="H20" s="96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87BCF-F78C-4454-90EF-5F5144551D6B}">
  <sheetPr codeName="Sheet21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514</v>
      </c>
    </row>
    <row r="3" spans="1:5" ht="25.95" customHeight="1" x14ac:dyDescent="0.4">
      <c r="B3" s="105" t="s">
        <v>515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106"/>
      <c r="D6" s="106"/>
      <c r="E6" s="106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06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106"/>
      <c r="D8" s="106"/>
      <c r="E8" s="106"/>
    </row>
    <row r="9" spans="1:5" ht="25.95" customHeight="1" x14ac:dyDescent="0.4">
      <c r="B9" s="106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06"/>
      <c r="D9" s="106"/>
      <c r="E9" s="106"/>
    </row>
    <row r="10" spans="1:5" ht="25.95" customHeight="1" x14ac:dyDescent="0.4">
      <c r="B10" s="106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06"/>
      <c r="D10" s="106"/>
      <c r="E10" s="106"/>
    </row>
    <row r="11" spans="1:5" ht="25.95" customHeight="1" x14ac:dyDescent="0.4">
      <c r="B11" s="106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06"/>
      <c r="D11" s="106"/>
      <c r="E11" s="106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3" t="str">
        <f>"20      년      월      일"</f>
        <v>20      년      월      일</v>
      </c>
      <c r="C14" s="103"/>
      <c r="D14" s="103"/>
      <c r="E14" s="103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4" t="str">
        <f>"서 약 자 성 명 :                              (인)"</f>
        <v>서 약 자 성 명 :                              (인)</v>
      </c>
      <c r="C17" s="104"/>
      <c r="D17" s="104"/>
      <c r="E17" s="104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3" t="str">
        <f>IF(기초자료입력!$C$4="","○○○학교장 귀하",기초자료입력!$C$4&amp;"장 귀하")</f>
        <v>○○○학교장 귀하</v>
      </c>
      <c r="C20" s="103"/>
      <c r="D20" s="103"/>
      <c r="E20" s="103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98057-59F5-42BE-8CC2-B161DBB147F8}">
  <sheetPr codeName="Sheet22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508</v>
      </c>
    </row>
    <row r="3" spans="1:5" ht="25.95" customHeight="1" x14ac:dyDescent="0.4">
      <c r="B3" s="105" t="s">
        <v>509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106"/>
      <c r="D6" s="106"/>
      <c r="E6" s="106"/>
    </row>
    <row r="7" spans="1:5" ht="28.05" customHeight="1" x14ac:dyDescent="0.4">
      <c r="B7" s="106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106"/>
      <c r="D7" s="106"/>
      <c r="E7" s="106"/>
    </row>
    <row r="8" spans="1:5" ht="28.05" customHeight="1" x14ac:dyDescent="0.4">
      <c r="B8" s="106" t="s">
        <v>510</v>
      </c>
      <c r="C8" s="106"/>
      <c r="D8" s="106"/>
      <c r="E8" s="106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3" t="str">
        <f>IF(기초자료입력!$C$5="","20○○.  ○○  .  ○○  .","20"&amp;RIGHT(기초자료입력!$C$5,2)&amp;".  ○○  .  ○○  .")</f>
        <v>20○○.  ○○  .  ○○  .</v>
      </c>
      <c r="C12" s="103"/>
      <c r="D12" s="103"/>
      <c r="E12" s="103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4" t="s">
        <v>511</v>
      </c>
      <c r="C14" s="104"/>
      <c r="D14" s="104"/>
      <c r="E14" s="104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4" t="s">
        <v>512</v>
      </c>
      <c r="C16" s="104"/>
      <c r="D16" s="104"/>
      <c r="E16" s="104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4" t="s">
        <v>513</v>
      </c>
      <c r="C18" s="104"/>
      <c r="D18" s="104"/>
      <c r="E18" s="104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3" t="str">
        <f>IF(기초자료입력!$C$4="","○○학교장 귀하",기초자료입력!$C$4&amp;"장 귀하")</f>
        <v>○○학교장 귀하</v>
      </c>
      <c r="C21" s="103"/>
      <c r="D21" s="103"/>
      <c r="E21" s="103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637C4-E227-4770-BA6C-1BFBB9C79B17}">
  <sheetPr codeName="Sheet23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491</v>
      </c>
    </row>
    <row r="3" spans="1:8" ht="24" customHeight="1" x14ac:dyDescent="0.4">
      <c r="B3" s="87" t="s">
        <v>492</v>
      </c>
      <c r="C3" s="88"/>
      <c r="D3" s="88"/>
      <c r="E3" s="88"/>
      <c r="F3" s="88"/>
      <c r="G3" s="88"/>
      <c r="H3" s="88"/>
    </row>
    <row r="5" spans="1:8" ht="14.55" customHeight="1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272</v>
      </c>
      <c r="F5" s="36" t="str">
        <f>IF(기초자료입력!C8&lt;&gt;"",TEXT(기초자료입력!C8,"yyyy-mm-dd"),"")</f>
        <v/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273</v>
      </c>
      <c r="C7" s="89" t="s">
        <v>493</v>
      </c>
      <c r="D7" s="89"/>
      <c r="E7" s="89"/>
      <c r="F7" s="89"/>
      <c r="G7" s="89"/>
      <c r="H7" s="89"/>
    </row>
    <row r="8" spans="1:8" ht="14.55" customHeight="1" x14ac:dyDescent="0.4">
      <c r="B8" s="53" t="s">
        <v>280</v>
      </c>
      <c r="C8" s="89"/>
      <c r="D8" s="89"/>
      <c r="E8" s="89"/>
      <c r="F8" s="89"/>
      <c r="G8" s="89"/>
      <c r="H8" s="89"/>
    </row>
    <row r="9" spans="1:8" ht="14.55" customHeight="1" x14ac:dyDescent="0.4">
      <c r="B9" s="53" t="s">
        <v>274</v>
      </c>
      <c r="C9" s="91" t="str">
        <f>IF(기초자료입력!C5&lt;&gt;"",기초자료입력!C5&amp;"학년도 교복선정위원회 구성(안)","교복선정위원회 구성(안)")</f>
        <v>교복선정위원회 구성(안)</v>
      </c>
      <c r="D9" s="89"/>
      <c r="E9" s="89"/>
      <c r="F9" s="89"/>
      <c r="G9" s="89"/>
      <c r="H9" s="89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281</v>
      </c>
      <c r="C11" s="89" t="str">
        <f>IF(기초자료입력!C23&lt;&gt;"",기초자료입력!C23,"")</f>
        <v/>
      </c>
      <c r="D11" s="89"/>
      <c r="E11" s="89"/>
      <c r="F11" s="89"/>
      <c r="G11" s="89"/>
      <c r="H11" s="89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2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102"/>
      <c r="D13" s="102"/>
      <c r="E13" s="102"/>
      <c r="F13" s="102"/>
      <c r="G13" s="102"/>
      <c r="H13" s="102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1" t="s">
        <v>494</v>
      </c>
      <c r="C15" s="89"/>
      <c r="D15" s="89"/>
      <c r="E15" s="89"/>
      <c r="F15" s="89"/>
      <c r="G15" s="89"/>
      <c r="H15" s="89"/>
    </row>
    <row r="16" spans="1:8" ht="19.95" customHeight="1" x14ac:dyDescent="0.4">
      <c r="B16" s="107" t="s">
        <v>495</v>
      </c>
      <c r="C16" s="102"/>
      <c r="D16" s="102"/>
      <c r="E16" s="102"/>
      <c r="F16" s="102"/>
      <c r="G16" s="102"/>
      <c r="H16" s="102"/>
    </row>
    <row r="17" spans="2:8" ht="12" customHeight="1" x14ac:dyDescent="0.4">
      <c r="B17" s="102" t="s">
        <v>496</v>
      </c>
      <c r="C17" s="102"/>
      <c r="D17" s="102"/>
      <c r="E17" s="102"/>
      <c r="F17" s="102"/>
      <c r="G17" s="102"/>
      <c r="H17" s="102"/>
    </row>
    <row r="18" spans="2:8" ht="14.55" customHeight="1" x14ac:dyDescent="0.4">
      <c r="B18" s="91" t="s">
        <v>497</v>
      </c>
      <c r="C18" s="89"/>
      <c r="D18" s="89"/>
      <c r="E18" s="89"/>
      <c r="F18" s="89"/>
      <c r="G18" s="89"/>
      <c r="H18" s="89"/>
    </row>
    <row r="19" spans="2:8" ht="14.55" customHeight="1" x14ac:dyDescent="0.4">
      <c r="B19" s="89" t="s">
        <v>498</v>
      </c>
      <c r="C19" s="89"/>
      <c r="D19" s="89"/>
      <c r="E19" s="89"/>
      <c r="F19" s="89"/>
      <c r="G19" s="89"/>
      <c r="H19" s="89"/>
    </row>
    <row r="20" spans="2:8" ht="14.55" customHeight="1" x14ac:dyDescent="0.4">
      <c r="B20" s="89" t="s">
        <v>499</v>
      </c>
      <c r="C20" s="89"/>
      <c r="D20" s="89"/>
      <c r="E20" s="89"/>
      <c r="F20" s="89"/>
      <c r="G20" s="89"/>
      <c r="H20" s="89"/>
    </row>
    <row r="21" spans="2:8" ht="14.55" customHeight="1" x14ac:dyDescent="0.4">
      <c r="B21" s="89" t="s">
        <v>500</v>
      </c>
      <c r="C21" s="89"/>
      <c r="D21" s="89"/>
      <c r="E21" s="89"/>
      <c r="F21" s="89"/>
      <c r="G21" s="89"/>
      <c r="H21" s="89"/>
    </row>
    <row r="22" spans="2:8" ht="14.55" customHeight="1" x14ac:dyDescent="0.4">
      <c r="B22" s="89" t="s">
        <v>501</v>
      </c>
      <c r="C22" s="89"/>
      <c r="D22" s="89"/>
      <c r="E22" s="89"/>
      <c r="F22" s="89"/>
      <c r="G22" s="89"/>
      <c r="H22" s="89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1" t="s">
        <v>502</v>
      </c>
      <c r="C24" s="89"/>
      <c r="D24" s="89"/>
      <c r="E24" s="89"/>
      <c r="F24" s="89"/>
      <c r="G24" s="89"/>
      <c r="H24" s="89"/>
    </row>
    <row r="25" spans="2:8" ht="14.55" customHeight="1" x14ac:dyDescent="0.4">
      <c r="B25" s="31" t="s">
        <v>503</v>
      </c>
      <c r="C25" s="31" t="s">
        <v>310</v>
      </c>
      <c r="D25" s="31" t="s">
        <v>504</v>
      </c>
      <c r="E25" s="31" t="s">
        <v>505</v>
      </c>
      <c r="F25" s="75" t="s">
        <v>299</v>
      </c>
      <c r="G25" s="89"/>
      <c r="H25" s="89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89"/>
      <c r="G26" s="89"/>
      <c r="H26" s="89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89"/>
      <c r="G27" s="89"/>
      <c r="H27" s="89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89"/>
      <c r="G28" s="89"/>
      <c r="H28" s="89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89"/>
      <c r="G29" s="89"/>
      <c r="H29" s="89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89"/>
      <c r="G30" s="89"/>
      <c r="H30" s="89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89"/>
      <c r="G31" s="89"/>
      <c r="H31" s="89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89"/>
      <c r="G32" s="89"/>
      <c r="H32" s="89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89"/>
      <c r="G33" s="89"/>
      <c r="H33" s="89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89"/>
      <c r="G34" s="89"/>
      <c r="H34" s="89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89"/>
      <c r="G35" s="89"/>
      <c r="H35" s="89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1" t="s">
        <v>506</v>
      </c>
      <c r="C37" s="76"/>
      <c r="D37" s="76"/>
      <c r="E37" s="76"/>
      <c r="F37" s="76"/>
      <c r="G37" s="76"/>
      <c r="H37" s="76"/>
    </row>
    <row r="38" spans="2:8" ht="14.55" customHeight="1" x14ac:dyDescent="0.4">
      <c r="B38" s="76" t="s">
        <v>507</v>
      </c>
      <c r="C38" s="76"/>
      <c r="D38" s="76"/>
      <c r="E38" s="76"/>
      <c r="F38" s="76"/>
      <c r="G38" s="76"/>
      <c r="H38" s="76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276</v>
      </c>
      <c r="G40" s="53" t="s">
        <v>287</v>
      </c>
      <c r="H40" s="53" t="s">
        <v>277</v>
      </c>
    </row>
    <row r="41" spans="2:8" ht="14.55" customHeight="1" x14ac:dyDescent="0.4">
      <c r="B41" s="52" t="s">
        <v>288</v>
      </c>
      <c r="C41" s="76" t="str">
        <f>IF(기초자료입력!C9&lt;&gt;"",기초자료입력!C9,"")</f>
        <v/>
      </c>
      <c r="D41" s="76"/>
      <c r="E41" s="76"/>
      <c r="F41" s="53" t="s">
        <v>289</v>
      </c>
      <c r="G41" s="89"/>
      <c r="H41" s="89"/>
    </row>
    <row r="42" spans="2:8" ht="14.55" customHeight="1" x14ac:dyDescent="0.4">
      <c r="B42" s="52" t="s">
        <v>290</v>
      </c>
      <c r="C42" s="37"/>
      <c r="D42" s="52" t="s">
        <v>291</v>
      </c>
      <c r="E42" s="76"/>
      <c r="F42" s="89"/>
      <c r="G42" s="89"/>
      <c r="H42" s="89"/>
    </row>
    <row r="43" spans="2:8" ht="14.55" customHeight="1" x14ac:dyDescent="0.4">
      <c r="B43" s="52" t="s">
        <v>292</v>
      </c>
      <c r="C43" s="37"/>
      <c r="D43" s="52" t="s">
        <v>293</v>
      </c>
      <c r="E43" s="37"/>
      <c r="F43" s="53" t="s">
        <v>294</v>
      </c>
      <c r="G43" s="89"/>
      <c r="H43" s="8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A6275-86DC-4A01-82A7-82128C24B3C7}">
  <sheetPr codeName="Sheet24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3" t="s">
        <v>473</v>
      </c>
      <c r="C1" s="114"/>
      <c r="D1" s="114"/>
      <c r="E1" s="114"/>
    </row>
    <row r="2" spans="2:7" ht="7.95" customHeight="1" x14ac:dyDescent="0.4">
      <c r="G2" s="35" t="s">
        <v>321</v>
      </c>
    </row>
    <row r="3" spans="2:7" ht="25.95" customHeight="1" x14ac:dyDescent="0.4">
      <c r="B3" s="97" t="s">
        <v>200</v>
      </c>
      <c r="C3" s="109"/>
      <c r="D3" s="109"/>
      <c r="E3" s="109"/>
      <c r="G3">
        <v>1</v>
      </c>
    </row>
    <row r="4" spans="2:7" ht="25.95" customHeight="1" x14ac:dyDescent="0.4">
      <c r="B4" s="109"/>
      <c r="C4" s="109"/>
      <c r="D4" s="109"/>
      <c r="E4" s="109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1" t="s">
        <v>474</v>
      </c>
      <c r="C6" s="108"/>
      <c r="D6" s="108"/>
      <c r="E6" s="108"/>
    </row>
    <row r="7" spans="2:7" ht="19.95" customHeight="1" x14ac:dyDescent="0.4">
      <c r="B7" s="110" t="s">
        <v>475</v>
      </c>
      <c r="C7" s="110"/>
      <c r="D7" s="110"/>
      <c r="E7" s="110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1" t="s">
        <v>476</v>
      </c>
      <c r="C9" s="108"/>
      <c r="D9" s="108"/>
      <c r="E9" s="108"/>
    </row>
    <row r="10" spans="2:7" ht="19.95" customHeight="1" x14ac:dyDescent="0.4">
      <c r="B10" s="110" t="s">
        <v>477</v>
      </c>
      <c r="C10" s="110"/>
      <c r="D10" s="110"/>
      <c r="E10" s="110"/>
    </row>
    <row r="11" spans="2:7" ht="19.95" customHeight="1" x14ac:dyDescent="0.4">
      <c r="B11" s="110" t="s">
        <v>478</v>
      </c>
      <c r="C11" s="110"/>
      <c r="D11" s="110"/>
      <c r="E11" s="110"/>
    </row>
    <row r="12" spans="2:7" ht="19.95" customHeight="1" x14ac:dyDescent="0.4">
      <c r="B12" s="110" t="s">
        <v>479</v>
      </c>
      <c r="C12" s="110"/>
      <c r="D12" s="110"/>
      <c r="E12" s="110"/>
    </row>
    <row r="13" spans="2:7" ht="19.95" customHeight="1" x14ac:dyDescent="0.4">
      <c r="B13" s="110" t="s">
        <v>480</v>
      </c>
      <c r="C13" s="110"/>
      <c r="D13" s="110"/>
      <c r="E13" s="110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2" t="s">
        <v>481</v>
      </c>
      <c r="C15" s="110"/>
      <c r="D15" s="110"/>
      <c r="E15" s="110"/>
    </row>
    <row r="16" spans="2:7" ht="18" customHeight="1" x14ac:dyDescent="0.4">
      <c r="B16" s="110" t="s">
        <v>482</v>
      </c>
      <c r="C16" s="110"/>
      <c r="D16" s="110"/>
      <c r="E16" s="110"/>
    </row>
    <row r="17" spans="2:5" ht="18" customHeight="1" x14ac:dyDescent="0.4">
      <c r="B17" s="110" t="s">
        <v>483</v>
      </c>
      <c r="C17" s="110"/>
      <c r="D17" s="110"/>
      <c r="E17" s="110"/>
    </row>
    <row r="18" spans="2:5" ht="19.95" customHeight="1" x14ac:dyDescent="0.4">
      <c r="B18" s="110" t="s">
        <v>484</v>
      </c>
      <c r="C18" s="110"/>
      <c r="D18" s="110"/>
      <c r="E18" s="110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1" t="s">
        <v>485</v>
      </c>
      <c r="C20" s="108"/>
      <c r="D20" s="108"/>
      <c r="E20" s="108"/>
    </row>
    <row r="21" spans="2:5" ht="19.95" customHeight="1" x14ac:dyDescent="0.4">
      <c r="B21" s="110" t="s">
        <v>486</v>
      </c>
      <c r="C21" s="110"/>
      <c r="D21" s="110"/>
      <c r="E21" s="110"/>
    </row>
    <row r="22" spans="2:5" ht="18" customHeight="1" x14ac:dyDescent="0.4">
      <c r="B22" s="110" t="s">
        <v>487</v>
      </c>
      <c r="C22" s="110"/>
      <c r="D22" s="110"/>
      <c r="E22" s="110"/>
    </row>
    <row r="23" spans="2:5" ht="22.05" customHeight="1" x14ac:dyDescent="0.4">
      <c r="B23" s="110" t="s">
        <v>488</v>
      </c>
      <c r="C23" s="110"/>
      <c r="D23" s="110"/>
      <c r="E23" s="110"/>
    </row>
    <row r="24" spans="2:5" ht="22.05" customHeight="1" x14ac:dyDescent="0.4">
      <c r="B24" s="110"/>
      <c r="C24" s="110"/>
      <c r="D24" s="110"/>
      <c r="E24" s="110"/>
    </row>
    <row r="25" spans="2:5" ht="18" customHeight="1" x14ac:dyDescent="0.4">
      <c r="B25" s="110" t="s">
        <v>489</v>
      </c>
      <c r="C25" s="110"/>
      <c r="D25" s="110"/>
      <c r="E25" s="110"/>
    </row>
    <row r="26" spans="2:5" ht="18" customHeight="1" x14ac:dyDescent="0.4">
      <c r="B26" s="108" t="s">
        <v>490</v>
      </c>
      <c r="C26" s="108"/>
      <c r="D26" s="108"/>
      <c r="E26" s="108"/>
    </row>
    <row r="27" spans="2:5" ht="18" customHeight="1" x14ac:dyDescent="0.4">
      <c r="B27" s="108" t="s">
        <v>490</v>
      </c>
      <c r="C27" s="108"/>
      <c r="D27" s="108"/>
      <c r="E27" s="108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IF(기초자료입력!$C$5="","20○○년   월   일","20"&amp;RIGHT(기초자료입력!$C$5,2)&amp;"년   월   일")</f>
        <v>20○○년   월   일</v>
      </c>
      <c r="C29" s="109"/>
      <c r="D29" s="109"/>
      <c r="E29" s="109"/>
    </row>
    <row r="30" spans="2:5" ht="18" customHeight="1" x14ac:dyDescent="0.4">
      <c r="B30" s="109" t="s">
        <v>458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A35C3-0B2D-4C64-95DD-D8133F7CC05E}">
  <sheetPr codeName="Sheet25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3" t="s">
        <v>459</v>
      </c>
      <c r="C1" s="114"/>
      <c r="D1" s="114"/>
      <c r="E1" s="114"/>
    </row>
    <row r="2" spans="2:7" ht="7.95" customHeight="1" x14ac:dyDescent="0.4">
      <c r="G2" s="35" t="s">
        <v>321</v>
      </c>
    </row>
    <row r="3" spans="2:7" ht="24" customHeight="1" x14ac:dyDescent="0.4">
      <c r="B3" s="97" t="s">
        <v>460</v>
      </c>
      <c r="C3" s="109"/>
      <c r="D3" s="109"/>
      <c r="E3" s="109"/>
      <c r="G3">
        <v>1</v>
      </c>
    </row>
    <row r="4" spans="2:7" ht="24" customHeight="1" x14ac:dyDescent="0.4">
      <c r="B4" s="109"/>
      <c r="C4" s="109"/>
      <c r="D4" s="109"/>
      <c r="E4" s="109"/>
    </row>
    <row r="5" spans="2:7" ht="19.95" customHeight="1" x14ac:dyDescent="0.4">
      <c r="B5" s="109" t="str">
        <f>"(제안자: "&amp;IFERROR(IF(INDEX(기초자료입력!$B$44:$B$53,$G$3)=0,"",INDEX(기초자료입력!$B$44:$B$53,$G$3)),"")&amp;")"</f>
        <v>(제안자: )</v>
      </c>
      <c r="C5" s="109"/>
      <c r="D5" s="109"/>
      <c r="E5" s="109"/>
    </row>
    <row r="6" spans="2:7" ht="16.05" customHeight="1" x14ac:dyDescent="0.4">
      <c r="B6" s="109" t="s">
        <v>461</v>
      </c>
      <c r="C6" s="109"/>
      <c r="D6" s="109"/>
      <c r="E6" s="109"/>
    </row>
    <row r="7" spans="2:7" ht="18" customHeight="1" x14ac:dyDescent="0.4">
      <c r="B7" s="111" t="s">
        <v>462</v>
      </c>
      <c r="C7" s="108"/>
      <c r="D7" s="108"/>
      <c r="E7" s="108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310</v>
      </c>
      <c r="C9" s="49" t="s">
        <v>463</v>
      </c>
      <c r="D9" s="49" t="s">
        <v>464</v>
      </c>
      <c r="E9" s="49" t="s">
        <v>465</v>
      </c>
    </row>
    <row r="10" spans="2:7" ht="22.05" customHeight="1" x14ac:dyDescent="0.4">
      <c r="B10" s="109" t="s">
        <v>300</v>
      </c>
      <c r="C10" s="50" t="s">
        <v>466</v>
      </c>
      <c r="D10" s="50"/>
      <c r="E10" s="50"/>
    </row>
    <row r="11" spans="2:7" ht="22.05" customHeight="1" x14ac:dyDescent="0.4">
      <c r="B11" s="109"/>
      <c r="C11" s="50" t="s">
        <v>467</v>
      </c>
      <c r="D11" s="50"/>
      <c r="E11" s="50"/>
    </row>
    <row r="12" spans="2:7" ht="22.05" customHeight="1" x14ac:dyDescent="0.4">
      <c r="B12" s="109"/>
      <c r="C12" s="50" t="s">
        <v>468</v>
      </c>
      <c r="D12" s="50"/>
      <c r="E12" s="50"/>
    </row>
    <row r="13" spans="2:7" ht="22.05" customHeight="1" x14ac:dyDescent="0.4">
      <c r="B13" s="109"/>
      <c r="C13" s="50" t="s">
        <v>469</v>
      </c>
      <c r="D13" s="50"/>
      <c r="E13" s="50"/>
    </row>
    <row r="14" spans="2:7" ht="22.05" customHeight="1" x14ac:dyDescent="0.4">
      <c r="B14" s="109" t="s">
        <v>301</v>
      </c>
      <c r="C14" s="50" t="s">
        <v>470</v>
      </c>
      <c r="D14" s="50"/>
      <c r="E14" s="50"/>
    </row>
    <row r="15" spans="2:7" ht="22.05" customHeight="1" x14ac:dyDescent="0.4">
      <c r="B15" s="109"/>
      <c r="C15" s="50" t="s">
        <v>471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10" t="s">
        <v>472</v>
      </c>
      <c r="C17" s="110"/>
      <c r="D17" s="110"/>
      <c r="E17" s="110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109" t="str">
        <f>IF(기초자료입력!$C$5="","20○○.  .  .","20"&amp;RIGHT(기초자료입력!$C$5,2)&amp;".  .  .")</f>
        <v>20○○.  .  .</v>
      </c>
      <c r="C19" s="109"/>
      <c r="D19" s="109"/>
      <c r="E19" s="109"/>
    </row>
    <row r="20" spans="2:5" ht="18" customHeight="1" x14ac:dyDescent="0.4">
      <c r="B20" s="109" t="s">
        <v>458</v>
      </c>
      <c r="C20" s="109"/>
      <c r="D20" s="109"/>
      <c r="E20" s="109"/>
    </row>
    <row r="21" spans="2:5" ht="18" customHeight="1" x14ac:dyDescent="0.4">
      <c r="B21" s="109" t="str">
        <f>IF(기초자료입력!$C$4="","○○○○학교장 귀하",기초자료입력!$C$4&amp;"장 귀하")</f>
        <v>○○○○학교장 귀하</v>
      </c>
      <c r="C21" s="109"/>
      <c r="D21" s="109"/>
      <c r="E21" s="109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A7B0F-901D-41BB-B075-5888DB219B13}">
  <sheetPr codeName="Sheet26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3" t="s">
        <v>450</v>
      </c>
      <c r="C1" s="114"/>
      <c r="D1" s="114"/>
      <c r="E1" s="114"/>
      <c r="F1" s="114"/>
      <c r="G1" s="114"/>
    </row>
    <row r="2" spans="2:9" ht="7.95" customHeight="1" x14ac:dyDescent="0.4">
      <c r="I2" s="35" t="s">
        <v>321</v>
      </c>
    </row>
    <row r="3" spans="2:9" ht="24" customHeight="1" x14ac:dyDescent="0.4">
      <c r="B3" s="97" t="s">
        <v>191</v>
      </c>
      <c r="C3" s="109"/>
      <c r="D3" s="109"/>
      <c r="E3" s="109"/>
      <c r="F3" s="109"/>
      <c r="G3" s="109"/>
      <c r="I3">
        <v>1</v>
      </c>
    </row>
    <row r="4" spans="2:9" ht="24" customHeight="1" x14ac:dyDescent="0.4">
      <c r="B4" s="109"/>
      <c r="C4" s="109"/>
      <c r="D4" s="109"/>
      <c r="E4" s="109"/>
      <c r="F4" s="109"/>
      <c r="G4" s="109"/>
    </row>
    <row r="5" spans="2:9" ht="19.95" customHeight="1" x14ac:dyDescent="0.4">
      <c r="B5" s="109" t="str">
        <f>"(제안자: "&amp;IFERROR(IF(INDEX(기초자료입력!$B$44:$B$53,$I$3)=0,"",INDEX(기초자료입력!$B$44:$B$53,$I$3)),"")&amp;")"</f>
        <v>(제안자: )</v>
      </c>
      <c r="C5" s="109"/>
      <c r="D5" s="109"/>
      <c r="E5" s="109"/>
      <c r="F5" s="109"/>
      <c r="G5" s="109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97" t="s">
        <v>451</v>
      </c>
      <c r="C7" s="109"/>
      <c r="D7" s="109"/>
      <c r="E7" s="109"/>
      <c r="F7" s="109"/>
      <c r="G7" s="109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452</v>
      </c>
      <c r="D9" s="49" t="s">
        <v>453</v>
      </c>
      <c r="E9" s="49" t="s">
        <v>454</v>
      </c>
      <c r="F9" s="49" t="s">
        <v>455</v>
      </c>
      <c r="G9" s="49" t="s">
        <v>299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08" t="s">
        <v>456</v>
      </c>
      <c r="C20" s="108"/>
      <c r="D20" s="108"/>
      <c r="E20" s="108"/>
      <c r="F20" s="108"/>
      <c r="G20" s="108"/>
    </row>
    <row r="21" spans="2:7" ht="18" customHeight="1" x14ac:dyDescent="0.4">
      <c r="B21" s="108" t="s">
        <v>457</v>
      </c>
      <c r="C21" s="108"/>
      <c r="D21" s="108"/>
      <c r="E21" s="108"/>
      <c r="F21" s="108"/>
      <c r="G21" s="108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109" t="str">
        <f>IF(기초자료입력!$C$5="","20○○.  .  .","20"&amp;RIGHT(기초자료입력!$C$5,2)&amp;".  .  .")</f>
        <v>20○○.  .  .</v>
      </c>
      <c r="C23" s="109"/>
      <c r="D23" s="109"/>
      <c r="E23" s="109"/>
      <c r="F23" s="109"/>
      <c r="G23" s="109"/>
    </row>
    <row r="24" spans="2:7" ht="18" customHeight="1" x14ac:dyDescent="0.4">
      <c r="B24" s="109" t="s">
        <v>458</v>
      </c>
      <c r="C24" s="109"/>
      <c r="D24" s="109"/>
      <c r="E24" s="109"/>
      <c r="F24" s="109"/>
      <c r="G24" s="109"/>
    </row>
    <row r="25" spans="2:7" ht="18" customHeight="1" x14ac:dyDescent="0.4">
      <c r="B25" s="109" t="str">
        <f>IF(기초자료입력!$C$4="","○○○○학교장 귀하",기초자료입력!$C$4&amp;"장 귀하")</f>
        <v>○○○○학교장 귀하</v>
      </c>
      <c r="C25" s="109"/>
      <c r="D25" s="109"/>
      <c r="E25" s="109"/>
      <c r="F25" s="109"/>
      <c r="G25" s="109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58DFF-397E-4A61-B74D-5B070A571A1D}">
  <sheetPr codeName="Sheet27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3" t="s">
        <v>437</v>
      </c>
      <c r="C1" s="114"/>
      <c r="D1" s="114"/>
      <c r="E1" s="114"/>
    </row>
    <row r="2" spans="2:7" ht="7.95" customHeight="1" x14ac:dyDescent="0.4">
      <c r="G2" s="35" t="s">
        <v>321</v>
      </c>
    </row>
    <row r="3" spans="2:7" ht="25.05" customHeight="1" x14ac:dyDescent="0.4">
      <c r="B3" s="115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16"/>
      <c r="D3" s="116"/>
      <c r="E3" s="116"/>
      <c r="G3">
        <v>1</v>
      </c>
    </row>
    <row r="4" spans="2:7" ht="25.05" customHeight="1" x14ac:dyDescent="0.4">
      <c r="B4" s="116"/>
      <c r="C4" s="116"/>
      <c r="D4" s="116"/>
      <c r="E4" s="116"/>
    </row>
    <row r="5" spans="2:7" ht="28.05" customHeight="1" x14ac:dyDescent="0.4">
      <c r="B5" s="117" t="s">
        <v>438</v>
      </c>
      <c r="C5" s="72"/>
      <c r="D5" s="72"/>
      <c r="E5" s="72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1" t="s">
        <v>439</v>
      </c>
      <c r="C7" s="108"/>
      <c r="D7" s="108"/>
      <c r="E7" s="108"/>
    </row>
    <row r="8" spans="2:7" ht="18" customHeight="1" x14ac:dyDescent="0.4">
      <c r="B8" s="47" t="s">
        <v>440</v>
      </c>
      <c r="C8" s="108" t="str">
        <f>IFERROR(IF(INDEX(기초자료입력!$B$44:$B$53,$G$3)=0,"",INDEX(기초자료입력!$B$44:$B$53,$G$3)),"")</f>
        <v/>
      </c>
      <c r="D8" s="108"/>
      <c r="E8" s="108"/>
    </row>
    <row r="9" spans="2:7" ht="18" customHeight="1" x14ac:dyDescent="0.4">
      <c r="B9" s="47" t="s">
        <v>365</v>
      </c>
      <c r="C9" s="108"/>
      <c r="D9" s="108"/>
      <c r="E9" s="108"/>
    </row>
    <row r="10" spans="2:7" ht="18" customHeight="1" x14ac:dyDescent="0.4">
      <c r="B10" s="47" t="s">
        <v>441</v>
      </c>
      <c r="C10" s="108"/>
      <c r="D10" s="108"/>
      <c r="E10" s="108"/>
    </row>
    <row r="11" spans="2:7" ht="18" customHeight="1" x14ac:dyDescent="0.4">
      <c r="B11" s="47" t="s">
        <v>291</v>
      </c>
      <c r="C11" s="108"/>
      <c r="D11" s="108"/>
      <c r="E11" s="108"/>
    </row>
    <row r="12" spans="2:7" ht="18" customHeight="1" x14ac:dyDescent="0.4">
      <c r="B12" s="47" t="s">
        <v>366</v>
      </c>
      <c r="C12" s="108" t="s">
        <v>445</v>
      </c>
      <c r="D12" s="108"/>
      <c r="E12" s="108"/>
    </row>
    <row r="13" spans="2:7" ht="18" customHeight="1" x14ac:dyDescent="0.4">
      <c r="B13" s="47" t="s">
        <v>442</v>
      </c>
      <c r="C13" s="108"/>
      <c r="D13" s="108"/>
      <c r="E13" s="108"/>
    </row>
    <row r="14" spans="2:7" ht="18" customHeight="1" x14ac:dyDescent="0.4">
      <c r="B14" s="47" t="s">
        <v>443</v>
      </c>
      <c r="C14" s="108"/>
      <c r="D14" s="108"/>
      <c r="E14" s="108"/>
    </row>
    <row r="15" spans="2:7" ht="18" customHeight="1" x14ac:dyDescent="0.4">
      <c r="B15" s="47" t="s">
        <v>444</v>
      </c>
      <c r="C15" s="108"/>
      <c r="D15" s="108"/>
      <c r="E15" s="108"/>
    </row>
    <row r="16" spans="2:7" ht="24" customHeight="1" x14ac:dyDescent="0.4">
      <c r="B16" s="108" t="s">
        <v>446</v>
      </c>
      <c r="C16" s="108"/>
      <c r="D16" s="108"/>
      <c r="E16" s="108"/>
    </row>
    <row r="17" spans="2:5" ht="24" customHeight="1" x14ac:dyDescent="0.4">
      <c r="B17" s="108"/>
      <c r="C17" s="108"/>
      <c r="D17" s="108"/>
      <c r="E17" s="108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1" t="s">
        <v>447</v>
      </c>
      <c r="C19" s="108"/>
      <c r="D19" s="108"/>
      <c r="E19" s="108"/>
    </row>
    <row r="20" spans="2:5" ht="16.05" customHeight="1" x14ac:dyDescent="0.4">
      <c r="B20" s="110" t="s">
        <v>448</v>
      </c>
      <c r="C20" s="110"/>
      <c r="D20" s="110"/>
      <c r="E20" s="110"/>
    </row>
    <row r="21" spans="2:5" ht="16.05" customHeight="1" x14ac:dyDescent="0.4">
      <c r="B21" s="110"/>
      <c r="C21" s="110"/>
      <c r="D21" s="110"/>
      <c r="E21" s="110"/>
    </row>
    <row r="22" spans="2:5" ht="16.05" customHeight="1" x14ac:dyDescent="0.4">
      <c r="B22" s="110"/>
      <c r="C22" s="110"/>
      <c r="D22" s="110"/>
      <c r="E22" s="110"/>
    </row>
    <row r="23" spans="2:5" ht="16.05" customHeight="1" x14ac:dyDescent="0.4">
      <c r="B23" s="110"/>
      <c r="C23" s="110"/>
      <c r="D23" s="110"/>
      <c r="E23" s="110"/>
    </row>
    <row r="24" spans="2:5" ht="16.05" customHeight="1" x14ac:dyDescent="0.4">
      <c r="B24" s="110"/>
      <c r="C24" s="110"/>
      <c r="D24" s="110"/>
      <c r="E24" s="110"/>
    </row>
    <row r="25" spans="2:5" ht="16.05" customHeight="1" x14ac:dyDescent="0.4">
      <c r="B25" s="110"/>
      <c r="C25" s="110"/>
      <c r="D25" s="110"/>
      <c r="E25" s="110"/>
    </row>
    <row r="26" spans="2:5" ht="16.05" customHeight="1" x14ac:dyDescent="0.4">
      <c r="B26" s="110"/>
      <c r="C26" s="110"/>
      <c r="D26" s="110"/>
      <c r="E26" s="110"/>
    </row>
    <row r="27" spans="2:5" ht="16.05" customHeight="1" x14ac:dyDescent="0.4">
      <c r="B27" s="110"/>
      <c r="C27" s="110"/>
      <c r="D27" s="110"/>
      <c r="E27" s="110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IF(기초자료입력!$C$5="","20○○. ○○. ○○","20"&amp;RIGHT(기초자료입력!$C$5,2)&amp;". ○○. ○○")</f>
        <v>20○○. ○○. ○○</v>
      </c>
      <c r="C29" s="109"/>
      <c r="D29" s="109"/>
      <c r="E29" s="109"/>
    </row>
    <row r="30" spans="2:5" ht="18" customHeight="1" x14ac:dyDescent="0.4">
      <c r="B30" s="109" t="s">
        <v>449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FDE31-390F-4F9B-BD2A-3E3E6D245304}">
  <sheetPr codeName="Sheet28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429</v>
      </c>
    </row>
    <row r="2" spans="1:7" ht="10.050000000000001" customHeight="1" x14ac:dyDescent="0.4">
      <c r="G2" s="35" t="s">
        <v>321</v>
      </c>
    </row>
    <row r="3" spans="1:7" ht="22.05" customHeight="1" x14ac:dyDescent="0.4">
      <c r="B3" s="97" t="s">
        <v>430</v>
      </c>
      <c r="C3" s="109"/>
      <c r="D3" s="109"/>
      <c r="E3" s="109"/>
      <c r="G3">
        <v>1</v>
      </c>
    </row>
    <row r="4" spans="1:7" ht="22.05" customHeight="1" x14ac:dyDescent="0.4">
      <c r="B4" s="109"/>
      <c r="C4" s="109"/>
      <c r="D4" s="109"/>
      <c r="E4" s="109"/>
    </row>
    <row r="5" spans="1:7" ht="28.05" customHeight="1" x14ac:dyDescent="0.4">
      <c r="B5" s="110" t="s">
        <v>431</v>
      </c>
      <c r="C5" s="110"/>
      <c r="D5" s="110"/>
      <c r="E5" s="110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432</v>
      </c>
      <c r="C7" s="108" t="str">
        <f>IFERROR(IF(INDEX(기초자료입력!$B$44:$B$53,$G$3)=0,"",INDEX(기초자료입력!$B$44:$B$53,$G$3)),"")</f>
        <v/>
      </c>
      <c r="D7" s="108"/>
      <c r="E7" s="108"/>
    </row>
    <row r="8" spans="1:7" ht="19.95" customHeight="1" x14ac:dyDescent="0.4">
      <c r="B8" s="47" t="s">
        <v>433</v>
      </c>
      <c r="C8" s="108"/>
      <c r="D8" s="108"/>
      <c r="E8" s="108"/>
    </row>
    <row r="9" spans="1:7" ht="19.95" customHeight="1" x14ac:dyDescent="0.4">
      <c r="B9" s="47" t="s">
        <v>434</v>
      </c>
      <c r="C9" s="108"/>
      <c r="D9" s="108"/>
      <c r="E9" s="108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10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10"/>
      <c r="D11" s="110"/>
      <c r="E11" s="110"/>
    </row>
    <row r="12" spans="1:7" ht="18" customHeight="1" x14ac:dyDescent="0.4">
      <c r="B12" s="110"/>
      <c r="C12" s="110"/>
      <c r="D12" s="110"/>
      <c r="E12" s="110"/>
    </row>
    <row r="13" spans="1:7" ht="18" customHeight="1" x14ac:dyDescent="0.4">
      <c r="B13" s="110"/>
      <c r="C13" s="110"/>
      <c r="D13" s="110"/>
      <c r="E13" s="110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10" t="s">
        <v>435</v>
      </c>
      <c r="C15" s="110"/>
      <c r="D15" s="110"/>
      <c r="E15" s="110"/>
    </row>
    <row r="16" spans="1:7" ht="22.05" customHeight="1" x14ac:dyDescent="0.4">
      <c r="B16" s="110"/>
      <c r="C16" s="110"/>
      <c r="D16" s="110"/>
      <c r="E16" s="110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9" t="str">
        <f>IF(기초자료입력!$C$5="","20○○. ○○. ○○","20"&amp;RIGHT(기초자료입력!$C$5,2)&amp;". ○○. ○○")</f>
        <v>20○○. ○○. ○○</v>
      </c>
      <c r="C18" s="109"/>
      <c r="D18" s="109"/>
      <c r="E18" s="109"/>
    </row>
    <row r="19" spans="2:5" ht="19.95" customHeight="1" x14ac:dyDescent="0.4">
      <c r="B19" s="109" t="s">
        <v>436</v>
      </c>
      <c r="C19" s="109"/>
      <c r="D19" s="109"/>
      <c r="E19" s="109"/>
    </row>
    <row r="20" spans="2:5" ht="19.95" customHeight="1" x14ac:dyDescent="0.4">
      <c r="B20" s="109" t="str">
        <f>IF(기초자료입력!$C$4="","○○○○학교장 귀하",기초자료입력!$C$4&amp;"장 귀하")</f>
        <v>○○○○학교장 귀하</v>
      </c>
      <c r="C20" s="109"/>
      <c r="D20" s="109"/>
      <c r="E20" s="109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34886-380F-455C-81BD-D2E3E10008F8}">
  <sheetPr codeName="Sheet29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410</v>
      </c>
    </row>
    <row r="2" spans="1:14" ht="10.050000000000001" customHeight="1" x14ac:dyDescent="0.4">
      <c r="N2" s="35" t="s">
        <v>321</v>
      </c>
    </row>
    <row r="3" spans="1:14" ht="30" customHeight="1" x14ac:dyDescent="0.4">
      <c r="B3" s="119" t="s">
        <v>411</v>
      </c>
      <c r="C3" s="80"/>
      <c r="D3" s="80"/>
      <c r="E3" s="80"/>
      <c r="F3" s="80"/>
      <c r="G3" s="80"/>
      <c r="H3" s="80"/>
      <c r="I3" s="80"/>
      <c r="J3" s="80"/>
      <c r="K3" s="80" t="s">
        <v>412</v>
      </c>
      <c r="L3" s="80"/>
      <c r="N3">
        <v>1</v>
      </c>
    </row>
    <row r="4" spans="1:14" ht="24" customHeight="1" x14ac:dyDescent="0.4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0" t="s">
        <v>413</v>
      </c>
      <c r="C6" s="80"/>
      <c r="D6" s="80" t="s">
        <v>414</v>
      </c>
      <c r="E6" s="79"/>
      <c r="F6" s="79" t="str">
        <f>IFERROR(IF(INDEX(기초자료입력!$B$44:$B$53,$N$3)=0,"",INDEX(기초자료입력!$B$44:$B$53,$N$3)),"")</f>
        <v/>
      </c>
      <c r="G6" s="79"/>
      <c r="H6" s="79"/>
      <c r="I6" s="28" t="s">
        <v>415</v>
      </c>
      <c r="J6" s="79"/>
      <c r="K6" s="79"/>
      <c r="L6" s="79"/>
    </row>
    <row r="7" spans="1:14" ht="22.95" customHeight="1" x14ac:dyDescent="0.4">
      <c r="B7" s="80"/>
      <c r="C7" s="80"/>
      <c r="D7" s="79" t="s">
        <v>416</v>
      </c>
      <c r="E7" s="79"/>
      <c r="F7" s="79"/>
      <c r="G7" s="79"/>
      <c r="H7" s="79"/>
      <c r="I7" s="28" t="s">
        <v>417</v>
      </c>
      <c r="J7" s="79"/>
      <c r="K7" s="79"/>
      <c r="L7" s="79"/>
    </row>
    <row r="8" spans="1:14" ht="22.95" customHeight="1" x14ac:dyDescent="0.4">
      <c r="B8" s="80"/>
      <c r="C8" s="80"/>
      <c r="D8" s="79" t="s">
        <v>365</v>
      </c>
      <c r="E8" s="79"/>
      <c r="F8" s="79"/>
      <c r="G8" s="79"/>
      <c r="H8" s="79"/>
      <c r="I8" s="28" t="s">
        <v>418</v>
      </c>
      <c r="J8" s="79"/>
      <c r="K8" s="79"/>
      <c r="L8" s="79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0" t="s">
        <v>419</v>
      </c>
      <c r="C10" s="80"/>
      <c r="D10" s="80" t="s">
        <v>420</v>
      </c>
      <c r="E10" s="79"/>
      <c r="F10" s="79" t="str">
        <f>IF(기초자료입력!$C$4="","",기초자료입력!$C$4&amp;" 공고 제20○○-00호")</f>
        <v/>
      </c>
      <c r="G10" s="79"/>
      <c r="H10" s="79"/>
      <c r="I10" s="28" t="s">
        <v>421</v>
      </c>
      <c r="J10" s="79"/>
      <c r="K10" s="79"/>
      <c r="L10" s="79"/>
    </row>
    <row r="11" spans="1:14" ht="22.95" customHeight="1" x14ac:dyDescent="0.4">
      <c r="B11" s="80"/>
      <c r="C11" s="80"/>
      <c r="D11" s="79" t="s">
        <v>422</v>
      </c>
      <c r="E11" s="79"/>
      <c r="F11" s="79" t="str">
        <f>IF(OR(기초자료입력!$C$4="",기초자료입력!$C$5=""),"",기초자료입력!$C$4&amp;" "&amp;기초자료입력!$C$5&amp;"학년도 교복 학교주관 구매 입찰")</f>
        <v/>
      </c>
      <c r="G11" s="79"/>
      <c r="H11" s="79"/>
      <c r="I11" s="79"/>
      <c r="J11" s="79"/>
      <c r="K11" s="79"/>
      <c r="L11" s="79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79" t="s">
        <v>423</v>
      </c>
      <c r="C13" s="79"/>
      <c r="D13" s="80" t="s">
        <v>424</v>
      </c>
      <c r="E13" s="80"/>
      <c r="F13" s="80"/>
      <c r="G13" s="80"/>
      <c r="H13" s="80"/>
      <c r="I13" s="80"/>
      <c r="J13" s="80"/>
      <c r="K13" s="80"/>
      <c r="L13" s="80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0" t="s">
        <v>425</v>
      </c>
      <c r="C15" s="80"/>
      <c r="D15" s="80" t="s">
        <v>426</v>
      </c>
      <c r="E15" s="80"/>
      <c r="F15" s="80"/>
      <c r="G15" s="80"/>
      <c r="H15" s="80"/>
      <c r="I15" s="80" t="s">
        <v>427</v>
      </c>
      <c r="J15" s="80"/>
      <c r="K15" s="80"/>
      <c r="L15" s="80"/>
    </row>
    <row r="16" spans="1:14" ht="22.05" customHeight="1" x14ac:dyDescent="0.4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2:12" ht="22.05" customHeight="1" x14ac:dyDescent="0.4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2:12" ht="22.05" customHeight="1" x14ac:dyDescent="0.4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6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</row>
    <row r="21" spans="2:12" x14ac:dyDescent="0.4">
      <c r="B21" s="118" t="s">
        <v>428</v>
      </c>
      <c r="C21" s="118"/>
      <c r="D21" s="118"/>
      <c r="E21" s="118"/>
      <c r="F21" s="118"/>
      <c r="G21" s="118"/>
      <c r="H21" s="118"/>
      <c r="I21" s="118"/>
      <c r="J21" s="118"/>
      <c r="K21" s="118"/>
      <c r="L21" s="118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18" t="str">
        <f>IF(OR(기초자료입력!$C$4="",기초자료입력!$C$5=""),"","20"&amp;RIGHT(기초자료입력!$C$5,2)&amp;". . .")</f>
        <v/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</row>
    <row r="24" spans="2:12" x14ac:dyDescent="0.4">
      <c r="B24" s="118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</row>
    <row r="25" spans="2:12" x14ac:dyDescent="0.4">
      <c r="B25" s="118" t="str">
        <f>IF(기초자료입력!$C$4="","○○○○학교장 귀하",기초자료입력!$C$4&amp;"장 귀하")</f>
        <v>○○○○학교장 귀하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55080-B9F5-4224-B5C1-04095BE5792A}">
  <sheetPr codeName="Sheet30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398</v>
      </c>
    </row>
    <row r="2" spans="1:9" x14ac:dyDescent="0.4">
      <c r="I2" s="35" t="s">
        <v>321</v>
      </c>
    </row>
    <row r="3" spans="1:9" x14ac:dyDescent="0.4">
      <c r="B3" s="77" t="s">
        <v>399</v>
      </c>
      <c r="C3" s="78"/>
      <c r="D3" s="78"/>
      <c r="E3" s="78"/>
      <c r="F3" s="78"/>
      <c r="I3">
        <v>1</v>
      </c>
    </row>
    <row r="4" spans="1:9" ht="28.05" customHeight="1" x14ac:dyDescent="0.4">
      <c r="B4" s="86" t="s">
        <v>400</v>
      </c>
      <c r="C4" s="86"/>
      <c r="D4" s="86"/>
      <c r="E4" s="86"/>
      <c r="F4" s="86"/>
    </row>
    <row r="5" spans="1:9" x14ac:dyDescent="0.4">
      <c r="B5" s="28" t="s">
        <v>60</v>
      </c>
      <c r="C5" s="121" t="str">
        <f>IFERROR(IF(INDEX(기초자료입력!$B$44:$B$53,$I$3)=0,"",INDEX(기초자료입력!$B$44:$B$53,$I$3)),"")</f>
        <v/>
      </c>
      <c r="D5" s="121"/>
      <c r="E5" s="121"/>
      <c r="F5" s="79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310</v>
      </c>
      <c r="C7" s="31" t="s">
        <v>81</v>
      </c>
      <c r="D7" s="31" t="s">
        <v>311</v>
      </c>
      <c r="E7" s="31" t="s">
        <v>82</v>
      </c>
      <c r="F7" s="31" t="s">
        <v>401</v>
      </c>
    </row>
    <row r="8" spans="1:9" ht="22.05" customHeight="1" x14ac:dyDescent="0.4">
      <c r="B8" s="80" t="s">
        <v>326</v>
      </c>
      <c r="C8" s="102" t="s">
        <v>402</v>
      </c>
      <c r="D8" s="32" t="s">
        <v>328</v>
      </c>
      <c r="E8" s="28">
        <v>10</v>
      </c>
      <c r="F8" s="79" t="str">
        <f>IFERROR(IF(INDEX(기초자료입력!$B$44:$B$53,$I$3)=0,"",INDEX(기초자료입력!$N$44:$N$53,$I$3)),"")</f>
        <v/>
      </c>
    </row>
    <row r="9" spans="1:9" ht="22.05" customHeight="1" x14ac:dyDescent="0.4">
      <c r="B9" s="80"/>
      <c r="C9" s="102"/>
      <c r="D9" s="32" t="s">
        <v>329</v>
      </c>
      <c r="E9" s="28">
        <v>8</v>
      </c>
      <c r="F9" s="79"/>
    </row>
    <row r="10" spans="1:9" ht="22.05" customHeight="1" x14ac:dyDescent="0.4">
      <c r="B10" s="80"/>
      <c r="C10" s="102"/>
      <c r="D10" s="32" t="s">
        <v>403</v>
      </c>
      <c r="E10" s="28">
        <v>6</v>
      </c>
      <c r="F10" s="79"/>
    </row>
    <row r="11" spans="1:9" ht="22.05" customHeight="1" x14ac:dyDescent="0.4">
      <c r="B11" s="80"/>
      <c r="C11" s="102"/>
      <c r="D11" s="32" t="s">
        <v>331</v>
      </c>
      <c r="E11" s="28">
        <v>4</v>
      </c>
      <c r="F11" s="79"/>
    </row>
    <row r="12" spans="1:9" ht="22.05" customHeight="1" x14ac:dyDescent="0.4">
      <c r="B12" s="80"/>
      <c r="C12" s="102" t="s">
        <v>404</v>
      </c>
      <c r="D12" s="32" t="s">
        <v>333</v>
      </c>
      <c r="E12" s="28">
        <v>10</v>
      </c>
      <c r="F12" s="79" t="str">
        <f>IFERROR(IF(INDEX(기초자료입력!$B$44:$B$53,$I$3)=0,"",INDEX(기초자료입력!$O$44:$O$53,$I$3)),"")</f>
        <v/>
      </c>
    </row>
    <row r="13" spans="1:9" ht="22.05" customHeight="1" x14ac:dyDescent="0.4">
      <c r="B13" s="80"/>
      <c r="C13" s="102"/>
      <c r="D13" s="32" t="s">
        <v>334</v>
      </c>
      <c r="E13" s="28">
        <v>8</v>
      </c>
      <c r="F13" s="79"/>
    </row>
    <row r="14" spans="1:9" ht="22.05" customHeight="1" x14ac:dyDescent="0.4">
      <c r="B14" s="80"/>
      <c r="C14" s="102"/>
      <c r="D14" s="32" t="s">
        <v>335</v>
      </c>
      <c r="E14" s="28">
        <v>5</v>
      </c>
      <c r="F14" s="79"/>
    </row>
    <row r="15" spans="1:9" ht="22.05" customHeight="1" x14ac:dyDescent="0.4">
      <c r="B15" s="80"/>
      <c r="C15" s="102" t="s">
        <v>405</v>
      </c>
      <c r="D15" s="32" t="s">
        <v>337</v>
      </c>
      <c r="E15" s="28">
        <v>15</v>
      </c>
      <c r="F15" s="79" t="str">
        <f>IFERROR(IF(INDEX(기초자료입력!$B$44:$B$53,$I$3)=0,"",INDEX(기초자료입력!$P$44:$P$53,$I$3)),"")</f>
        <v/>
      </c>
    </row>
    <row r="16" spans="1:9" ht="22.05" customHeight="1" x14ac:dyDescent="0.4">
      <c r="B16" s="80"/>
      <c r="C16" s="102"/>
      <c r="D16" s="32" t="s">
        <v>406</v>
      </c>
      <c r="E16" s="28">
        <v>12</v>
      </c>
      <c r="F16" s="79"/>
    </row>
    <row r="17" spans="2:6" ht="22.05" customHeight="1" x14ac:dyDescent="0.4">
      <c r="B17" s="80"/>
      <c r="C17" s="102"/>
      <c r="D17" s="32" t="s">
        <v>407</v>
      </c>
      <c r="E17" s="28">
        <v>9</v>
      </c>
      <c r="F17" s="79"/>
    </row>
    <row r="18" spans="2:6" ht="22.05" customHeight="1" x14ac:dyDescent="0.4">
      <c r="B18" s="80"/>
      <c r="C18" s="102"/>
      <c r="D18" s="32" t="s">
        <v>408</v>
      </c>
      <c r="E18" s="28">
        <v>5</v>
      </c>
      <c r="F18" s="79"/>
    </row>
    <row r="19" spans="2:6" ht="22.05" customHeight="1" x14ac:dyDescent="0.4">
      <c r="B19" s="80"/>
      <c r="C19" s="102" t="s">
        <v>341</v>
      </c>
      <c r="D19" s="32" t="s">
        <v>342</v>
      </c>
      <c r="E19" s="28">
        <v>15</v>
      </c>
      <c r="F19" s="79" t="str">
        <f>IFERROR(IF(INDEX(기초자료입력!$B$44:$B$53,$I$3)=0,"",INDEX(기초자료입력!$Q$44:$Q$53,$I$3)),"")</f>
        <v/>
      </c>
    </row>
    <row r="20" spans="2:6" ht="22.05" customHeight="1" x14ac:dyDescent="0.4">
      <c r="B20" s="80"/>
      <c r="C20" s="102"/>
      <c r="D20" s="32" t="s">
        <v>343</v>
      </c>
      <c r="E20" s="28">
        <v>0</v>
      </c>
      <c r="F20" s="79"/>
    </row>
    <row r="21" spans="2:6" x14ac:dyDescent="0.4">
      <c r="B21" s="75" t="s">
        <v>278</v>
      </c>
      <c r="C21" s="120"/>
      <c r="D21" s="120" t="s">
        <v>344</v>
      </c>
      <c r="E21" s="75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6" t="s">
        <v>409</v>
      </c>
      <c r="C23" s="86"/>
      <c r="D23" s="86"/>
      <c r="E23" s="86"/>
      <c r="F23" s="86"/>
    </row>
    <row r="24" spans="2:6" x14ac:dyDescent="0.4">
      <c r="B24" s="30"/>
      <c r="C24" s="30"/>
      <c r="D24" s="30"/>
      <c r="E24" s="30"/>
      <c r="F24" s="30"/>
    </row>
    <row r="25" spans="2:6" x14ac:dyDescent="0.4">
      <c r="B25" s="118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18"/>
      <c r="D25" s="118"/>
      <c r="E25" s="118"/>
      <c r="F25" s="118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6C1C0-B2AE-42F2-81D6-53CCFE51452A}">
  <sheetPr codeName="Sheet31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363</v>
      </c>
    </row>
    <row r="2" spans="1:7" x14ac:dyDescent="0.4">
      <c r="G2" s="35" t="s">
        <v>321</v>
      </c>
    </row>
    <row r="3" spans="1:7" x14ac:dyDescent="0.4">
      <c r="B3" s="122" t="str">
        <f>IF(기초자료입력!C5&lt;&gt;"",기초자료입력!C5,"20○○")&amp;"년도 신입생 교복 제출서류 자기확인서"</f>
        <v>20○○년도 신입생 교복 제출서류 자기확인서</v>
      </c>
      <c r="C3" s="123"/>
      <c r="D3" s="123"/>
      <c r="E3" s="123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17" t="s">
        <v>364</v>
      </c>
      <c r="C5" s="117"/>
      <c r="D5" s="117"/>
      <c r="E5" s="117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365</v>
      </c>
      <c r="D7" s="39" t="s">
        <v>366</v>
      </c>
      <c r="E7" s="39" t="s">
        <v>367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368</v>
      </c>
      <c r="C10" s="39" t="s">
        <v>55</v>
      </c>
      <c r="D10" s="39" t="s">
        <v>369</v>
      </c>
      <c r="E10" s="39" t="s">
        <v>370</v>
      </c>
    </row>
    <row r="11" spans="1:7" ht="16.05" customHeight="1" x14ac:dyDescent="0.4">
      <c r="B11" s="44" t="s">
        <v>371</v>
      </c>
      <c r="C11" s="45" t="s">
        <v>372</v>
      </c>
      <c r="D11" s="45"/>
      <c r="E11" s="44"/>
    </row>
    <row r="12" spans="1:7" ht="16.05" customHeight="1" x14ac:dyDescent="0.4">
      <c r="B12" s="44" t="s">
        <v>373</v>
      </c>
      <c r="C12" s="45" t="s">
        <v>372</v>
      </c>
      <c r="D12" s="45"/>
      <c r="E12" s="44"/>
    </row>
    <row r="13" spans="1:7" ht="16.05" customHeight="1" x14ac:dyDescent="0.4">
      <c r="B13" s="44" t="s">
        <v>374</v>
      </c>
      <c r="C13" s="45" t="s">
        <v>372</v>
      </c>
      <c r="D13" s="45"/>
      <c r="E13" s="44"/>
    </row>
    <row r="14" spans="1:7" ht="16.05" customHeight="1" x14ac:dyDescent="0.4">
      <c r="B14" s="44" t="s">
        <v>375</v>
      </c>
      <c r="C14" s="45" t="s">
        <v>372</v>
      </c>
      <c r="D14" s="45"/>
      <c r="E14" s="44" t="s">
        <v>376</v>
      </c>
    </row>
    <row r="15" spans="1:7" ht="16.05" customHeight="1" x14ac:dyDescent="0.4">
      <c r="B15" s="44" t="s">
        <v>377</v>
      </c>
      <c r="C15" s="45" t="s">
        <v>372</v>
      </c>
      <c r="D15" s="45"/>
      <c r="E15" s="44"/>
    </row>
    <row r="16" spans="1:7" ht="16.05" customHeight="1" x14ac:dyDescent="0.4">
      <c r="B16" s="44" t="s">
        <v>378</v>
      </c>
      <c r="C16" s="45" t="s">
        <v>372</v>
      </c>
      <c r="D16" s="45"/>
      <c r="E16" s="44"/>
    </row>
    <row r="17" spans="2:5" ht="16.05" customHeight="1" x14ac:dyDescent="0.4">
      <c r="B17" s="44" t="s">
        <v>379</v>
      </c>
      <c r="C17" s="45" t="s">
        <v>372</v>
      </c>
      <c r="D17" s="45"/>
      <c r="E17" s="44"/>
    </row>
    <row r="18" spans="2:5" ht="16.05" customHeight="1" x14ac:dyDescent="0.4">
      <c r="B18" s="44" t="s">
        <v>380</v>
      </c>
      <c r="C18" s="45" t="s">
        <v>372</v>
      </c>
      <c r="D18" s="45"/>
      <c r="E18" s="44"/>
    </row>
    <row r="19" spans="2:5" ht="16.05" customHeight="1" x14ac:dyDescent="0.4">
      <c r="B19" s="44" t="s">
        <v>381</v>
      </c>
      <c r="C19" s="45" t="s">
        <v>372</v>
      </c>
      <c r="D19" s="45"/>
      <c r="E19" s="44"/>
    </row>
    <row r="20" spans="2:5" ht="16.05" customHeight="1" x14ac:dyDescent="0.4">
      <c r="B20" s="44" t="s">
        <v>382</v>
      </c>
      <c r="C20" s="45" t="s">
        <v>372</v>
      </c>
      <c r="D20" s="45"/>
      <c r="E20" s="44"/>
    </row>
    <row r="21" spans="2:5" ht="16.05" customHeight="1" x14ac:dyDescent="0.4">
      <c r="B21" s="44" t="s">
        <v>383</v>
      </c>
      <c r="C21" s="45" t="s">
        <v>372</v>
      </c>
      <c r="D21" s="45"/>
      <c r="E21" s="44"/>
    </row>
    <row r="22" spans="2:5" ht="24" customHeight="1" x14ac:dyDescent="0.4">
      <c r="B22" s="44" t="s">
        <v>384</v>
      </c>
      <c r="C22" s="45" t="s">
        <v>372</v>
      </c>
      <c r="D22" s="45"/>
      <c r="E22" s="44" t="s">
        <v>385</v>
      </c>
    </row>
    <row r="23" spans="2:5" ht="16.05" customHeight="1" x14ac:dyDescent="0.4">
      <c r="B23" s="44" t="s">
        <v>386</v>
      </c>
      <c r="C23" s="45" t="s">
        <v>387</v>
      </c>
      <c r="D23" s="45"/>
      <c r="E23" s="44" t="s">
        <v>388</v>
      </c>
    </row>
    <row r="24" spans="2:5" ht="16.05" customHeight="1" x14ac:dyDescent="0.4">
      <c r="B24" s="44" t="s">
        <v>389</v>
      </c>
      <c r="C24" s="45" t="s">
        <v>387</v>
      </c>
      <c r="D24" s="45"/>
      <c r="E24" s="44" t="s">
        <v>388</v>
      </c>
    </row>
    <row r="25" spans="2:5" ht="16.05" customHeight="1" x14ac:dyDescent="0.4">
      <c r="B25" s="44" t="s">
        <v>390</v>
      </c>
      <c r="C25" s="45" t="s">
        <v>387</v>
      </c>
      <c r="D25" s="45"/>
      <c r="E25" s="44" t="s">
        <v>388</v>
      </c>
    </row>
    <row r="26" spans="2:5" ht="16.05" customHeight="1" x14ac:dyDescent="0.4">
      <c r="B26" s="44" t="s">
        <v>391</v>
      </c>
      <c r="C26" s="45" t="s">
        <v>387</v>
      </c>
      <c r="D26" s="45"/>
      <c r="E26" s="44" t="s">
        <v>388</v>
      </c>
    </row>
    <row r="27" spans="2:5" ht="16.05" customHeight="1" x14ac:dyDescent="0.4">
      <c r="B27" s="44" t="s">
        <v>392</v>
      </c>
      <c r="C27" s="45" t="s">
        <v>387</v>
      </c>
      <c r="D27" s="45"/>
      <c r="E27" s="44" t="s">
        <v>388</v>
      </c>
    </row>
    <row r="28" spans="2:5" ht="16.05" customHeight="1" x14ac:dyDescent="0.4">
      <c r="B28" s="44" t="s">
        <v>393</v>
      </c>
      <c r="C28" s="45" t="s">
        <v>387</v>
      </c>
      <c r="D28" s="45"/>
      <c r="E28" s="44" t="s">
        <v>388</v>
      </c>
    </row>
    <row r="29" spans="2:5" ht="16.05" customHeight="1" x14ac:dyDescent="0.4">
      <c r="B29" s="44" t="s">
        <v>394</v>
      </c>
      <c r="C29" s="45" t="s">
        <v>387</v>
      </c>
      <c r="D29" s="45"/>
      <c r="E29" s="44" t="s">
        <v>388</v>
      </c>
    </row>
    <row r="30" spans="2:5" ht="16.05" customHeight="1" x14ac:dyDescent="0.4">
      <c r="B30" s="44" t="s">
        <v>395</v>
      </c>
      <c r="C30" s="45" t="s">
        <v>396</v>
      </c>
      <c r="D30" s="45"/>
      <c r="E30" s="44" t="s">
        <v>397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C3BED-9818-46F6-A97A-0F92CBAE4CD6}">
  <sheetPr codeName="Sheet32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346</v>
      </c>
    </row>
    <row r="2" spans="1:9" x14ac:dyDescent="0.4">
      <c r="I2" s="35" t="s">
        <v>321</v>
      </c>
    </row>
    <row r="3" spans="1:9" x14ac:dyDescent="0.4">
      <c r="B3" s="77" t="s">
        <v>347</v>
      </c>
      <c r="C3" s="78"/>
      <c r="D3" s="78"/>
      <c r="E3" s="78"/>
      <c r="F3" s="78"/>
      <c r="I3">
        <v>1</v>
      </c>
    </row>
    <row r="4" spans="1:9" x14ac:dyDescent="0.4">
      <c r="B4" s="77" t="s">
        <v>348</v>
      </c>
      <c r="C4" s="78"/>
      <c r="D4" s="78"/>
      <c r="E4" s="78"/>
      <c r="F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349</v>
      </c>
    </row>
    <row r="6" spans="1:9" x14ac:dyDescent="0.4">
      <c r="B6" s="78">
        <f>IFERROR(INDEX(기초자료입력!$B$44:$B$53,I3),"")</f>
        <v>0</v>
      </c>
      <c r="C6" s="78"/>
      <c r="D6" s="78"/>
      <c r="E6" s="78"/>
      <c r="F6" s="78"/>
    </row>
    <row r="7" spans="1:9" ht="24" customHeight="1" x14ac:dyDescent="0.4">
      <c r="B7" s="86" t="s">
        <v>325</v>
      </c>
      <c r="C7" s="86"/>
      <c r="D7" s="86"/>
      <c r="E7" s="86"/>
      <c r="F7" s="86"/>
    </row>
    <row r="8" spans="1:9" x14ac:dyDescent="0.4">
      <c r="B8" s="31" t="s">
        <v>310</v>
      </c>
      <c r="C8" s="31" t="s">
        <v>81</v>
      </c>
      <c r="D8" s="31" t="s">
        <v>311</v>
      </c>
      <c r="E8" s="31" t="s">
        <v>82</v>
      </c>
      <c r="F8" s="31" t="s">
        <v>312</v>
      </c>
    </row>
    <row r="9" spans="1:9" ht="45" customHeight="1" x14ac:dyDescent="0.4">
      <c r="B9" s="80" t="s">
        <v>350</v>
      </c>
      <c r="C9" s="28" t="s">
        <v>351</v>
      </c>
      <c r="D9" s="32" t="s">
        <v>352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0"/>
      <c r="C10" s="28" t="s">
        <v>353</v>
      </c>
      <c r="D10" s="32" t="s">
        <v>354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0"/>
      <c r="C11" s="28" t="s">
        <v>355</v>
      </c>
      <c r="D11" s="32" t="s">
        <v>356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0"/>
      <c r="C12" s="28" t="s">
        <v>357</v>
      </c>
      <c r="D12" s="32" t="s">
        <v>358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0"/>
      <c r="C13" s="28" t="s">
        <v>359</v>
      </c>
      <c r="D13" s="32" t="s">
        <v>360</v>
      </c>
      <c r="E13" s="28" t="s">
        <v>361</v>
      </c>
      <c r="F13" s="28">
        <f>IFERROR(INDEX(기초자료입력!$L$44:$L$53,I3),"")</f>
        <v>0</v>
      </c>
    </row>
    <row r="14" spans="1:9" x14ac:dyDescent="0.4">
      <c r="B14" s="120" t="s">
        <v>278</v>
      </c>
      <c r="C14" s="120"/>
      <c r="D14" s="120" t="s">
        <v>344</v>
      </c>
      <c r="E14" s="75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6"/>
      <c r="D16" s="86"/>
      <c r="E16" s="86"/>
      <c r="F16" s="86"/>
    </row>
    <row r="17" spans="2:6" x14ac:dyDescent="0.4">
      <c r="B17" s="78" t="s">
        <v>303</v>
      </c>
      <c r="C17" s="78"/>
      <c r="D17" s="78"/>
      <c r="E17" s="78"/>
      <c r="F17" s="78"/>
    </row>
    <row r="18" spans="2:6" x14ac:dyDescent="0.4">
      <c r="B18" s="78" t="s">
        <v>362</v>
      </c>
      <c r="C18" s="78"/>
      <c r="D18" s="78"/>
      <c r="E18" s="78"/>
      <c r="F18" s="78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FFD90-0C56-4F38-B63C-DAB85C8C6C12}">
  <sheetPr codeName="Sheet33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320</v>
      </c>
    </row>
    <row r="2" spans="1:9" x14ac:dyDescent="0.4">
      <c r="I2" s="35" t="s">
        <v>321</v>
      </c>
    </row>
    <row r="3" spans="1:9" x14ac:dyDescent="0.4">
      <c r="B3" s="77" t="s">
        <v>322</v>
      </c>
      <c r="C3" s="78"/>
      <c r="D3" s="78"/>
      <c r="E3" s="78"/>
      <c r="F3" s="78"/>
      <c r="G3" s="78"/>
      <c r="I3">
        <v>1</v>
      </c>
    </row>
    <row r="4" spans="1:9" x14ac:dyDescent="0.4">
      <c r="B4" s="77" t="s">
        <v>323</v>
      </c>
      <c r="C4" s="78"/>
      <c r="D4" s="78"/>
      <c r="E4" s="78"/>
      <c r="F4" s="78"/>
      <c r="G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324</v>
      </c>
      <c r="G5" s="36">
        <f>IFERROR(INDEX(기초자료입력!$B$44:$B$53,I3),"")</f>
        <v>0</v>
      </c>
    </row>
    <row r="6" spans="1:9" ht="24" customHeight="1" x14ac:dyDescent="0.4">
      <c r="B6" s="86" t="s">
        <v>325</v>
      </c>
      <c r="C6" s="86"/>
      <c r="D6" s="86"/>
      <c r="E6" s="86"/>
      <c r="F6" s="86"/>
      <c r="G6" s="86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310</v>
      </c>
      <c r="C8" s="31" t="s">
        <v>81</v>
      </c>
      <c r="D8" s="31" t="s">
        <v>311</v>
      </c>
      <c r="E8" s="31" t="s">
        <v>82</v>
      </c>
      <c r="F8" s="31" t="s">
        <v>312</v>
      </c>
      <c r="G8" s="36"/>
    </row>
    <row r="9" spans="1:9" ht="22.05" customHeight="1" x14ac:dyDescent="0.4">
      <c r="B9" s="80" t="s">
        <v>326</v>
      </c>
      <c r="C9" s="102" t="s">
        <v>327</v>
      </c>
      <c r="D9" s="32" t="s">
        <v>328</v>
      </c>
      <c r="E9" s="28">
        <v>10</v>
      </c>
      <c r="F9" s="79">
        <f>IFERROR(INDEX(기초자료입력!$C$44:$C$53,I3),"")</f>
        <v>0</v>
      </c>
      <c r="G9" s="29"/>
    </row>
    <row r="10" spans="1:9" ht="22.05" customHeight="1" x14ac:dyDescent="0.4">
      <c r="B10" s="80"/>
      <c r="C10" s="102"/>
      <c r="D10" s="32" t="s">
        <v>329</v>
      </c>
      <c r="E10" s="28">
        <v>8</v>
      </c>
      <c r="F10" s="79"/>
      <c r="G10" s="29"/>
    </row>
    <row r="11" spans="1:9" ht="22.05" customHeight="1" x14ac:dyDescent="0.4">
      <c r="B11" s="80"/>
      <c r="C11" s="102"/>
      <c r="D11" s="32" t="s">
        <v>330</v>
      </c>
      <c r="E11" s="28">
        <v>6</v>
      </c>
      <c r="F11" s="79"/>
      <c r="G11" s="29"/>
    </row>
    <row r="12" spans="1:9" ht="22.05" customHeight="1" x14ac:dyDescent="0.4">
      <c r="B12" s="80"/>
      <c r="C12" s="102"/>
      <c r="D12" s="32" t="s">
        <v>331</v>
      </c>
      <c r="E12" s="28">
        <v>4</v>
      </c>
      <c r="F12" s="79"/>
      <c r="G12" s="29"/>
    </row>
    <row r="13" spans="1:9" ht="22.05" customHeight="1" x14ac:dyDescent="0.4">
      <c r="B13" s="80"/>
      <c r="C13" s="102" t="s">
        <v>332</v>
      </c>
      <c r="D13" s="32" t="s">
        <v>333</v>
      </c>
      <c r="E13" s="28">
        <v>10</v>
      </c>
      <c r="F13" s="79">
        <f>IFERROR(INDEX(기초자료입력!$D$44:$D$53,I3),"")</f>
        <v>0</v>
      </c>
      <c r="G13" s="29"/>
    </row>
    <row r="14" spans="1:9" ht="22.05" customHeight="1" x14ac:dyDescent="0.4">
      <c r="B14" s="80"/>
      <c r="C14" s="102"/>
      <c r="D14" s="32" t="s">
        <v>334</v>
      </c>
      <c r="E14" s="28">
        <v>8</v>
      </c>
      <c r="F14" s="79"/>
      <c r="G14" s="29"/>
    </row>
    <row r="15" spans="1:9" ht="22.05" customHeight="1" x14ac:dyDescent="0.4">
      <c r="B15" s="80"/>
      <c r="C15" s="102"/>
      <c r="D15" s="32" t="s">
        <v>335</v>
      </c>
      <c r="E15" s="28">
        <v>5</v>
      </c>
      <c r="F15" s="79"/>
      <c r="G15" s="29"/>
    </row>
    <row r="16" spans="1:9" ht="22.05" customHeight="1" x14ac:dyDescent="0.4">
      <c r="B16" s="80"/>
      <c r="C16" s="102" t="s">
        <v>336</v>
      </c>
      <c r="D16" s="32" t="s">
        <v>337</v>
      </c>
      <c r="E16" s="28">
        <v>15</v>
      </c>
      <c r="F16" s="79">
        <f>IFERROR(INDEX(기초자료입력!$E$44:$E$53,I3),"")</f>
        <v>0</v>
      </c>
      <c r="G16" s="29"/>
    </row>
    <row r="17" spans="2:7" ht="22.05" customHeight="1" x14ac:dyDescent="0.4">
      <c r="B17" s="80"/>
      <c r="C17" s="102"/>
      <c r="D17" s="32" t="s">
        <v>338</v>
      </c>
      <c r="E17" s="28">
        <v>12</v>
      </c>
      <c r="F17" s="79"/>
      <c r="G17" s="29"/>
    </row>
    <row r="18" spans="2:7" ht="22.05" customHeight="1" x14ac:dyDescent="0.4">
      <c r="B18" s="80"/>
      <c r="C18" s="102"/>
      <c r="D18" s="32" t="s">
        <v>339</v>
      </c>
      <c r="E18" s="28">
        <v>9</v>
      </c>
      <c r="F18" s="79"/>
      <c r="G18" s="29"/>
    </row>
    <row r="19" spans="2:7" ht="22.05" customHeight="1" x14ac:dyDescent="0.4">
      <c r="B19" s="80"/>
      <c r="C19" s="102"/>
      <c r="D19" s="32" t="s">
        <v>340</v>
      </c>
      <c r="E19" s="28">
        <v>5</v>
      </c>
      <c r="F19" s="79"/>
      <c r="G19" s="29"/>
    </row>
    <row r="20" spans="2:7" ht="22.05" customHeight="1" x14ac:dyDescent="0.4">
      <c r="B20" s="80"/>
      <c r="C20" s="102" t="s">
        <v>341</v>
      </c>
      <c r="D20" s="32" t="s">
        <v>342</v>
      </c>
      <c r="E20" s="28">
        <v>15</v>
      </c>
      <c r="F20" s="79">
        <f>IFERROR(INDEX(기초자료입력!$F$44:$F$53,I3),"")</f>
        <v>0</v>
      </c>
      <c r="G20" s="29"/>
    </row>
    <row r="21" spans="2:7" ht="22.05" customHeight="1" x14ac:dyDescent="0.4">
      <c r="B21" s="80"/>
      <c r="C21" s="102"/>
      <c r="D21" s="32" t="s">
        <v>343</v>
      </c>
      <c r="E21" s="28">
        <v>0</v>
      </c>
      <c r="F21" s="79"/>
      <c r="G21" s="29"/>
    </row>
    <row r="22" spans="2:7" x14ac:dyDescent="0.4">
      <c r="B22" s="75" t="s">
        <v>278</v>
      </c>
      <c r="C22" s="120"/>
      <c r="D22" s="120" t="s">
        <v>344</v>
      </c>
      <c r="E22" s="75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6"/>
      <c r="D24" s="86"/>
      <c r="E24" s="86"/>
      <c r="F24" s="86"/>
      <c r="G24" s="86"/>
    </row>
    <row r="25" spans="2:7" x14ac:dyDescent="0.4">
      <c r="B25" s="78" t="s">
        <v>303</v>
      </c>
      <c r="C25" s="78"/>
      <c r="D25" s="78"/>
      <c r="E25" s="78"/>
      <c r="F25" s="78"/>
      <c r="G25" s="78"/>
    </row>
    <row r="26" spans="2:7" x14ac:dyDescent="0.4">
      <c r="B26" s="78" t="s">
        <v>345</v>
      </c>
      <c r="C26" s="78"/>
      <c r="D26" s="78"/>
      <c r="E26" s="78"/>
      <c r="F26" s="78"/>
      <c r="G26" s="78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379E-9E3E-4244-A032-AE01FBA0C9B1}">
  <sheetPr codeName="Sheet34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305</v>
      </c>
    </row>
    <row r="3" spans="1:7" x14ac:dyDescent="0.4">
      <c r="B3" s="77" t="s">
        <v>306</v>
      </c>
      <c r="C3" s="78"/>
      <c r="D3" s="78"/>
      <c r="E3" s="78"/>
      <c r="F3" s="78"/>
      <c r="G3" s="78"/>
    </row>
    <row r="4" spans="1:7" x14ac:dyDescent="0.4">
      <c r="B4" s="78" t="s">
        <v>307</v>
      </c>
      <c r="C4" s="78"/>
      <c r="D4" s="78"/>
      <c r="E4" s="78"/>
      <c r="F4" s="78"/>
      <c r="G4" s="78"/>
    </row>
    <row r="5" spans="1:7" x14ac:dyDescent="0.4">
      <c r="B5" s="28" t="s">
        <v>87</v>
      </c>
      <c r="C5" s="29" t="str">
        <f>IF(기초자료입력!C4&lt;&gt;"",기초자료입력!C4,"")</f>
        <v/>
      </c>
      <c r="D5" s="29" t="s">
        <v>88</v>
      </c>
      <c r="E5" s="29" t="str">
        <f>IF(기초자료입력!C5&lt;&gt;"",기초자료입력!C5,"")</f>
        <v/>
      </c>
      <c r="F5" s="29" t="s">
        <v>308</v>
      </c>
      <c r="G5" s="28" t="str">
        <f>IF(COUNTA(기초자료입력!B72:B81)&gt;0,기초자료입력!D82,"")</f>
        <v/>
      </c>
    </row>
    <row r="6" spans="1:7" x14ac:dyDescent="0.4">
      <c r="B6" s="124" t="str">
        <f>IF(기초자료입력!C22&lt;&gt;"",기초자료입력!C22,"제안서 평가항목 및 배점기준")</f>
        <v>제안서 평가항목 및 배점기준</v>
      </c>
      <c r="C6" s="118"/>
      <c r="D6" s="118"/>
      <c r="E6" s="118"/>
      <c r="F6" s="118"/>
      <c r="G6" s="118"/>
    </row>
    <row r="7" spans="1:7" ht="30" customHeight="1" x14ac:dyDescent="0.4">
      <c r="B7" s="86" t="s">
        <v>309</v>
      </c>
      <c r="C7" s="86"/>
      <c r="D7" s="86"/>
      <c r="E7" s="86"/>
      <c r="F7" s="86"/>
      <c r="G7" s="86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310</v>
      </c>
      <c r="C9" s="31" t="s">
        <v>81</v>
      </c>
      <c r="D9" s="31" t="s">
        <v>311</v>
      </c>
      <c r="E9" s="31" t="s">
        <v>82</v>
      </c>
      <c r="F9" s="31" t="s">
        <v>312</v>
      </c>
      <c r="G9" s="31" t="s">
        <v>299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313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313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313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313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313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313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313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313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313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313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5" t="s">
        <v>314</v>
      </c>
      <c r="C20" s="120"/>
      <c r="D20" s="120"/>
      <c r="E20" s="34">
        <f>SUM(E10:E19)</f>
        <v>0</v>
      </c>
      <c r="F20" s="34">
        <f>기초자료입력!D82</f>
        <v>0</v>
      </c>
      <c r="G20" s="31" t="s">
        <v>315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4" t="s">
        <v>316</v>
      </c>
      <c r="C22" s="86"/>
      <c r="D22" s="86"/>
      <c r="E22" s="86"/>
      <c r="F22" s="86"/>
      <c r="G22" s="86"/>
    </row>
    <row r="23" spans="2:7" ht="30" customHeight="1" x14ac:dyDescent="0.4">
      <c r="B23" s="86" t="s">
        <v>317</v>
      </c>
      <c r="C23" s="86"/>
      <c r="D23" s="86"/>
      <c r="E23" s="86"/>
      <c r="F23" s="86"/>
      <c r="G23" s="86"/>
    </row>
    <row r="24" spans="2:7" ht="30" customHeight="1" x14ac:dyDescent="0.4">
      <c r="B24" s="86" t="s">
        <v>318</v>
      </c>
      <c r="C24" s="86"/>
      <c r="D24" s="86"/>
      <c r="E24" s="86"/>
      <c r="F24" s="86"/>
      <c r="G24" s="86"/>
    </row>
    <row r="25" spans="2:7" ht="30" customHeight="1" x14ac:dyDescent="0.4">
      <c r="B25" s="86" t="s">
        <v>319</v>
      </c>
      <c r="C25" s="86"/>
      <c r="D25" s="86"/>
      <c r="E25" s="86"/>
      <c r="F25" s="86"/>
      <c r="G25" s="86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FE875-7B5F-4268-81B8-CB98848947E1}">
  <sheetPr codeName="Sheet35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279</v>
      </c>
    </row>
    <row r="3" spans="1:7" ht="30" customHeight="1" x14ac:dyDescent="0.4">
      <c r="B3" s="74" t="s">
        <v>295</v>
      </c>
      <c r="C3" s="73"/>
      <c r="D3" s="73"/>
      <c r="E3" s="73"/>
      <c r="F3" s="73"/>
      <c r="G3" s="73"/>
    </row>
    <row r="4" spans="1:7" x14ac:dyDescent="0.4">
      <c r="B4" s="73" t="s">
        <v>296</v>
      </c>
      <c r="C4" s="73"/>
      <c r="D4" s="73"/>
      <c r="E4" s="73"/>
      <c r="F4" s="73"/>
      <c r="G4" s="7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7" t="s">
        <v>297</v>
      </c>
      <c r="C8" s="97"/>
      <c r="D8" s="26" t="s">
        <v>55</v>
      </c>
      <c r="E8" s="26" t="s">
        <v>298</v>
      </c>
      <c r="F8" s="97" t="s">
        <v>299</v>
      </c>
      <c r="G8" s="97"/>
    </row>
    <row r="9" spans="1:7" x14ac:dyDescent="0.4">
      <c r="B9" s="96" t="s">
        <v>300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10" t="s">
        <v>302</v>
      </c>
      <c r="G9" s="110"/>
    </row>
    <row r="10" spans="1:7" x14ac:dyDescent="0.4">
      <c r="B10" s="9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10"/>
      <c r="G10" s="110"/>
    </row>
    <row r="11" spans="1:7" x14ac:dyDescent="0.4">
      <c r="B11" s="9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10"/>
      <c r="G11" s="110"/>
    </row>
    <row r="12" spans="1:7" x14ac:dyDescent="0.4">
      <c r="B12" s="9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10"/>
      <c r="G12" s="110"/>
    </row>
    <row r="13" spans="1:7" x14ac:dyDescent="0.4">
      <c r="B13" s="96" t="s">
        <v>301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10"/>
      <c r="G13" s="110"/>
    </row>
    <row r="14" spans="1:7" x14ac:dyDescent="0.4">
      <c r="B14" s="9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10"/>
      <c r="G14" s="110"/>
    </row>
    <row r="15" spans="1:7" x14ac:dyDescent="0.4">
      <c r="B15" s="98" t="s">
        <v>278</v>
      </c>
      <c r="C15" s="98"/>
      <c r="D15" s="25">
        <f>SUM(D9:D14)</f>
        <v>6</v>
      </c>
      <c r="E15" s="25" t="str">
        <f>"100%"</f>
        <v>100%</v>
      </c>
      <c r="F15" s="98"/>
      <c r="G15" s="9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303</v>
      </c>
      <c r="C17" s="83"/>
      <c r="D17" s="83"/>
      <c r="E17" s="83"/>
      <c r="F17" s="83"/>
      <c r="G17" s="83"/>
    </row>
    <row r="18" spans="2:7" x14ac:dyDescent="0.4">
      <c r="B18" s="83" t="s">
        <v>304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○○○○학교장 귀하</v>
      </c>
      <c r="C19" s="83"/>
      <c r="D19" s="83"/>
      <c r="E19" s="83"/>
      <c r="F19" s="83"/>
      <c r="G19" s="8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C3645-1CD7-4A79-974B-874693B9AB99}">
  <sheetPr codeName="Sheet36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279</v>
      </c>
    </row>
    <row r="3" spans="1:8" ht="30" customHeight="1" x14ac:dyDescent="0.4">
      <c r="B3" s="125" t="s">
        <v>271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272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273</v>
      </c>
      <c r="C7" s="96" t="str">
        <f>IF(기초자료입력!C21&lt;&gt;"",기초자료입력!C21,"내부결재")</f>
        <v>내부결재</v>
      </c>
      <c r="D7" s="96"/>
      <c r="E7" s="96"/>
      <c r="F7" s="96"/>
      <c r="G7" s="96"/>
      <c r="H7" s="96"/>
    </row>
    <row r="8" spans="1:8" x14ac:dyDescent="0.4">
      <c r="B8" s="25" t="s">
        <v>280</v>
      </c>
      <c r="C8" s="96"/>
      <c r="D8" s="96"/>
      <c r="E8" s="96"/>
      <c r="F8" s="96"/>
      <c r="G8" s="96"/>
      <c r="H8" s="96"/>
    </row>
    <row r="9" spans="1:8" x14ac:dyDescent="0.4">
      <c r="B9" s="25" t="s">
        <v>274</v>
      </c>
      <c r="C9" s="98" t="str">
        <f>IF(기초자료입력!C22&lt;&gt;"",기초자료입력!C22,기초자료입력!C5&amp;"학년도 "&amp;기초자료입력!C12&amp;" 구매 요청")</f>
        <v>학년도  구매 요청</v>
      </c>
      <c r="D9" s="96"/>
      <c r="E9" s="96"/>
      <c r="F9" s="96"/>
      <c r="G9" s="96"/>
      <c r="H9" s="9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281</v>
      </c>
      <c r="C11" s="96" t="str">
        <f>IF(기초자료입력!C23&lt;&gt;"",기초자료입력!C23,"")</f>
        <v/>
      </c>
      <c r="D11" s="96"/>
      <c r="E11" s="96"/>
      <c r="F11" s="96"/>
      <c r="G11" s="96"/>
      <c r="H11" s="9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10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10"/>
      <c r="D13" s="110"/>
      <c r="E13" s="110"/>
      <c r="F13" s="110"/>
      <c r="G13" s="110"/>
      <c r="H13" s="110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282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283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284</v>
      </c>
      <c r="C17" s="22" t="s">
        <v>286</v>
      </c>
      <c r="D17" s="22"/>
      <c r="E17" s="22"/>
      <c r="F17" s="22"/>
      <c r="G17" s="22"/>
      <c r="H17" s="22"/>
    </row>
    <row r="18" spans="2:8" x14ac:dyDescent="0.4">
      <c r="B18" s="25" t="s">
        <v>285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275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276</v>
      </c>
      <c r="G23" s="22" t="s">
        <v>287</v>
      </c>
      <c r="H23" s="22" t="s">
        <v>277</v>
      </c>
    </row>
    <row r="24" spans="2:8" x14ac:dyDescent="0.4">
      <c r="B24" s="25" t="s">
        <v>288</v>
      </c>
      <c r="C24" s="96" t="str">
        <f>IF(기초자료입력!C9&lt;&gt;"",기초자료입력!C9,"")</f>
        <v/>
      </c>
      <c r="D24" s="96"/>
      <c r="E24" s="96"/>
      <c r="F24" s="25" t="s">
        <v>289</v>
      </c>
      <c r="G24" s="96"/>
      <c r="H24" s="96"/>
    </row>
    <row r="25" spans="2:8" x14ac:dyDescent="0.4">
      <c r="B25" s="25" t="s">
        <v>290</v>
      </c>
      <c r="C25" s="22"/>
      <c r="D25" s="25" t="s">
        <v>291</v>
      </c>
      <c r="E25" s="96"/>
      <c r="F25" s="96"/>
      <c r="G25" s="96"/>
      <c r="H25" s="96"/>
    </row>
    <row r="26" spans="2:8" x14ac:dyDescent="0.4">
      <c r="B26" s="25" t="s">
        <v>292</v>
      </c>
      <c r="C26" s="22"/>
      <c r="D26" s="25" t="s">
        <v>293</v>
      </c>
      <c r="E26" s="22"/>
      <c r="F26" s="25" t="s">
        <v>294</v>
      </c>
      <c r="G26" s="96"/>
      <c r="H26" s="9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3FBD-9AAC-427E-9CB0-1C9083A445FA}">
  <sheetPr codeName="Sheet37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129</v>
      </c>
      <c r="F48" s="18" t="s">
        <v>253</v>
      </c>
    </row>
    <row r="49" spans="1:6" x14ac:dyDescent="0.4">
      <c r="A49" s="19" t="b">
        <v>0</v>
      </c>
      <c r="B49" s="18" t="s">
        <v>254</v>
      </c>
      <c r="C49" s="18" t="s">
        <v>255</v>
      </c>
      <c r="D49" s="18" t="s">
        <v>252</v>
      </c>
      <c r="E49" s="18" t="s">
        <v>152</v>
      </c>
      <c r="F49" s="18"/>
    </row>
    <row r="50" spans="1:6" x14ac:dyDescent="0.4">
      <c r="A50" s="19" t="b">
        <v>0</v>
      </c>
      <c r="B50" s="18" t="s">
        <v>256</v>
      </c>
      <c r="C50" s="18" t="s">
        <v>257</v>
      </c>
      <c r="D50" s="18" t="s">
        <v>252</v>
      </c>
      <c r="E50" s="18" t="s">
        <v>152</v>
      </c>
      <c r="F50" s="18"/>
    </row>
    <row r="51" spans="1:6" x14ac:dyDescent="0.4">
      <c r="A51" s="19" t="b">
        <v>0</v>
      </c>
      <c r="B51" s="18" t="s">
        <v>258</v>
      </c>
      <c r="C51" s="18" t="s">
        <v>259</v>
      </c>
      <c r="D51" s="18" t="s">
        <v>252</v>
      </c>
      <c r="E51" s="18" t="s">
        <v>152</v>
      </c>
      <c r="F51" s="18"/>
    </row>
    <row r="52" spans="1:6" x14ac:dyDescent="0.4">
      <c r="A52" s="19" t="b">
        <v>0</v>
      </c>
      <c r="B52" s="18" t="s">
        <v>260</v>
      </c>
      <c r="C52" s="18" t="s">
        <v>261</v>
      </c>
      <c r="D52" s="18" t="s">
        <v>252</v>
      </c>
      <c r="E52" s="18" t="s">
        <v>152</v>
      </c>
      <c r="F52" s="18"/>
    </row>
    <row r="53" spans="1:6" x14ac:dyDescent="0.4">
      <c r="A53" s="19" t="b">
        <v>0</v>
      </c>
      <c r="B53" s="18" t="s">
        <v>262</v>
      </c>
      <c r="C53" s="18" t="s">
        <v>263</v>
      </c>
      <c r="D53" s="18" t="s">
        <v>264</v>
      </c>
      <c r="E53" s="18" t="s">
        <v>152</v>
      </c>
      <c r="F53" s="18"/>
    </row>
    <row r="54" spans="1:6" x14ac:dyDescent="0.4">
      <c r="A54" s="19" t="b">
        <v>0</v>
      </c>
      <c r="B54" s="18" t="s">
        <v>265</v>
      </c>
      <c r="C54" s="18" t="s">
        <v>266</v>
      </c>
      <c r="D54" s="18" t="s">
        <v>264</v>
      </c>
      <c r="E54" s="18" t="s">
        <v>152</v>
      </c>
      <c r="F54" s="18"/>
    </row>
    <row r="55" spans="1:6" x14ac:dyDescent="0.4">
      <c r="A55" s="19" t="b">
        <v>0</v>
      </c>
      <c r="B55" s="18" t="s">
        <v>267</v>
      </c>
      <c r="C55" s="18" t="s">
        <v>268</v>
      </c>
      <c r="D55" s="18" t="s">
        <v>264</v>
      </c>
      <c r="E55" s="18" t="s">
        <v>152</v>
      </c>
      <c r="F55" s="18"/>
    </row>
    <row r="56" spans="1:6" x14ac:dyDescent="0.4">
      <c r="A56" s="19" t="b">
        <v>0</v>
      </c>
      <c r="B56" s="18" t="s">
        <v>269</v>
      </c>
      <c r="C56" s="18" t="s">
        <v>270</v>
      </c>
      <c r="D56" s="18" t="s">
        <v>264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15664-752B-494B-83A2-767D2C11BA33}">
  <sheetPr codeName="Sheet38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5D515664-752B-494B-83A2-767D2C11BA33}"/>
  <phoneticPr fontId="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A5D61-F4A1-472B-9C17-20D5B28E2AB5}">
  <sheetPr codeName="Sheet39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651A5D61-F4A1-472B-9C17-20D5B28E2AB5}"/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2AAEA-9850-4F6B-B6D2-113A422168CE}">
  <sheetPr codeName="Sheet40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F4D2AAEA-9850-4F6B-B6D2-113A422168CE}"/>
  <phoneticPr fontId="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067FE-CBE3-415C-9868-392896339245}">
  <sheetPr codeName="Sheet41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B56067FE-CBE3-415C-9868-392896339245}"/>
  <phoneticPr fontId="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5835-0BE2-4F28-AFAC-9A4EA1040CF3}">
  <sheetPr codeName="Sheet42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390F5835-0BE2-4F28-AFAC-9A4EA1040CF3}"/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F393-31C8-4192-8BCE-F31EDF6DD5A7}">
  <sheetPr codeName="Sheet43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265EF393-31C8-4192-8BCE-F31EDF6DD5A7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76850-85EB-4294-AFE9-E6CB7C0D1E95}">
  <sheetPr codeName="Sheet4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D7076850-85EB-4294-AFE9-E6CB7C0D1E95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81FA3-DD4F-463C-B65D-98C31171961E}">
  <sheetPr codeName="Sheet45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82481FA3-DD4F-463C-B65D-98C31171961E}"/>
  <phoneticPr fontId="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6E4F-A4D9-4791-9C81-47A6BFAE34CE}">
  <sheetPr codeName="Sheet46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6" t="s">
        <v>13</v>
      </c>
      <c r="B1" s="90"/>
      <c r="C1" s="90"/>
      <c r="D1" s="90"/>
      <c r="E1" s="90"/>
      <c r="F1" s="90"/>
      <c r="G1" s="4" t="s">
        <v>1136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7"/>
      <c r="D25" s="128"/>
      <c r="E25" s="128"/>
      <c r="F25" s="12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950FD-EB6A-43F0-B9B6-D9556DB4D658}">
  <sheetPr codeName="Sheet47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 지정된 범위</vt:lpstr>
      </vt:variant>
      <vt:variant>
        <vt:i4>32</vt:i4>
      </vt:variant>
    </vt:vector>
  </HeadingPairs>
  <TitlesOfParts>
    <vt:vector size="72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F-044_사전안내가정통신문안내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  <vt:lpstr>'F-044_사전안내가정통신문안내'!Print_Area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2026-09-19T11:57:52Z</dcterms:created>
  <dcterms:modified xsi:type="dcterms:W3CDTF">2026-09-19T12:00:21Z</dcterms:modified>
</cp:coreProperties>
</file>