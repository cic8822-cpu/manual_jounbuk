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7E3FBDC2-B495-4726-A0E5-EA6F96BF04A7}" xr6:coauthVersionLast="47" xr6:coauthVersionMax="47" xr10:uidLastSave="{00000000-0000-0000-0000-000000000000}"/>
  <bookViews>
    <workbookView xWindow="-108" yWindow="-108" windowWidth="23256" windowHeight="12576" firstSheet="36" activeTab="49" xr2:uid="{466DDAD1-18B6-4158-AF18-7B10670B8B55}"/>
  </bookViews>
  <sheets>
    <sheet name="계약방법안내" sheetId="50" r:id="rId1"/>
    <sheet name="절차안내" sheetId="49" r:id="rId2"/>
    <sheet name="학교검색" sheetId="48" r:id="rId3"/>
    <sheet name="학교정보" sheetId="47" r:id="rId4"/>
    <sheet name="F-040_위원청렴보안서약서" sheetId="46" r:id="rId5"/>
    <sheet name="F-039_업체별제안서평가표" sheetId="45" r:id="rId6"/>
    <sheet name="F-038_업체참가등록부" sheetId="44" r:id="rId7"/>
    <sheet name="F-037_평가위원회참석등록부" sheetId="43" r:id="rId8"/>
    <sheet name="F-036_제안서평가결과" sheetId="42" r:id="rId9"/>
    <sheet name="F-035_정량평가결과" sheetId="41" r:id="rId10"/>
    <sheet name="F-034_평가위원회개최" sheetId="40" r:id="rId11"/>
    <sheet name="F-033_제안서접수대장" sheetId="39" r:id="rId12"/>
    <sheet name="F-032_제안서접수결과" sheetId="38" r:id="rId13"/>
    <sheet name="F-048_교복구매안내신청수량파악" sheetId="37" r:id="rId14"/>
    <sheet name="F-046_수요조사가정통신문안내" sheetId="36" r:id="rId15"/>
    <sheet name="F-045_사전안내가정통신문" sheetId="35" r:id="rId16"/>
    <sheet name="F-044_사전안내가정통신문안내" sheetId="34" r:id="rId17"/>
    <sheet name="F-043_계약체결" sheetId="33" r:id="rId18"/>
    <sheet name="F-042_낙찰자결정통보" sheetId="32" r:id="rId19"/>
    <sheet name="F-041_낙찰자결정" sheetId="31" r:id="rId20"/>
    <sheet name="F-006_운영위원회심의안" sheetId="30" r:id="rId21"/>
    <sheet name="F-005_구매추진계획안" sheetId="29" r:id="rId22"/>
    <sheet name="F-004_구매추진계획수립기안문" sheetId="28" r:id="rId23"/>
    <sheet name="F-003_위원청렴보안서약서" sheetId="27" r:id="rId24"/>
    <sheet name="F-002_위원수락확인서" sheetId="26" r:id="rId25"/>
    <sheet name="F-001_위원회구성기안" sheetId="25" r:id="rId26"/>
    <sheet name="F-025_교복AS계획서" sheetId="24" r:id="rId27"/>
    <sheet name="F-023_교복제조사양서" sheetId="23" r:id="rId28"/>
    <sheet name="F-022_교복납품실적표" sheetId="22" r:id="rId29"/>
    <sheet name="F-021_교복납품제안서" sheetId="21" r:id="rId30"/>
    <sheet name="F-020_입찰참가신고서" sheetId="20" r:id="rId31"/>
    <sheet name="F-019_입찰참가신청서" sheetId="19" r:id="rId32"/>
    <sheet name="F-018_정량적평가자기평점표" sheetId="18" r:id="rId33"/>
    <sheet name="F-017_제출서류자기확인서" sheetId="17" r:id="rId34"/>
    <sheet name="F-016_정성적평가" sheetId="16" r:id="rId35"/>
    <sheet name="F-015_정량적평가" sheetId="15" r:id="rId36"/>
    <sheet name="F-014_평가항목배점기준" sheetId="14" r:id="rId37"/>
    <sheet name="F-024_단가비율표" sheetId="13" r:id="rId38"/>
    <sheet name="F-007_구매요청기안문" sheetId="12" r:id="rId39"/>
    <sheet name="서식선택_출력" sheetId="11" r:id="rId40"/>
    <sheet name="DB_자기평점" sheetId="10" state="veryHidden" r:id="rId41"/>
    <sheet name="DB_정성평가" sheetId="9" state="veryHidden" r:id="rId42"/>
    <sheet name="DB_정량평가" sheetId="8" state="veryHidden" r:id="rId43"/>
    <sheet name="DB_평가" sheetId="7" state="veryHidden" r:id="rId44"/>
    <sheet name="DB_위원" sheetId="6" state="veryHidden" r:id="rId45"/>
    <sheet name="DB_업체" sheetId="5" state="veryHidden" r:id="rId46"/>
    <sheet name="DB_품목" sheetId="4" state="veryHidden" r:id="rId47"/>
    <sheet name="DB" sheetId="3" state="hidden" r:id="rId48"/>
    <sheet name="기초자료입력" sheetId="2" r:id="rId49"/>
    <sheet name="사용설명서" sheetId="1" r:id="rId50"/>
  </sheets>
  <functionGroups builtInGroupCount="19"/>
  <definedNames>
    <definedName name="_xlnm._FilterDatabase" localSheetId="47" hidden="1">DB!$A$1:$T$1</definedName>
    <definedName name="_xlnm._FilterDatabase" localSheetId="45" hidden="1">DB_업체!$A$1:$C$1</definedName>
    <definedName name="_xlnm._FilterDatabase" localSheetId="44" hidden="1">DB_위원!$A$1:$D$1</definedName>
    <definedName name="_xlnm._FilterDatabase" localSheetId="40" hidden="1">DB_자기평점!$A$1:$F$1</definedName>
    <definedName name="_xlnm._FilterDatabase" localSheetId="42" hidden="1">DB_정량평가!$A$1:$F$1</definedName>
    <definedName name="_xlnm._FilterDatabase" localSheetId="41" hidden="1">DB_정성평가!$A$1:$G$1</definedName>
    <definedName name="_xlnm._FilterDatabase" localSheetId="43" hidden="1">DB_평가!$A$1:$E$1</definedName>
    <definedName name="_xlnm._FilterDatabase" localSheetId="46" hidden="1">DB_품목!$A$1:$F$1</definedName>
    <definedName name="_xlnm.Print_Area" localSheetId="25">'F-001_위원회구성기안'!$A$1:$H$43</definedName>
    <definedName name="_xlnm.Print_Area" localSheetId="24">'F-002_위원수락확인서'!$A$1:$E$21</definedName>
    <definedName name="_xlnm.Print_Area" localSheetId="23">'F-003_위원청렴보안서약서'!$A$1:$E$20</definedName>
    <definedName name="_xlnm.Print_Area" localSheetId="22">'F-004_구매추진계획수립기안문'!$A$1:$H$20</definedName>
    <definedName name="_xlnm.Print_Area" localSheetId="21">'F-005_구매추진계획안'!$A$1:$G$90</definedName>
    <definedName name="_xlnm.Print_Area" localSheetId="20">'F-006_운영위원회심의안'!$A$1:$H$40</definedName>
    <definedName name="_xlnm.Print_Area" localSheetId="38">'F-007_구매요청기안문'!$A$1:$H$26</definedName>
    <definedName name="_xlnm.Print_Area" localSheetId="36">'F-014_평가항목배점기준'!$A$1:$G$25</definedName>
    <definedName name="_xlnm.Print_Area" localSheetId="35">'F-015_정량적평가'!$B$1:$G$26</definedName>
    <definedName name="_xlnm.Print_Area" localSheetId="34">'F-016_정성적평가'!$B$1:$F$18</definedName>
    <definedName name="_xlnm.Print_Area" localSheetId="33">'F-017_제출서류자기확인서'!$B$1:$E$30</definedName>
    <definedName name="_xlnm.Print_Area" localSheetId="32">'F-018_정량적평가자기평점표'!$B$1:$F$25</definedName>
    <definedName name="_xlnm.Print_Area" localSheetId="31">'F-019_입찰참가신청서'!$B$1:$L$25</definedName>
    <definedName name="_xlnm.Print_Area" localSheetId="30">'F-020_입찰참가신고서'!$B$1:$E$20</definedName>
    <definedName name="_xlnm.Print_Area" localSheetId="29">'F-021_교복납품제안서'!$B$1:$E$31</definedName>
    <definedName name="_xlnm.Print_Area" localSheetId="28">'F-022_교복납품실적표'!$B$1:$G$25</definedName>
    <definedName name="_xlnm.Print_Area" localSheetId="27">'F-023_교복제조사양서'!$B$1:$E$21</definedName>
    <definedName name="_xlnm.Print_Area" localSheetId="37">'F-024_단가비율표'!$A$1:$G$19</definedName>
    <definedName name="_xlnm.Print_Area" localSheetId="26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9">'F-041_낙찰자결정'!$A$1:$H$29</definedName>
    <definedName name="_xlnm.Print_Area" localSheetId="18">'F-042_낙찰자결정통보'!$A$1:$H$29</definedName>
    <definedName name="_xlnm.Print_Area" localSheetId="17">'F-043_계약체결'!$A$1:$H$37</definedName>
    <definedName name="_xlnm.Print_Area" localSheetId="16">'F-044_사전안내가정통신문안내'!$A$1:$H$25</definedName>
    <definedName name="_xlnm.Print_Area" localSheetId="15">'F-045_사전안내가정통신문'!$A$1:$H$22</definedName>
    <definedName name="_xlnm.Print_Area" localSheetId="14">'F-046_수요조사가정통신문안내'!$A$1:$H$25</definedName>
    <definedName name="_xlnm.Print_Area" localSheetId="13">'F-048_교복구매안내신청수량파악'!$A$1:$I$45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50" l="1"/>
  <c r="B25" i="46"/>
  <c r="B21" i="46"/>
  <c r="B10" i="46"/>
  <c r="B7" i="46"/>
  <c r="B5" i="46"/>
  <c r="I17" i="45"/>
  <c r="I16" i="45"/>
  <c r="H17" i="45"/>
  <c r="H16" i="45"/>
  <c r="G17" i="45"/>
  <c r="G16" i="45"/>
  <c r="F17" i="45"/>
  <c r="F16" i="45"/>
  <c r="E17" i="45"/>
  <c r="E16" i="45"/>
  <c r="I15" i="45"/>
  <c r="I14" i="45"/>
  <c r="I13" i="45"/>
  <c r="I12" i="45"/>
  <c r="I11" i="45"/>
  <c r="I10" i="45"/>
  <c r="I9" i="45"/>
  <c r="I8" i="45"/>
  <c r="C8" i="45"/>
  <c r="B8" i="45"/>
  <c r="G5" i="45"/>
  <c r="E5" i="45"/>
  <c r="C5" i="45"/>
  <c r="B3" i="45"/>
  <c r="B18" i="44"/>
  <c r="B17" i="44"/>
  <c r="B16" i="44"/>
  <c r="B15" i="44"/>
  <c r="B14" i="44"/>
  <c r="B13" i="44"/>
  <c r="B12" i="44"/>
  <c r="B11" i="44"/>
  <c r="B10" i="44"/>
  <c r="B9" i="44"/>
  <c r="B5" i="44"/>
  <c r="C21" i="43"/>
  <c r="C20" i="43"/>
  <c r="C19" i="43"/>
  <c r="C18" i="43"/>
  <c r="C17" i="43"/>
  <c r="C16" i="43"/>
  <c r="C15" i="43"/>
  <c r="C14" i="43"/>
  <c r="C13" i="43"/>
  <c r="C12" i="43"/>
  <c r="B5" i="43"/>
  <c r="B3" i="43"/>
  <c r="C38" i="42"/>
  <c r="G28" i="42"/>
  <c r="F28" i="42"/>
  <c r="E28" i="42"/>
  <c r="D28" i="42"/>
  <c r="C28" i="42"/>
  <c r="B28" i="42"/>
  <c r="G27" i="42"/>
  <c r="F27" i="42"/>
  <c r="E27" i="42"/>
  <c r="D27" i="42"/>
  <c r="C27" i="42"/>
  <c r="B27" i="42"/>
  <c r="G26" i="42"/>
  <c r="F26" i="42"/>
  <c r="E26" i="42"/>
  <c r="D26" i="42"/>
  <c r="C26" i="42"/>
  <c r="B26" i="42"/>
  <c r="G25" i="42"/>
  <c r="F25" i="42"/>
  <c r="E25" i="42"/>
  <c r="D25" i="42"/>
  <c r="C25" i="42"/>
  <c r="B25" i="42"/>
  <c r="G24" i="42"/>
  <c r="F24" i="42"/>
  <c r="E24" i="42"/>
  <c r="D24" i="42"/>
  <c r="C24" i="42"/>
  <c r="B24" i="42"/>
  <c r="G23" i="42"/>
  <c r="F23" i="42"/>
  <c r="E23" i="42"/>
  <c r="D23" i="42"/>
  <c r="C23" i="42"/>
  <c r="B23" i="42"/>
  <c r="G22" i="42"/>
  <c r="F22" i="42"/>
  <c r="E22" i="42"/>
  <c r="D22" i="42"/>
  <c r="C22" i="42"/>
  <c r="B22" i="42"/>
  <c r="G21" i="42"/>
  <c r="F21" i="42"/>
  <c r="E21" i="42"/>
  <c r="D21" i="42"/>
  <c r="C21" i="42"/>
  <c r="B21" i="42"/>
  <c r="G20" i="42"/>
  <c r="F20" i="42"/>
  <c r="E20" i="42"/>
  <c r="D20" i="42"/>
  <c r="C20" i="42"/>
  <c r="B20" i="42"/>
  <c r="G19" i="42"/>
  <c r="F19" i="42"/>
  <c r="E19" i="42"/>
  <c r="D19" i="42"/>
  <c r="C19" i="42"/>
  <c r="B19" i="42"/>
  <c r="B13" i="42"/>
  <c r="B11" i="42"/>
  <c r="C9" i="42"/>
  <c r="F5" i="42"/>
  <c r="C5" i="42"/>
  <c r="B3" i="42"/>
  <c r="C34" i="41"/>
  <c r="H28" i="41"/>
  <c r="G28" i="41"/>
  <c r="F28" i="41"/>
  <c r="E28" i="41"/>
  <c r="D28" i="41"/>
  <c r="C28" i="41"/>
  <c r="B28" i="41"/>
  <c r="H27" i="41"/>
  <c r="G27" i="41"/>
  <c r="F27" i="41"/>
  <c r="E27" i="41"/>
  <c r="D27" i="41"/>
  <c r="C27" i="41"/>
  <c r="B27" i="41"/>
  <c r="H26" i="41"/>
  <c r="G26" i="41"/>
  <c r="F26" i="41"/>
  <c r="E26" i="41"/>
  <c r="D26" i="41"/>
  <c r="C26" i="41"/>
  <c r="B26" i="41"/>
  <c r="H25" i="41"/>
  <c r="G25" i="41"/>
  <c r="F25" i="41"/>
  <c r="E25" i="41"/>
  <c r="D25" i="41"/>
  <c r="C25" i="41"/>
  <c r="B25" i="41"/>
  <c r="H24" i="41"/>
  <c r="G24" i="41"/>
  <c r="F24" i="41"/>
  <c r="E24" i="41"/>
  <c r="D24" i="41"/>
  <c r="C24" i="41"/>
  <c r="B24" i="41"/>
  <c r="H23" i="41"/>
  <c r="G23" i="41"/>
  <c r="F23" i="41"/>
  <c r="E23" i="41"/>
  <c r="D23" i="41"/>
  <c r="C23" i="41"/>
  <c r="B23" i="41"/>
  <c r="H22" i="41"/>
  <c r="G22" i="41"/>
  <c r="F22" i="41"/>
  <c r="E22" i="41"/>
  <c r="D22" i="41"/>
  <c r="C22" i="41"/>
  <c r="B22" i="41"/>
  <c r="H21" i="41"/>
  <c r="G21" i="41"/>
  <c r="F21" i="41"/>
  <c r="E21" i="41"/>
  <c r="D21" i="41"/>
  <c r="C21" i="41"/>
  <c r="B21" i="41"/>
  <c r="H20" i="41"/>
  <c r="G20" i="41"/>
  <c r="F20" i="41"/>
  <c r="E20" i="41"/>
  <c r="D20" i="41"/>
  <c r="C20" i="41"/>
  <c r="B20" i="41"/>
  <c r="H19" i="41"/>
  <c r="G19" i="41"/>
  <c r="F19" i="41"/>
  <c r="E19" i="41"/>
  <c r="D19" i="41"/>
  <c r="C19" i="41"/>
  <c r="B19" i="41"/>
  <c r="B13" i="41"/>
  <c r="B11" i="41"/>
  <c r="C9" i="41"/>
  <c r="F5" i="41"/>
  <c r="C5" i="41"/>
  <c r="B3" i="41"/>
  <c r="C36" i="40"/>
  <c r="D30" i="40"/>
  <c r="C30" i="40"/>
  <c r="B30" i="40"/>
  <c r="D29" i="40"/>
  <c r="C29" i="40"/>
  <c r="B29" i="40"/>
  <c r="D28" i="40"/>
  <c r="C28" i="40"/>
  <c r="B28" i="40"/>
  <c r="D27" i="40"/>
  <c r="C27" i="40"/>
  <c r="B27" i="40"/>
  <c r="D26" i="40"/>
  <c r="C26" i="40"/>
  <c r="B26" i="40"/>
  <c r="D25" i="40"/>
  <c r="C25" i="40"/>
  <c r="B25" i="40"/>
  <c r="D24" i="40"/>
  <c r="C24" i="40"/>
  <c r="B24" i="40"/>
  <c r="D23" i="40"/>
  <c r="C23" i="40"/>
  <c r="B23" i="40"/>
  <c r="D22" i="40"/>
  <c r="C22" i="40"/>
  <c r="B22" i="40"/>
  <c r="D21" i="40"/>
  <c r="C21" i="40"/>
  <c r="B21" i="40"/>
  <c r="C18" i="40"/>
  <c r="B13" i="40"/>
  <c r="B11" i="40"/>
  <c r="C9" i="40"/>
  <c r="F5" i="40"/>
  <c r="C5" i="40"/>
  <c r="B3" i="40"/>
  <c r="D17" i="39"/>
  <c r="C17" i="39"/>
  <c r="D16" i="39"/>
  <c r="C16" i="39"/>
  <c r="D15" i="39"/>
  <c r="C15" i="39"/>
  <c r="D14" i="39"/>
  <c r="C14" i="39"/>
  <c r="D13" i="39"/>
  <c r="C13" i="39"/>
  <c r="D12" i="39"/>
  <c r="C12" i="39"/>
  <c r="D11" i="39"/>
  <c r="C11" i="39"/>
  <c r="D10" i="39"/>
  <c r="C10" i="39"/>
  <c r="D9" i="39"/>
  <c r="C9" i="39"/>
  <c r="D8" i="39"/>
  <c r="C8" i="39"/>
  <c r="B4" i="39"/>
  <c r="B3" i="39"/>
  <c r="C34" i="38"/>
  <c r="B30" i="38"/>
  <c r="D28" i="38"/>
  <c r="B28" i="38"/>
  <c r="D27" i="38"/>
  <c r="B27" i="38"/>
  <c r="D26" i="38"/>
  <c r="B26" i="38"/>
  <c r="D25" i="38"/>
  <c r="B25" i="38"/>
  <c r="D24" i="38"/>
  <c r="B24" i="38"/>
  <c r="D23" i="38"/>
  <c r="B23" i="38"/>
  <c r="D22" i="38"/>
  <c r="B22" i="38"/>
  <c r="D21" i="38"/>
  <c r="B21" i="38"/>
  <c r="D20" i="38"/>
  <c r="B20" i="38"/>
  <c r="D19" i="38"/>
  <c r="B19" i="38"/>
  <c r="B13" i="38"/>
  <c r="B11" i="38"/>
  <c r="C9" i="38"/>
  <c r="F5" i="38"/>
  <c r="C5" i="38"/>
  <c r="B3" i="38"/>
  <c r="B45" i="37"/>
  <c r="B28" i="37"/>
  <c r="B24" i="37"/>
  <c r="B23" i="37"/>
  <c r="B17" i="37"/>
  <c r="B11" i="37"/>
  <c r="B6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<sst xmlns="http://schemas.openxmlformats.org/spreadsheetml/2006/main" count="2036" uniqueCount="1169">
  <si>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</si>
  <si>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</si>
  <si>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</si>
  <si>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</si>
  <si>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</si>
  <si>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</si>
  <si>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</si>
  <si>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</si>
  <si>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</si>
  <si>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</si>
  <si>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</si>
  <si>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</si>
  <si>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</si>
  <si>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</si>
  <si>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</si>
  <si>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</si>
  <si>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</si>
  <si>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</si>
  <si>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</si>
  <si>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</si>
  <si>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</si>
  <si>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</si>
  <si>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</si>
  <si>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</si>
  <si>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</si>
  <si>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</si>
  <si>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</si>
  <si>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</si>
  <si>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</si>
  <si>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</si>
  <si>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</si>
  <si>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</si>
  <si>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</si>
  <si>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</si>
  <si>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</si>
  <si>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</si>
  <si>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</si>
  <si>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</si>
  <si>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</si>
  <si>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</si>
  <si>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</si>
  <si>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</si>
  <si>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</si>
  <si>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</si>
  <si>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</si>
  <si>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</si>
  <si>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</si>
  <si>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</si>
  <si>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</si>
  <si>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</si>
  <si>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</si>
  <si>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</si>
  <si>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</si>
  <si>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</si>
  <si>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</si>
  <si>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</si>
  <si>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</si>
  <si>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</si>
  <si>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</si>
  <si>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</si>
  <si>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</si>
  <si>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</si>
  <si>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</si>
  <si>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</si>
  <si>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</si>
  <si>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</si>
  <si>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</si>
  <si>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</si>
  <si>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</si>
  <si>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</si>
  <si>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</si>
  <si>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</si>
  <si>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</si>
  <si>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</si>
  <si>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</si>
  <si>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</si>
  <si>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</si>
  <si>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</si>
  <si>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</si>
  <si>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</si>
  <si>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</si>
  <si>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</si>
  <si>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</si>
  <si>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</si>
  <si>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</si>
  <si>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</si>
  <si>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</si>
  <si>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</si>
  <si>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</si>
  <si>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</si>
  <si>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</si>
  <si>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</si>
  <si>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</si>
  <si>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</si>
  <si>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</si>
  <si>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</si>
  <si>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</si>
  <si>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</si>
  <si>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</si>
  <si>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</si>
  <si>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</si>
  <si>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</si>
  <si>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</si>
  <si>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</si>
  <si>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</si>
  <si>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</si>
  <si>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</si>
  <si>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</si>
  <si>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</si>
  <si>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</si>
  <si>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</si>
  <si>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</si>
  <si>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</si>
  <si>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</si>
  <si>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</si>
  <si>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</si>
  <si>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</si>
  <si>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</si>
  <si>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</si>
  <si>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</si>
  <si>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</si>
  <si>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</si>
  <si>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</si>
  <si>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</si>
  <si>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</si>
  <si>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</si>
  <si>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</si>
  <si>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</si>
  <si>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</si>
  <si>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</si>
  <si>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</si>
  <si>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</si>
  <si>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</si>
  <si>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</si>
  <si>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</si>
  <si>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</si>
  <si>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</si>
  <si>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</si>
  <si>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</si>
  <si>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</si>
  <si>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</si>
  <si>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</si>
  <si>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</si>
  <si>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</si>
  <si>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</si>
  <si>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</si>
  <si>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</si>
  <si>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</si>
  <si>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</si>
  <si>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</si>
  <si>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</si>
  <si>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</si>
  <si>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</si>
  <si>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</si>
  <si>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</si>
  <si>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</si>
  <si>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</si>
  <si>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</si>
  <si>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</si>
  <si>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</si>
  <si>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</si>
  <si>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</si>
  <si>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</si>
  <si>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</si>
  <si>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</si>
  <si>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</si>
  <si>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</si>
  <si>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</si>
  <si>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</si>
  <si>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</si>
  <si>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</si>
  <si>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</si>
  <si>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</si>
  <si>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</si>
  <si>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</si>
  <si>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</si>
  <si>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</si>
  <si>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</si>
  <si>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</si>
  <si>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</si>
  <si>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</si>
  <si>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</si>
  <si>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</si>
  <si>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</si>
  <si>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</si>
  <si>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</si>
  <si>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</si>
  <si>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</si>
  <si>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</si>
  <si>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</si>
  <si>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</si>
  <si>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</si>
  <si>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</si>
  <si>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</si>
  <si>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</si>
  <si>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</si>
  <si>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</si>
  <si>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</si>
  <si>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</si>
  <si>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</si>
  <si>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</si>
  <si>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</si>
  <si>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</si>
  <si>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</si>
  <si>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</si>
  <si>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</si>
  <si>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</si>
  <si>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</si>
  <si>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</si>
  <si>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</si>
  <si>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</si>
  <si>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</si>
  <si>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</si>
  <si>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</si>
  <si>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</si>
  <si>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</si>
  <si>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</si>
  <si>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</si>
  <si>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</si>
  <si>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</si>
  <si>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</si>
  <si>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</si>
  <si>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</si>
  <si>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</si>
  <si>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</si>
  <si>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</si>
  <si>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</si>
  <si>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</si>
  <si>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</si>
  <si>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</si>
  <si>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</si>
  <si>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</si>
  <si>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</si>
  <si>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</si>
  <si>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</si>
  <si>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</si>
  <si>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</si>
  <si>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</si>
  <si>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</si>
  <si>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</si>
  <si>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</si>
  <si>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</si>
  <si>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</si>
  <si>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</si>
  <si>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</si>
  <si>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</si>
  <si>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</si>
  <si>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</si>
  <si>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</si>
  <si>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</si>
  <si>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</si>
  <si>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</si>
  <si>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</si>
  <si>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</si>
  <si>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</si>
  <si>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</si>
  <si>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</si>
  <si>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</si>
  <si>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</si>
  <si>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</si>
  <si>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</si>
  <si>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</si>
  <si>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F-048</t>
  </si>
  <si>
    <t>교복 구매 안내(신청 수량 파악)</t>
  </si>
  <si>
    <t>F-048_교복구매안내신청수량파악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</si>
  <si>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</si>
  <si>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</si>
  <si>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</si>
  <si>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</si>
  <si>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</si>
  <si>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</si>
  <si>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</si>
  <si>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</si>
  <si>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</si>
  <si>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</si>
  <si>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</si>
  <si>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</si>
  <si>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</si>
  <si>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</si>
  <si>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</si>
  <si>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</si>
  <si>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</si>
  <si>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</si>
  <si>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</si>
  <si>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</si>
  <si>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</si>
  <si>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</si>
  <si>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</si>
  <si>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</si>
  <si>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</si>
  <si>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</si>
  <si>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</si>
  <si>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</si>
  <si>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</si>
  <si>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</si>
  <si>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</si>
  <si>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</si>
  <si>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</si>
  <si>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</si>
  <si>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</si>
  <si>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</si>
  <si>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</si>
  <si>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</si>
  <si>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</si>
  <si>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</si>
  <si>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</si>
  <si>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</si>
  <si>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</si>
  <si>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</si>
  <si>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</si>
  <si>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</si>
  <si>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</si>
  <si>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</si>
  <si>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</si>
  <si>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</si>
  <si>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</si>
  <si>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</si>
  <si>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</si>
  <si>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</si>
  <si>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</si>
  <si>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</si>
  <si>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</si>
  <si>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</si>
  <si>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</si>
  <si>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</si>
  <si>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</si>
  <si>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</si>
  <si>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</si>
  <si>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</si>
  <si>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</si>
  <si>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</si>
  <si>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</si>
  <si>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</si>
  <si>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</si>
  <si>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</si>
  <si>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</si>
  <si>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</si>
  <si>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</si>
  <si>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</si>
  <si>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</si>
  <si>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</si>
  <si>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</si>
  <si>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</si>
  <si>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</si>
  <si>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</si>
  <si>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</si>
  <si>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</si>
  <si>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</si>
  <si>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</si>
  <si>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</si>
  <si>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</si>
  <si>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</si>
  <si>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</si>
  <si>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</si>
  <si>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</si>
  <si>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</si>
  <si>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</si>
  <si>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</si>
  <si>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</si>
  <si>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</si>
  <si>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</si>
  <si>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</si>
  <si>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</si>
  <si>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</si>
  <si>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</si>
  <si>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</si>
  <si>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</si>
  <si>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</si>
  <si>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</si>
  <si>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</si>
  <si>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</si>
  <si>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</si>
  <si>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</si>
  <si>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</si>
  <si>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</si>
  <si>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</si>
  <si>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</si>
  <si>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</si>
  <si>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</si>
  <si>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</si>
  <si>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</si>
  <si>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</si>
  <si>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</si>
  <si>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</si>
  <si>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</si>
  <si>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</si>
  <si>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</si>
  <si>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</si>
  <si>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</si>
  <si>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</si>
  <si>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</si>
  <si>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</si>
  <si>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</si>
  <si>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</si>
  <si>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</si>
  <si>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</si>
  <si>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</si>
  <si>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</si>
  <si>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</si>
  <si>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</si>
  <si>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</si>
  <si>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</si>
  <si>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</si>
  <si>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</si>
  <si>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</si>
  <si>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</si>
  <si>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</si>
  <si>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</si>
  <si>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</si>
  <si>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</si>
  <si>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</si>
  <si>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</si>
  <si>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</si>
  <si>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</si>
  <si>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</si>
  <si>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</si>
  <si>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</si>
  <si>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</si>
  <si>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</si>
  <si>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</si>
  <si>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</si>
  <si>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</si>
  <si>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</si>
  <si>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</si>
  <si>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</si>
  <si>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</si>
  <si>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</si>
  <si>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</si>
  <si>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</si>
  <si>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</si>
  <si>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</si>
  <si>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</si>
  <si>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</si>
  <si>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</si>
  <si>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</si>
  <si>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</si>
  <si>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</si>
  <si>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</si>
  <si>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</si>
  <si>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</si>
  <si>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</si>
  <si>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</si>
  <si>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</si>
  <si>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</si>
  <si>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</si>
  <si>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</si>
  <si>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</si>
  <si>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</si>
  <si>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</si>
  <si>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</si>
  <si>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</si>
  <si>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</si>
  <si>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</si>
  <si>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</si>
  <si>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</si>
  <si>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</si>
  <si>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</si>
  <si>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</si>
  <si>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</si>
  <si>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</si>
  <si>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</si>
  <si>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</si>
  <si>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</si>
  <si>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</si>
  <si>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</si>
  <si>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</si>
  <si>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</si>
  <si>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</si>
  <si>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</si>
  <si>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</si>
  <si>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</si>
  <si>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</si>
  <si>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</si>
  <si>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</si>
  <si>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</si>
  <si>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</si>
  <si>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</si>
  <si>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</si>
  <si>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</si>
  <si>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</si>
  <si>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</si>
  <si>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</si>
  <si>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</si>
  <si>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</si>
  <si>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</si>
  <si>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</si>
  <si>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</si>
  <si>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</si>
  <si>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</si>
  <si>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</si>
  <si>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</si>
  <si>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</si>
  <si>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</si>
  <si>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</si>
  <si>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</si>
  <si>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</si>
  <si>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</si>
  <si>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</si>
  <si>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</si>
  <si>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</si>
  <si>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</si>
  <si>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</si>
  <si>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</si>
  <si>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</si>
  <si>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</si>
  <si>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</si>
  <si>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</si>
  <si>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</si>
  <si>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</si>
  <si>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</si>
  <si>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</si>
  <si>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</si>
  <si>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</si>
  <si>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</si>
  <si>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</si>
  <si>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</si>
  <si>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</si>
  <si>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</si>
  <si>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</si>
  <si>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</si>
  <si>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</si>
  <si>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</si>
  <si>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</si>
  <si>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</si>
  <si>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</si>
  <si>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</si>
  <si>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</si>
  <si>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</si>
  <si>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</si>
  <si>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</si>
  <si>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</si>
  <si>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</si>
  <si>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</si>
  <si>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</si>
  <si>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</si>
  <si>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</si>
  <si>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</si>
  <si>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</si>
  <si>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</si>
  <si>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</si>
  <si>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</si>
  <si>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</si>
  <si>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</si>
  <si>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</si>
  <si>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</si>
  <si>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</si>
  <si>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</si>
  <si>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</si>
  <si>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</si>
  <si>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</si>
  <si>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</si>
  <si>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</si>
  <si>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</si>
  <si>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</si>
  <si>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</si>
  <si>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</si>
  <si>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</si>
  <si>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</si>
  <si>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</si>
  <si>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</si>
  <si>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</si>
  <si>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</si>
  <si>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</si>
  <si>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</si>
  <si>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</si>
  <si>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</si>
  <si>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</si>
  <si>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</si>
  <si>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</si>
  <si>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</si>
  <si>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</si>
  <si>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</si>
  <si>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</si>
  <si>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</si>
  <si>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</si>
  <si>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</si>
  <si>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</si>
  <si>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</si>
  <si>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</si>
  <si>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</si>
  <si>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</si>
  <si>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</si>
  <si>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</si>
  <si>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</si>
  <si>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</si>
  <si>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</si>
  <si>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</si>
  <si>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</si>
  <si>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</si>
  <si>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</si>
  <si>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</si>
  <si>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</si>
  <si>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</si>
  <si>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</si>
  <si>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</si>
  <si>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</si>
  <si>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</si>
  <si>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</si>
  <si>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</si>
  <si>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</si>
  <si>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</si>
  <si>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</si>
  <si>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</si>
  <si>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</si>
  <si>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</si>
  <si>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</si>
  <si>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</si>
  <si>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</si>
  <si>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</si>
  <si>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</si>
  <si>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</si>
  <si>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</si>
  <si>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</si>
  <si>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</si>
  <si>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</si>
  <si>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</si>
  <si>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</si>
  <si>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</si>
  <si>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</si>
  <si>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</si>
  <si>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</si>
  <si>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</si>
  <si>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</si>
  <si>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</si>
  <si>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</si>
  <si>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</si>
  <si>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</si>
  <si>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</si>
  <si>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</si>
  <si>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</si>
  <si>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</si>
  <si>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</si>
  <si>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</si>
  <si>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</si>
  <si>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</si>
  <si>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</si>
  <si>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</si>
  <si>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</si>
  <si>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</si>
  <si>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</si>
  <si>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</si>
  <si>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</si>
  <si>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</si>
  <si>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</si>
  <si>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</si>
  <si>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</si>
  <si>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</si>
  <si>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</si>
  <si>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</si>
  <si>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</si>
  <si>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</si>
  <si>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</si>
  <si>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</si>
  <si>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</si>
  <si>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</si>
  <si>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</si>
  <si>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</si>
  <si>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</si>
  <si>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</si>
  <si>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</si>
  <si>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</si>
  <si>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</si>
  <si>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</si>
  <si>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</si>
  <si>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</si>
  <si>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</si>
  <si>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76~77쪽 [18-3] 대조. 업체명·연락처·치수측정기간·단가는 예시 빈칸(○·0) 그대로 유지, 이름·보호자 성명·전화번호·신청 수량은 입력·저장·자동 출력하지 않음</t>
  </si>
  <si>
    <t>우리 학교는 정부의 교복 가격 안정화 방안과 우리교육청의 교복구매비 지원 사업에 따라 교복에 대한 「학교주관구매」를 통한 교복지원을 하고 있습니다.</t>
  </si>
  <si>
    <t>※ 참고: 2026학년도 충북교육청 교복 학교주관구매 권고 상한가는 동복(4pcs 기준) 245,400원, 하복(2pcs 기준) 99,170원임</t>
  </si>
  <si>
    <t>아울러, 추가 구매를 희망하는 경우(신품 또는 할인된 이월품 선택 가능) 학교에 사전 신청하여 주시기 바랍니다.(교복 물려입기를 할 경우 서식 변경해서 안내)</t>
  </si>
  <si>
    <t>--------------------------------------- 절 취 선 ---------------------------------------</t>
  </si>
  <si>
    <t>년   월   일</t>
  </si>
  <si>
    <t>(※신입생 배정 번호 또는 학년 반을 기재) 이름 (　　　　　)</t>
  </si>
  <si>
    <t>보호자 성명 (　　　　　) 전화번호 (　　　　　)</t>
  </si>
  <si>
    <t>【예시】교복 신청 수량(품목별)</t>
  </si>
  <si>
    <t>품목: 교복(동복)</t>
  </si>
  <si>
    <t>품목(남학생)</t>
  </si>
  <si>
    <t>신청 수량</t>
  </si>
  <si>
    <t>구매가격(원)</t>
  </si>
  <si>
    <t>품목(여학생)</t>
  </si>
  <si>
    <t>자켓</t>
  </si>
  <si>
    <t>셔츠</t>
  </si>
  <si>
    <t>블라우스</t>
  </si>
  <si>
    <t>·</t>
  </si>
  <si>
    <t>※ 교복 품목: 「학칙(학생생활규정)」에서 규정한 단체복 품목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</si>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</sst>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1180BEE-119D-4081-91D6-1278F8273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E097F79-81C6-4F83-8347-61C321E9D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EC5960F-D5E4-4043-9256-77F704DD1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F54C190-76E9-483B-AEAB-320E41B97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1985" name="btn인쇄미리보기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E3292E44-2FE0-4920-871D-CF26D099E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1986" name="btnPDF저장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1233A18C-1FE5-4D87-AE34-728E356B1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1201" name="btn초기화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57676B0F-48F3-42F1-BE41-81B3F637B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1202" name="btn저장하기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F0D948B6-0D52-4AA4-A2FC-85C31EFFE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1203" name="btn수정하기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579F0362-706F-4A67-9AE8-D120943A5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1204" name="btn불러오기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F5C4C762-EDE4-4AD5-B106-B3294952F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81C31-8F1C-4A77-91EE-4C82F7ACD1C8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1155</v>
      </c>
    </row>
    <row r="2" spans="1:5" ht="42" customHeight="1" x14ac:dyDescent="0.4">
      <c r="A2" s="71" t="s">
        <v>1156</v>
      </c>
      <c r="B2" s="71"/>
      <c r="C2" s="71"/>
      <c r="D2" s="71"/>
      <c r="E2" s="71"/>
    </row>
    <row r="4" spans="1:5" x14ac:dyDescent="0.4">
      <c r="A4" s="62" t="s">
        <v>1157</v>
      </c>
      <c r="B4" s="62" t="s">
        <v>1158</v>
      </c>
      <c r="C4" s="62" t="s">
        <v>1159</v>
      </c>
    </row>
    <row r="5" spans="1:5" x14ac:dyDescent="0.4">
      <c r="A5" s="68" t="s">
        <v>1160</v>
      </c>
      <c r="B5" s="70"/>
      <c r="C5" s="69" t="s">
        <v>1163</v>
      </c>
    </row>
    <row r="6" spans="1:5" x14ac:dyDescent="0.4">
      <c r="A6" s="68" t="s">
        <v>1161</v>
      </c>
      <c r="B6" s="70"/>
      <c r="C6" s="69" t="s">
        <v>1164</v>
      </c>
    </row>
    <row r="7" spans="1:5" x14ac:dyDescent="0.4">
      <c r="A7" s="68" t="s">
        <v>1162</v>
      </c>
      <c r="B7" s="68" t="str">
        <f>IF(AND(B5="예",B6="예"),"2단계 입찰(규격·가격 동시)","")</f>
        <v/>
      </c>
      <c r="C7" s="69" t="s">
        <v>1165</v>
      </c>
    </row>
    <row r="9" spans="1:5" x14ac:dyDescent="0.4">
      <c r="A9" s="3" t="s">
        <v>1166</v>
      </c>
    </row>
    <row r="10" spans="1:5" ht="36" customHeight="1" x14ac:dyDescent="0.4">
      <c r="A10" s="71" t="s">
        <v>1167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618B4924-EB57-4576-AD05-03CF2CCD8E52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9CEF5-36A8-4932-8153-873E8E62094C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1124</v>
      </c>
    </row>
    <row r="2" spans="1:4" x14ac:dyDescent="0.4">
      <c r="A2" t="s">
        <v>1125</v>
      </c>
    </row>
    <row r="4" spans="1:4" x14ac:dyDescent="0.4">
      <c r="A4" s="17" t="s">
        <v>1126</v>
      </c>
      <c r="B4" s="17" t="s">
        <v>1127</v>
      </c>
      <c r="C4" s="17" t="s">
        <v>1128</v>
      </c>
      <c r="D4" s="17" t="s">
        <v>1129</v>
      </c>
    </row>
    <row r="5" spans="1:4" x14ac:dyDescent="0.4">
      <c r="A5" s="67" t="s">
        <v>1130</v>
      </c>
      <c r="B5" s="69" t="s">
        <v>1131</v>
      </c>
      <c r="C5" s="69" t="s">
        <v>1132</v>
      </c>
      <c r="D5" s="67" t="s">
        <v>126</v>
      </c>
    </row>
    <row r="6" spans="1:4" x14ac:dyDescent="0.4">
      <c r="A6" s="67" t="s">
        <v>1133</v>
      </c>
      <c r="B6" s="69" t="s">
        <v>1134</v>
      </c>
      <c r="C6" s="69" t="s">
        <v>143</v>
      </c>
      <c r="D6" s="67" t="s">
        <v>143</v>
      </c>
    </row>
    <row r="7" spans="1:4" x14ac:dyDescent="0.4">
      <c r="A7" s="67" t="s">
        <v>1135</v>
      </c>
      <c r="B7" s="69" t="s">
        <v>1136</v>
      </c>
      <c r="C7" s="69" t="s">
        <v>1137</v>
      </c>
      <c r="D7" s="67" t="s">
        <v>146</v>
      </c>
    </row>
    <row r="8" spans="1:4" x14ac:dyDescent="0.4">
      <c r="A8" s="67" t="s">
        <v>1138</v>
      </c>
      <c r="B8" s="69" t="s">
        <v>1139</v>
      </c>
      <c r="C8" s="69" t="s">
        <v>1140</v>
      </c>
      <c r="D8" s="67" t="s">
        <v>157</v>
      </c>
    </row>
    <row r="9" spans="1:4" x14ac:dyDescent="0.4">
      <c r="A9" s="67" t="s">
        <v>1141</v>
      </c>
      <c r="B9" s="69" t="s">
        <v>1142</v>
      </c>
      <c r="C9" s="69" t="s">
        <v>1143</v>
      </c>
      <c r="D9" s="67" t="s">
        <v>175</v>
      </c>
    </row>
    <row r="10" spans="1:4" x14ac:dyDescent="0.4">
      <c r="A10" s="67" t="s">
        <v>1144</v>
      </c>
      <c r="B10" s="69" t="s">
        <v>1145</v>
      </c>
      <c r="C10" s="69" t="s">
        <v>1146</v>
      </c>
      <c r="D10" s="67" t="s">
        <v>165</v>
      </c>
    </row>
    <row r="11" spans="1:4" x14ac:dyDescent="0.4">
      <c r="A11" s="67" t="s">
        <v>1147</v>
      </c>
      <c r="B11" s="69" t="s">
        <v>1148</v>
      </c>
      <c r="C11" s="69" t="s">
        <v>1149</v>
      </c>
      <c r="D11" s="67" t="s">
        <v>240</v>
      </c>
    </row>
    <row r="12" spans="1:4" x14ac:dyDescent="0.4">
      <c r="A12" s="67" t="s">
        <v>1150</v>
      </c>
      <c r="B12" s="69" t="s">
        <v>1151</v>
      </c>
      <c r="C12" s="69" t="s">
        <v>247</v>
      </c>
      <c r="D12" s="67" t="s">
        <v>247</v>
      </c>
    </row>
    <row r="13" spans="1:4" x14ac:dyDescent="0.4">
      <c r="A13" s="67" t="s">
        <v>1152</v>
      </c>
      <c r="B13" s="69" t="s">
        <v>1153</v>
      </c>
      <c r="C13" s="69" t="s">
        <v>1154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5E32F-7801-4ED9-BB94-2A91A469B6CB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1122</v>
      </c>
    </row>
    <row r="2" spans="1:6" x14ac:dyDescent="0.4">
      <c r="A2" t="s">
        <v>1123</v>
      </c>
    </row>
    <row r="3" spans="1:6" x14ac:dyDescent="0.4">
      <c r="A3" t="s">
        <v>87</v>
      </c>
      <c r="B3" s="9"/>
      <c r="C3" t="s">
        <v>756</v>
      </c>
      <c r="D3" s="9"/>
      <c r="E3" t="s">
        <v>757</v>
      </c>
      <c r="F3" s="9"/>
    </row>
    <row r="6" spans="1:6" x14ac:dyDescent="0.4">
      <c r="A6" s="62" t="s">
        <v>697</v>
      </c>
      <c r="B6" s="62" t="s">
        <v>756</v>
      </c>
      <c r="C6" s="62" t="s">
        <v>757</v>
      </c>
      <c r="D6" s="62" t="s">
        <v>87</v>
      </c>
      <c r="E6" s="62" t="s">
        <v>294</v>
      </c>
      <c r="F6" s="62" t="s">
        <v>369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CC7CA-7DCE-4F1C-8F48-5AC906C44C6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697</v>
      </c>
      <c r="B1" s="3" t="s">
        <v>756</v>
      </c>
      <c r="C1" s="3" t="s">
        <v>757</v>
      </c>
      <c r="D1" s="3" t="s">
        <v>758</v>
      </c>
      <c r="E1" s="3" t="s">
        <v>87</v>
      </c>
      <c r="F1" s="3" t="s">
        <v>294</v>
      </c>
      <c r="G1" s="3" t="s">
        <v>369</v>
      </c>
    </row>
    <row r="2" spans="1:7" x14ac:dyDescent="0.4">
      <c r="A2">
        <v>808</v>
      </c>
      <c r="B2" t="s">
        <v>759</v>
      </c>
      <c r="C2" t="s">
        <v>760</v>
      </c>
      <c r="D2" t="s">
        <v>761</v>
      </c>
      <c r="E2" t="s">
        <v>762</v>
      </c>
      <c r="F2" t="s">
        <v>763</v>
      </c>
      <c r="G2" t="s">
        <v>764</v>
      </c>
    </row>
    <row r="3" spans="1:7" x14ac:dyDescent="0.4">
      <c r="A3">
        <v>807</v>
      </c>
      <c r="B3" t="s">
        <v>759</v>
      </c>
      <c r="C3" t="s">
        <v>765</v>
      </c>
      <c r="D3" t="s">
        <v>766</v>
      </c>
      <c r="E3" t="s">
        <v>767</v>
      </c>
      <c r="F3" t="s">
        <v>768</v>
      </c>
      <c r="G3" t="s">
        <v>769</v>
      </c>
    </row>
    <row r="4" spans="1:7" x14ac:dyDescent="0.4">
      <c r="A4">
        <v>806</v>
      </c>
      <c r="B4" t="s">
        <v>759</v>
      </c>
      <c r="C4" t="s">
        <v>760</v>
      </c>
      <c r="D4" t="s">
        <v>766</v>
      </c>
      <c r="E4" t="s">
        <v>770</v>
      </c>
      <c r="F4" t="s">
        <v>771</v>
      </c>
      <c r="G4" t="s">
        <v>772</v>
      </c>
    </row>
    <row r="5" spans="1:7" x14ac:dyDescent="0.4">
      <c r="A5">
        <v>805</v>
      </c>
      <c r="B5" t="s">
        <v>759</v>
      </c>
      <c r="C5" t="s">
        <v>760</v>
      </c>
      <c r="D5" t="s">
        <v>761</v>
      </c>
      <c r="E5" t="s">
        <v>773</v>
      </c>
      <c r="F5" t="s">
        <v>774</v>
      </c>
      <c r="G5" t="s">
        <v>775</v>
      </c>
    </row>
    <row r="6" spans="1:7" x14ac:dyDescent="0.4">
      <c r="A6">
        <v>804</v>
      </c>
      <c r="B6" t="s">
        <v>759</v>
      </c>
      <c r="C6" t="s">
        <v>760</v>
      </c>
      <c r="D6" t="s">
        <v>761</v>
      </c>
      <c r="E6" t="s">
        <v>776</v>
      </c>
      <c r="F6" t="s">
        <v>777</v>
      </c>
      <c r="G6" t="s">
        <v>778</v>
      </c>
    </row>
    <row r="7" spans="1:7" x14ac:dyDescent="0.4">
      <c r="A7">
        <v>803</v>
      </c>
      <c r="B7" t="s">
        <v>759</v>
      </c>
      <c r="C7" t="s">
        <v>765</v>
      </c>
      <c r="D7" t="s">
        <v>761</v>
      </c>
      <c r="E7" t="s">
        <v>779</v>
      </c>
      <c r="F7" t="s">
        <v>777</v>
      </c>
      <c r="G7" t="s">
        <v>780</v>
      </c>
    </row>
    <row r="8" spans="1:7" x14ac:dyDescent="0.4">
      <c r="A8">
        <v>802</v>
      </c>
      <c r="B8" t="s">
        <v>759</v>
      </c>
      <c r="C8" t="s">
        <v>760</v>
      </c>
      <c r="D8" t="s">
        <v>761</v>
      </c>
      <c r="E8" t="s">
        <v>781</v>
      </c>
      <c r="F8" t="s">
        <v>782</v>
      </c>
      <c r="G8" t="s">
        <v>783</v>
      </c>
    </row>
    <row r="9" spans="1:7" x14ac:dyDescent="0.4">
      <c r="A9">
        <v>801</v>
      </c>
      <c r="B9" t="s">
        <v>759</v>
      </c>
      <c r="C9" t="s">
        <v>760</v>
      </c>
      <c r="D9" t="s">
        <v>761</v>
      </c>
      <c r="E9" t="s">
        <v>784</v>
      </c>
      <c r="F9" t="s">
        <v>785</v>
      </c>
      <c r="G9" t="s">
        <v>786</v>
      </c>
    </row>
    <row r="10" spans="1:7" x14ac:dyDescent="0.4">
      <c r="A10">
        <v>800</v>
      </c>
      <c r="B10" t="s">
        <v>759</v>
      </c>
      <c r="C10" t="s">
        <v>760</v>
      </c>
      <c r="D10" t="s">
        <v>766</v>
      </c>
      <c r="E10" t="s">
        <v>787</v>
      </c>
      <c r="F10" t="s">
        <v>788</v>
      </c>
      <c r="G10" t="s">
        <v>789</v>
      </c>
    </row>
    <row r="11" spans="1:7" x14ac:dyDescent="0.4">
      <c r="A11">
        <v>799</v>
      </c>
      <c r="B11" t="s">
        <v>759</v>
      </c>
      <c r="C11" t="s">
        <v>765</v>
      </c>
      <c r="D11" t="s">
        <v>766</v>
      </c>
      <c r="E11" t="s">
        <v>790</v>
      </c>
      <c r="F11" t="s">
        <v>791</v>
      </c>
      <c r="G11" t="s">
        <v>792</v>
      </c>
    </row>
    <row r="12" spans="1:7" x14ac:dyDescent="0.4">
      <c r="A12">
        <v>798</v>
      </c>
      <c r="B12" t="s">
        <v>759</v>
      </c>
      <c r="C12" t="s">
        <v>760</v>
      </c>
      <c r="D12" t="s">
        <v>793</v>
      </c>
      <c r="E12" t="s">
        <v>794</v>
      </c>
      <c r="F12" t="s">
        <v>795</v>
      </c>
      <c r="G12" t="s">
        <v>796</v>
      </c>
    </row>
    <row r="13" spans="1:7" x14ac:dyDescent="0.4">
      <c r="A13">
        <v>797</v>
      </c>
      <c r="B13" t="s">
        <v>759</v>
      </c>
      <c r="C13" t="s">
        <v>760</v>
      </c>
      <c r="D13" t="s">
        <v>761</v>
      </c>
      <c r="E13" t="s">
        <v>797</v>
      </c>
      <c r="F13" t="s">
        <v>798</v>
      </c>
      <c r="G13" t="s">
        <v>799</v>
      </c>
    </row>
    <row r="14" spans="1:7" x14ac:dyDescent="0.4">
      <c r="A14">
        <v>796</v>
      </c>
      <c r="B14" t="s">
        <v>759</v>
      </c>
      <c r="C14" t="s">
        <v>765</v>
      </c>
      <c r="D14" t="s">
        <v>761</v>
      </c>
      <c r="E14" t="s">
        <v>800</v>
      </c>
      <c r="F14" t="s">
        <v>782</v>
      </c>
      <c r="G14" t="s">
        <v>801</v>
      </c>
    </row>
    <row r="15" spans="1:7" x14ac:dyDescent="0.4">
      <c r="A15">
        <v>795</v>
      </c>
      <c r="B15" t="s">
        <v>759</v>
      </c>
      <c r="C15" t="s">
        <v>760</v>
      </c>
      <c r="D15" t="s">
        <v>761</v>
      </c>
      <c r="E15" t="s">
        <v>802</v>
      </c>
      <c r="F15" t="s">
        <v>803</v>
      </c>
      <c r="G15" t="s">
        <v>804</v>
      </c>
    </row>
    <row r="16" spans="1:7" x14ac:dyDescent="0.4">
      <c r="A16">
        <v>794</v>
      </c>
      <c r="B16" t="s">
        <v>759</v>
      </c>
      <c r="C16" t="s">
        <v>765</v>
      </c>
      <c r="D16" t="s">
        <v>766</v>
      </c>
      <c r="E16" t="s">
        <v>805</v>
      </c>
      <c r="F16" t="s">
        <v>806</v>
      </c>
      <c r="G16" t="s">
        <v>807</v>
      </c>
    </row>
    <row r="17" spans="1:7" x14ac:dyDescent="0.4">
      <c r="A17">
        <v>793</v>
      </c>
      <c r="B17" t="s">
        <v>759</v>
      </c>
      <c r="C17" t="s">
        <v>760</v>
      </c>
      <c r="D17" t="s">
        <v>766</v>
      </c>
      <c r="E17" t="s">
        <v>808</v>
      </c>
      <c r="F17" t="s">
        <v>809</v>
      </c>
      <c r="G17" t="s">
        <v>810</v>
      </c>
    </row>
    <row r="18" spans="1:7" x14ac:dyDescent="0.4">
      <c r="A18">
        <v>792</v>
      </c>
      <c r="B18" t="s">
        <v>759</v>
      </c>
      <c r="C18" t="s">
        <v>765</v>
      </c>
      <c r="D18" t="s">
        <v>766</v>
      </c>
      <c r="E18" t="s">
        <v>811</v>
      </c>
      <c r="F18" t="s">
        <v>812</v>
      </c>
      <c r="G18" t="s">
        <v>813</v>
      </c>
    </row>
    <row r="19" spans="1:7" x14ac:dyDescent="0.4">
      <c r="A19">
        <v>791</v>
      </c>
      <c r="B19" t="s">
        <v>759</v>
      </c>
      <c r="C19" t="s">
        <v>760</v>
      </c>
      <c r="D19" t="s">
        <v>766</v>
      </c>
      <c r="E19" t="s">
        <v>814</v>
      </c>
      <c r="F19" t="s">
        <v>815</v>
      </c>
      <c r="G19" t="s">
        <v>816</v>
      </c>
    </row>
    <row r="20" spans="1:7" x14ac:dyDescent="0.4">
      <c r="A20">
        <v>790</v>
      </c>
      <c r="B20" t="s">
        <v>759</v>
      </c>
      <c r="C20" t="s">
        <v>817</v>
      </c>
      <c r="D20" t="s">
        <v>793</v>
      </c>
      <c r="E20" t="s">
        <v>818</v>
      </c>
      <c r="F20" t="s">
        <v>819</v>
      </c>
      <c r="G20" t="s">
        <v>820</v>
      </c>
    </row>
    <row r="21" spans="1:7" x14ac:dyDescent="0.4">
      <c r="A21">
        <v>789</v>
      </c>
      <c r="B21" t="s">
        <v>759</v>
      </c>
      <c r="C21" t="s">
        <v>760</v>
      </c>
      <c r="D21" t="s">
        <v>761</v>
      </c>
      <c r="E21" t="s">
        <v>821</v>
      </c>
      <c r="F21" t="s">
        <v>822</v>
      </c>
      <c r="G21" t="s">
        <v>823</v>
      </c>
    </row>
    <row r="22" spans="1:7" x14ac:dyDescent="0.4">
      <c r="A22">
        <v>788</v>
      </c>
      <c r="B22" t="s">
        <v>759</v>
      </c>
      <c r="C22" t="s">
        <v>765</v>
      </c>
      <c r="D22" t="s">
        <v>761</v>
      </c>
      <c r="E22" t="s">
        <v>824</v>
      </c>
      <c r="F22" t="s">
        <v>822</v>
      </c>
      <c r="G22" t="s">
        <v>825</v>
      </c>
    </row>
    <row r="23" spans="1:7" x14ac:dyDescent="0.4">
      <c r="A23">
        <v>787</v>
      </c>
      <c r="B23" t="s">
        <v>759</v>
      </c>
      <c r="C23" t="s">
        <v>817</v>
      </c>
      <c r="D23" t="s">
        <v>766</v>
      </c>
      <c r="E23" t="s">
        <v>826</v>
      </c>
      <c r="F23" t="s">
        <v>827</v>
      </c>
      <c r="G23" t="s">
        <v>828</v>
      </c>
    </row>
    <row r="24" spans="1:7" x14ac:dyDescent="0.4">
      <c r="A24">
        <v>786</v>
      </c>
      <c r="B24" t="s">
        <v>759</v>
      </c>
      <c r="C24" t="s">
        <v>817</v>
      </c>
      <c r="D24" t="s">
        <v>766</v>
      </c>
      <c r="E24" t="s">
        <v>829</v>
      </c>
      <c r="F24" t="s">
        <v>830</v>
      </c>
      <c r="G24" t="s">
        <v>831</v>
      </c>
    </row>
    <row r="25" spans="1:7" x14ac:dyDescent="0.4">
      <c r="A25">
        <v>785</v>
      </c>
      <c r="B25" t="s">
        <v>759</v>
      </c>
      <c r="C25" t="s">
        <v>765</v>
      </c>
      <c r="D25" t="s">
        <v>766</v>
      </c>
      <c r="E25" t="s">
        <v>832</v>
      </c>
      <c r="F25" t="s">
        <v>833</v>
      </c>
      <c r="G25" t="s">
        <v>834</v>
      </c>
    </row>
    <row r="26" spans="1:7" x14ac:dyDescent="0.4">
      <c r="A26">
        <v>784</v>
      </c>
      <c r="B26" t="s">
        <v>759</v>
      </c>
      <c r="C26" t="s">
        <v>817</v>
      </c>
      <c r="D26" t="s">
        <v>766</v>
      </c>
      <c r="E26" t="s">
        <v>835</v>
      </c>
      <c r="F26" t="s">
        <v>836</v>
      </c>
      <c r="G26" t="s">
        <v>837</v>
      </c>
    </row>
    <row r="27" spans="1:7" x14ac:dyDescent="0.4">
      <c r="A27">
        <v>783</v>
      </c>
      <c r="B27" t="s">
        <v>759</v>
      </c>
      <c r="C27" t="s">
        <v>760</v>
      </c>
      <c r="D27" t="s">
        <v>761</v>
      </c>
      <c r="E27" t="s">
        <v>838</v>
      </c>
      <c r="F27" t="s">
        <v>839</v>
      </c>
      <c r="G27" t="s">
        <v>840</v>
      </c>
    </row>
    <row r="28" spans="1:7" x14ac:dyDescent="0.4">
      <c r="A28">
        <v>782</v>
      </c>
      <c r="B28" t="s">
        <v>759</v>
      </c>
      <c r="C28" t="s">
        <v>765</v>
      </c>
      <c r="D28" t="s">
        <v>761</v>
      </c>
      <c r="E28" t="s">
        <v>841</v>
      </c>
      <c r="F28" t="s">
        <v>839</v>
      </c>
      <c r="G28" t="s">
        <v>842</v>
      </c>
    </row>
    <row r="29" spans="1:7" x14ac:dyDescent="0.4">
      <c r="A29">
        <v>781</v>
      </c>
      <c r="B29" t="s">
        <v>759</v>
      </c>
      <c r="C29" t="s">
        <v>765</v>
      </c>
      <c r="D29" t="s">
        <v>766</v>
      </c>
      <c r="E29" t="s">
        <v>843</v>
      </c>
      <c r="F29" t="s">
        <v>844</v>
      </c>
      <c r="G29" t="s">
        <v>845</v>
      </c>
    </row>
    <row r="30" spans="1:7" x14ac:dyDescent="0.4">
      <c r="A30">
        <v>780</v>
      </c>
      <c r="B30" t="s">
        <v>759</v>
      </c>
      <c r="C30" t="s">
        <v>817</v>
      </c>
      <c r="D30" t="s">
        <v>766</v>
      </c>
      <c r="E30" t="s">
        <v>846</v>
      </c>
      <c r="F30" t="s">
        <v>847</v>
      </c>
      <c r="G30" t="s">
        <v>848</v>
      </c>
    </row>
    <row r="31" spans="1:7" x14ac:dyDescent="0.4">
      <c r="A31">
        <v>779</v>
      </c>
      <c r="B31" t="s">
        <v>759</v>
      </c>
      <c r="C31" t="s">
        <v>817</v>
      </c>
      <c r="D31" t="s">
        <v>766</v>
      </c>
      <c r="E31" t="s">
        <v>849</v>
      </c>
      <c r="F31" t="s">
        <v>850</v>
      </c>
      <c r="G31" t="s">
        <v>851</v>
      </c>
    </row>
    <row r="32" spans="1:7" x14ac:dyDescent="0.4">
      <c r="A32">
        <v>778</v>
      </c>
      <c r="B32" t="s">
        <v>759</v>
      </c>
      <c r="C32" t="s">
        <v>817</v>
      </c>
      <c r="D32" t="s">
        <v>766</v>
      </c>
      <c r="E32" t="s">
        <v>852</v>
      </c>
      <c r="F32" t="s">
        <v>853</v>
      </c>
      <c r="G32" t="s">
        <v>854</v>
      </c>
    </row>
    <row r="33" spans="1:7" x14ac:dyDescent="0.4">
      <c r="A33">
        <v>777</v>
      </c>
      <c r="B33" t="s">
        <v>759</v>
      </c>
      <c r="C33" t="s">
        <v>760</v>
      </c>
      <c r="D33" t="s">
        <v>761</v>
      </c>
      <c r="E33" t="s">
        <v>855</v>
      </c>
      <c r="F33" t="s">
        <v>856</v>
      </c>
      <c r="G33" t="s">
        <v>857</v>
      </c>
    </row>
    <row r="34" spans="1:7" x14ac:dyDescent="0.4">
      <c r="A34">
        <v>776</v>
      </c>
      <c r="B34" t="s">
        <v>759</v>
      </c>
      <c r="C34" t="s">
        <v>765</v>
      </c>
      <c r="D34" t="s">
        <v>766</v>
      </c>
      <c r="E34" t="s">
        <v>858</v>
      </c>
      <c r="F34" t="s">
        <v>859</v>
      </c>
      <c r="G34" t="s">
        <v>860</v>
      </c>
    </row>
    <row r="35" spans="1:7" x14ac:dyDescent="0.4">
      <c r="A35">
        <v>775</v>
      </c>
      <c r="B35" t="s">
        <v>759</v>
      </c>
      <c r="C35" t="s">
        <v>817</v>
      </c>
      <c r="D35" t="s">
        <v>766</v>
      </c>
      <c r="E35" t="s">
        <v>861</v>
      </c>
      <c r="F35" t="s">
        <v>862</v>
      </c>
      <c r="G35" t="s">
        <v>863</v>
      </c>
    </row>
    <row r="36" spans="1:7" x14ac:dyDescent="0.4">
      <c r="A36">
        <v>774</v>
      </c>
      <c r="B36" t="s">
        <v>759</v>
      </c>
      <c r="C36" t="s">
        <v>765</v>
      </c>
      <c r="D36" t="s">
        <v>761</v>
      </c>
      <c r="E36" t="s">
        <v>864</v>
      </c>
      <c r="F36" t="s">
        <v>865</v>
      </c>
      <c r="G36" t="s">
        <v>866</v>
      </c>
    </row>
    <row r="37" spans="1:7" x14ac:dyDescent="0.4">
      <c r="A37">
        <v>773</v>
      </c>
      <c r="B37" t="s">
        <v>759</v>
      </c>
      <c r="C37" t="s">
        <v>817</v>
      </c>
      <c r="D37" t="s">
        <v>766</v>
      </c>
      <c r="E37" t="s">
        <v>867</v>
      </c>
      <c r="F37" t="s">
        <v>868</v>
      </c>
      <c r="G37" t="s">
        <v>869</v>
      </c>
    </row>
    <row r="38" spans="1:7" x14ac:dyDescent="0.4">
      <c r="A38">
        <v>772</v>
      </c>
      <c r="B38" t="s">
        <v>759</v>
      </c>
      <c r="C38" t="s">
        <v>817</v>
      </c>
      <c r="D38" t="s">
        <v>766</v>
      </c>
      <c r="E38" t="s">
        <v>870</v>
      </c>
      <c r="F38" t="s">
        <v>871</v>
      </c>
      <c r="G38" t="s">
        <v>872</v>
      </c>
    </row>
    <row r="39" spans="1:7" x14ac:dyDescent="0.4">
      <c r="A39">
        <v>771</v>
      </c>
      <c r="B39" t="s">
        <v>759</v>
      </c>
      <c r="C39" t="s">
        <v>817</v>
      </c>
      <c r="D39" t="s">
        <v>766</v>
      </c>
      <c r="E39" t="s">
        <v>873</v>
      </c>
      <c r="F39" t="s">
        <v>874</v>
      </c>
      <c r="G39" t="s">
        <v>875</v>
      </c>
    </row>
    <row r="40" spans="1:7" x14ac:dyDescent="0.4">
      <c r="A40">
        <v>770</v>
      </c>
      <c r="B40" t="s">
        <v>759</v>
      </c>
      <c r="C40" t="s">
        <v>765</v>
      </c>
      <c r="D40" t="s">
        <v>766</v>
      </c>
      <c r="E40" t="s">
        <v>876</v>
      </c>
      <c r="F40" t="s">
        <v>877</v>
      </c>
      <c r="G40" t="s">
        <v>878</v>
      </c>
    </row>
    <row r="41" spans="1:7" x14ac:dyDescent="0.4">
      <c r="A41">
        <v>769</v>
      </c>
      <c r="B41" t="s">
        <v>759</v>
      </c>
      <c r="C41" t="s">
        <v>817</v>
      </c>
      <c r="D41" t="s">
        <v>766</v>
      </c>
      <c r="E41" t="s">
        <v>879</v>
      </c>
      <c r="F41" t="s">
        <v>880</v>
      </c>
      <c r="G41" t="s">
        <v>881</v>
      </c>
    </row>
    <row r="42" spans="1:7" x14ac:dyDescent="0.4">
      <c r="A42">
        <v>768</v>
      </c>
      <c r="B42" t="s">
        <v>759</v>
      </c>
      <c r="C42" t="s">
        <v>765</v>
      </c>
      <c r="D42" t="s">
        <v>766</v>
      </c>
      <c r="E42" t="s">
        <v>882</v>
      </c>
      <c r="F42" t="s">
        <v>883</v>
      </c>
      <c r="G42" t="s">
        <v>884</v>
      </c>
    </row>
    <row r="43" spans="1:7" x14ac:dyDescent="0.4">
      <c r="A43">
        <v>767</v>
      </c>
      <c r="B43" t="s">
        <v>759</v>
      </c>
      <c r="C43" t="s">
        <v>817</v>
      </c>
      <c r="D43" t="s">
        <v>766</v>
      </c>
      <c r="E43" t="s">
        <v>885</v>
      </c>
      <c r="F43" t="s">
        <v>886</v>
      </c>
      <c r="G43" t="s">
        <v>887</v>
      </c>
    </row>
    <row r="44" spans="1:7" x14ac:dyDescent="0.4">
      <c r="A44">
        <v>766</v>
      </c>
      <c r="B44" t="s">
        <v>759</v>
      </c>
      <c r="C44" t="s">
        <v>817</v>
      </c>
      <c r="D44" t="s">
        <v>766</v>
      </c>
      <c r="E44" t="s">
        <v>888</v>
      </c>
      <c r="F44" t="s">
        <v>889</v>
      </c>
      <c r="G44" t="s">
        <v>890</v>
      </c>
    </row>
    <row r="45" spans="1:7" x14ac:dyDescent="0.4">
      <c r="A45">
        <v>765</v>
      </c>
      <c r="B45" t="s">
        <v>759</v>
      </c>
      <c r="C45" t="s">
        <v>817</v>
      </c>
      <c r="D45" t="s">
        <v>766</v>
      </c>
      <c r="E45" t="s">
        <v>891</v>
      </c>
      <c r="F45" t="s">
        <v>892</v>
      </c>
      <c r="G45" t="s">
        <v>893</v>
      </c>
    </row>
    <row r="46" spans="1:7" x14ac:dyDescent="0.4">
      <c r="A46">
        <v>764</v>
      </c>
      <c r="B46" t="s">
        <v>759</v>
      </c>
      <c r="C46" t="s">
        <v>817</v>
      </c>
      <c r="D46" t="s">
        <v>766</v>
      </c>
      <c r="E46" t="s">
        <v>894</v>
      </c>
      <c r="F46" t="s">
        <v>895</v>
      </c>
      <c r="G46" t="s">
        <v>896</v>
      </c>
    </row>
    <row r="47" spans="1:7" x14ac:dyDescent="0.4">
      <c r="A47">
        <v>763</v>
      </c>
      <c r="B47" t="s">
        <v>759</v>
      </c>
      <c r="C47" t="s">
        <v>817</v>
      </c>
      <c r="D47" t="s">
        <v>766</v>
      </c>
      <c r="E47" t="s">
        <v>897</v>
      </c>
      <c r="F47" t="s">
        <v>898</v>
      </c>
      <c r="G47" t="s">
        <v>899</v>
      </c>
    </row>
    <row r="48" spans="1:7" x14ac:dyDescent="0.4">
      <c r="A48">
        <v>762</v>
      </c>
      <c r="B48" t="s">
        <v>759</v>
      </c>
      <c r="C48" t="s">
        <v>817</v>
      </c>
      <c r="D48" t="s">
        <v>766</v>
      </c>
      <c r="E48" t="s">
        <v>900</v>
      </c>
      <c r="F48" t="s">
        <v>901</v>
      </c>
      <c r="G48" t="s">
        <v>902</v>
      </c>
    </row>
    <row r="49" spans="1:7" x14ac:dyDescent="0.4">
      <c r="A49">
        <v>761</v>
      </c>
      <c r="B49" t="s">
        <v>759</v>
      </c>
      <c r="C49" t="s">
        <v>817</v>
      </c>
      <c r="D49" t="s">
        <v>766</v>
      </c>
      <c r="E49" t="s">
        <v>903</v>
      </c>
      <c r="F49" t="s">
        <v>904</v>
      </c>
      <c r="G49" t="s">
        <v>905</v>
      </c>
    </row>
    <row r="50" spans="1:7" x14ac:dyDescent="0.4">
      <c r="A50">
        <v>760</v>
      </c>
      <c r="B50" t="s">
        <v>759</v>
      </c>
      <c r="C50" t="s">
        <v>817</v>
      </c>
      <c r="D50" t="s">
        <v>766</v>
      </c>
      <c r="E50" t="s">
        <v>906</v>
      </c>
      <c r="F50" t="s">
        <v>907</v>
      </c>
      <c r="G50" t="s">
        <v>908</v>
      </c>
    </row>
    <row r="51" spans="1:7" x14ac:dyDescent="0.4">
      <c r="A51">
        <v>759</v>
      </c>
      <c r="B51" t="s">
        <v>759</v>
      </c>
      <c r="C51" t="s">
        <v>817</v>
      </c>
      <c r="D51" t="s">
        <v>766</v>
      </c>
      <c r="E51" t="s">
        <v>909</v>
      </c>
      <c r="F51" t="s">
        <v>910</v>
      </c>
      <c r="G51" t="s">
        <v>911</v>
      </c>
    </row>
    <row r="52" spans="1:7" x14ac:dyDescent="0.4">
      <c r="A52">
        <v>758</v>
      </c>
      <c r="B52" t="s">
        <v>759</v>
      </c>
      <c r="C52" t="s">
        <v>817</v>
      </c>
      <c r="D52" t="s">
        <v>766</v>
      </c>
      <c r="E52" t="s">
        <v>912</v>
      </c>
      <c r="F52" t="s">
        <v>913</v>
      </c>
      <c r="G52" t="s">
        <v>914</v>
      </c>
    </row>
    <row r="53" spans="1:7" x14ac:dyDescent="0.4">
      <c r="A53">
        <v>757</v>
      </c>
      <c r="B53" t="s">
        <v>759</v>
      </c>
      <c r="C53" t="s">
        <v>760</v>
      </c>
      <c r="D53" t="s">
        <v>766</v>
      </c>
      <c r="E53" t="s">
        <v>915</v>
      </c>
      <c r="F53" t="s">
        <v>916</v>
      </c>
      <c r="G53" t="s">
        <v>917</v>
      </c>
    </row>
    <row r="54" spans="1:7" x14ac:dyDescent="0.4">
      <c r="A54">
        <v>756</v>
      </c>
      <c r="B54" t="s">
        <v>759</v>
      </c>
      <c r="C54" t="s">
        <v>918</v>
      </c>
      <c r="D54" t="s">
        <v>766</v>
      </c>
      <c r="E54" t="s">
        <v>919</v>
      </c>
      <c r="F54" t="s">
        <v>920</v>
      </c>
      <c r="G54" t="s">
        <v>921</v>
      </c>
    </row>
    <row r="55" spans="1:7" x14ac:dyDescent="0.4">
      <c r="A55">
        <v>755</v>
      </c>
      <c r="B55" t="s">
        <v>759</v>
      </c>
      <c r="C55" t="s">
        <v>918</v>
      </c>
      <c r="D55" t="s">
        <v>766</v>
      </c>
      <c r="E55" t="s">
        <v>922</v>
      </c>
      <c r="F55" t="s">
        <v>923</v>
      </c>
      <c r="G55" t="s">
        <v>924</v>
      </c>
    </row>
    <row r="56" spans="1:7" x14ac:dyDescent="0.4">
      <c r="A56">
        <v>754</v>
      </c>
      <c r="B56" t="s">
        <v>759</v>
      </c>
      <c r="C56" t="s">
        <v>817</v>
      </c>
      <c r="D56" t="s">
        <v>766</v>
      </c>
      <c r="E56" t="s">
        <v>925</v>
      </c>
      <c r="F56" t="s">
        <v>926</v>
      </c>
      <c r="G56" t="s">
        <v>927</v>
      </c>
    </row>
    <row r="57" spans="1:7" x14ac:dyDescent="0.4">
      <c r="A57">
        <v>753</v>
      </c>
      <c r="B57" t="s">
        <v>759</v>
      </c>
      <c r="C57" t="s">
        <v>760</v>
      </c>
      <c r="D57" t="s">
        <v>766</v>
      </c>
      <c r="E57" t="s">
        <v>928</v>
      </c>
      <c r="F57" t="s">
        <v>929</v>
      </c>
      <c r="G57" t="s">
        <v>930</v>
      </c>
    </row>
    <row r="58" spans="1:7" x14ac:dyDescent="0.4">
      <c r="A58">
        <v>752</v>
      </c>
      <c r="B58" t="s">
        <v>759</v>
      </c>
      <c r="C58" t="s">
        <v>765</v>
      </c>
      <c r="D58" t="s">
        <v>766</v>
      </c>
      <c r="E58" t="s">
        <v>931</v>
      </c>
      <c r="F58" t="s">
        <v>932</v>
      </c>
      <c r="G58" t="s">
        <v>933</v>
      </c>
    </row>
    <row r="59" spans="1:7" x14ac:dyDescent="0.4">
      <c r="A59">
        <v>751</v>
      </c>
      <c r="B59" t="s">
        <v>759</v>
      </c>
      <c r="C59" t="s">
        <v>817</v>
      </c>
      <c r="D59" t="s">
        <v>766</v>
      </c>
      <c r="E59" t="s">
        <v>934</v>
      </c>
      <c r="F59" t="s">
        <v>935</v>
      </c>
      <c r="G59" t="s">
        <v>936</v>
      </c>
    </row>
    <row r="60" spans="1:7" x14ac:dyDescent="0.4">
      <c r="A60">
        <v>750</v>
      </c>
      <c r="B60" t="s">
        <v>759</v>
      </c>
      <c r="C60" t="s">
        <v>817</v>
      </c>
      <c r="D60" t="s">
        <v>766</v>
      </c>
      <c r="E60" t="s">
        <v>937</v>
      </c>
      <c r="F60" t="s">
        <v>938</v>
      </c>
      <c r="G60" t="s">
        <v>939</v>
      </c>
    </row>
    <row r="61" spans="1:7" x14ac:dyDescent="0.4">
      <c r="A61">
        <v>749</v>
      </c>
      <c r="B61" t="s">
        <v>759</v>
      </c>
      <c r="C61" t="s">
        <v>765</v>
      </c>
      <c r="D61" t="s">
        <v>766</v>
      </c>
      <c r="E61" t="s">
        <v>940</v>
      </c>
      <c r="F61" t="s">
        <v>941</v>
      </c>
      <c r="G61" t="s">
        <v>942</v>
      </c>
    </row>
    <row r="62" spans="1:7" x14ac:dyDescent="0.4">
      <c r="A62">
        <v>748</v>
      </c>
      <c r="B62" t="s">
        <v>759</v>
      </c>
      <c r="C62" t="s">
        <v>817</v>
      </c>
      <c r="D62" t="s">
        <v>766</v>
      </c>
      <c r="E62" t="s">
        <v>943</v>
      </c>
      <c r="F62" t="s">
        <v>944</v>
      </c>
      <c r="G62" t="s">
        <v>945</v>
      </c>
    </row>
    <row r="63" spans="1:7" x14ac:dyDescent="0.4">
      <c r="A63">
        <v>747</v>
      </c>
      <c r="B63" t="s">
        <v>759</v>
      </c>
      <c r="C63" t="s">
        <v>817</v>
      </c>
      <c r="D63" t="s">
        <v>766</v>
      </c>
      <c r="E63" t="s">
        <v>946</v>
      </c>
      <c r="F63" t="s">
        <v>947</v>
      </c>
      <c r="G63" t="s">
        <v>948</v>
      </c>
    </row>
    <row r="64" spans="1:7" x14ac:dyDescent="0.4">
      <c r="A64">
        <v>746</v>
      </c>
      <c r="B64" t="s">
        <v>759</v>
      </c>
      <c r="C64" t="s">
        <v>817</v>
      </c>
      <c r="D64" t="s">
        <v>766</v>
      </c>
      <c r="E64" t="s">
        <v>949</v>
      </c>
      <c r="F64" t="s">
        <v>950</v>
      </c>
      <c r="G64" t="s">
        <v>951</v>
      </c>
    </row>
    <row r="65" spans="1:7" x14ac:dyDescent="0.4">
      <c r="A65">
        <v>745</v>
      </c>
      <c r="B65" t="s">
        <v>759</v>
      </c>
      <c r="C65" t="s">
        <v>765</v>
      </c>
      <c r="D65" t="s">
        <v>766</v>
      </c>
      <c r="E65" t="s">
        <v>952</v>
      </c>
      <c r="F65" t="s">
        <v>953</v>
      </c>
      <c r="G65" t="s">
        <v>954</v>
      </c>
    </row>
    <row r="66" spans="1:7" x14ac:dyDescent="0.4">
      <c r="A66">
        <v>744</v>
      </c>
      <c r="B66" t="s">
        <v>759</v>
      </c>
      <c r="C66" t="s">
        <v>817</v>
      </c>
      <c r="D66" t="s">
        <v>766</v>
      </c>
      <c r="E66" t="s">
        <v>955</v>
      </c>
      <c r="F66" t="s">
        <v>956</v>
      </c>
      <c r="G66" t="s">
        <v>957</v>
      </c>
    </row>
    <row r="67" spans="1:7" x14ac:dyDescent="0.4">
      <c r="A67">
        <v>743</v>
      </c>
      <c r="B67" t="s">
        <v>759</v>
      </c>
      <c r="C67" t="s">
        <v>958</v>
      </c>
      <c r="D67" t="s">
        <v>766</v>
      </c>
      <c r="E67" t="s">
        <v>959</v>
      </c>
      <c r="F67" t="s">
        <v>960</v>
      </c>
      <c r="G67" t="s">
        <v>961</v>
      </c>
    </row>
    <row r="68" spans="1:7" x14ac:dyDescent="0.4">
      <c r="A68">
        <v>742</v>
      </c>
      <c r="B68" t="s">
        <v>759</v>
      </c>
      <c r="C68" t="s">
        <v>760</v>
      </c>
      <c r="D68" t="s">
        <v>761</v>
      </c>
      <c r="E68" t="s">
        <v>962</v>
      </c>
      <c r="F68" t="s">
        <v>963</v>
      </c>
      <c r="G68" t="s">
        <v>964</v>
      </c>
    </row>
    <row r="69" spans="1:7" x14ac:dyDescent="0.4">
      <c r="A69">
        <v>741</v>
      </c>
      <c r="B69" t="s">
        <v>759</v>
      </c>
      <c r="C69" t="s">
        <v>765</v>
      </c>
      <c r="D69" t="s">
        <v>761</v>
      </c>
      <c r="E69" t="s">
        <v>965</v>
      </c>
      <c r="F69" t="s">
        <v>963</v>
      </c>
      <c r="G69" t="s">
        <v>966</v>
      </c>
    </row>
    <row r="70" spans="1:7" x14ac:dyDescent="0.4">
      <c r="A70">
        <v>740</v>
      </c>
      <c r="B70" t="s">
        <v>759</v>
      </c>
      <c r="C70" t="s">
        <v>918</v>
      </c>
      <c r="D70" t="s">
        <v>766</v>
      </c>
      <c r="E70" t="s">
        <v>967</v>
      </c>
      <c r="F70" t="s">
        <v>968</v>
      </c>
      <c r="G70" t="s">
        <v>969</v>
      </c>
    </row>
    <row r="71" spans="1:7" x14ac:dyDescent="0.4">
      <c r="A71">
        <v>739</v>
      </c>
      <c r="B71" t="s">
        <v>759</v>
      </c>
      <c r="C71" t="s">
        <v>760</v>
      </c>
      <c r="D71" t="s">
        <v>766</v>
      </c>
      <c r="E71" t="s">
        <v>970</v>
      </c>
      <c r="F71" t="s">
        <v>971</v>
      </c>
      <c r="G71" t="s">
        <v>972</v>
      </c>
    </row>
    <row r="72" spans="1:7" x14ac:dyDescent="0.4">
      <c r="A72">
        <v>738</v>
      </c>
      <c r="B72" t="s">
        <v>759</v>
      </c>
      <c r="C72" t="s">
        <v>765</v>
      </c>
      <c r="D72" t="s">
        <v>766</v>
      </c>
      <c r="E72" t="s">
        <v>973</v>
      </c>
      <c r="F72" t="s">
        <v>974</v>
      </c>
      <c r="G72" t="s">
        <v>975</v>
      </c>
    </row>
    <row r="73" spans="1:7" x14ac:dyDescent="0.4">
      <c r="A73">
        <v>737</v>
      </c>
      <c r="B73" t="s">
        <v>759</v>
      </c>
      <c r="C73" t="s">
        <v>817</v>
      </c>
      <c r="D73" t="s">
        <v>766</v>
      </c>
      <c r="E73" t="s">
        <v>976</v>
      </c>
      <c r="F73" t="s">
        <v>977</v>
      </c>
      <c r="G73" t="s">
        <v>978</v>
      </c>
    </row>
    <row r="74" spans="1:7" x14ac:dyDescent="0.4">
      <c r="A74">
        <v>736</v>
      </c>
      <c r="B74" t="s">
        <v>759</v>
      </c>
      <c r="C74" t="s">
        <v>817</v>
      </c>
      <c r="D74" t="s">
        <v>766</v>
      </c>
      <c r="E74" t="s">
        <v>979</v>
      </c>
      <c r="F74" t="s">
        <v>980</v>
      </c>
      <c r="G74" t="s">
        <v>981</v>
      </c>
    </row>
    <row r="75" spans="1:7" x14ac:dyDescent="0.4">
      <c r="A75">
        <v>735</v>
      </c>
      <c r="B75" t="s">
        <v>759</v>
      </c>
      <c r="C75" t="s">
        <v>817</v>
      </c>
      <c r="D75" t="s">
        <v>766</v>
      </c>
      <c r="E75" t="s">
        <v>982</v>
      </c>
      <c r="F75" t="s">
        <v>983</v>
      </c>
      <c r="G75" t="s">
        <v>984</v>
      </c>
    </row>
    <row r="76" spans="1:7" x14ac:dyDescent="0.4">
      <c r="A76">
        <v>734</v>
      </c>
      <c r="B76" t="s">
        <v>759</v>
      </c>
      <c r="C76" t="s">
        <v>817</v>
      </c>
      <c r="D76" t="s">
        <v>766</v>
      </c>
      <c r="E76" t="s">
        <v>985</v>
      </c>
      <c r="F76" t="s">
        <v>986</v>
      </c>
      <c r="G76" t="s">
        <v>987</v>
      </c>
    </row>
    <row r="77" spans="1:7" x14ac:dyDescent="0.4">
      <c r="A77">
        <v>733</v>
      </c>
      <c r="B77" t="s">
        <v>759</v>
      </c>
      <c r="C77" t="s">
        <v>817</v>
      </c>
      <c r="D77" t="s">
        <v>766</v>
      </c>
      <c r="E77" t="s">
        <v>988</v>
      </c>
      <c r="F77" t="s">
        <v>989</v>
      </c>
      <c r="G77" t="s">
        <v>990</v>
      </c>
    </row>
    <row r="78" spans="1:7" x14ac:dyDescent="0.4">
      <c r="A78">
        <v>732</v>
      </c>
      <c r="B78" t="s">
        <v>759</v>
      </c>
      <c r="C78" t="s">
        <v>765</v>
      </c>
      <c r="D78" t="s">
        <v>766</v>
      </c>
      <c r="E78" t="s">
        <v>991</v>
      </c>
      <c r="F78" t="s">
        <v>992</v>
      </c>
      <c r="G78" t="s">
        <v>993</v>
      </c>
    </row>
    <row r="79" spans="1:7" x14ac:dyDescent="0.4">
      <c r="A79">
        <v>731</v>
      </c>
      <c r="B79" t="s">
        <v>759</v>
      </c>
      <c r="C79" t="s">
        <v>760</v>
      </c>
      <c r="D79" t="s">
        <v>761</v>
      </c>
      <c r="E79" t="s">
        <v>994</v>
      </c>
      <c r="F79" t="s">
        <v>995</v>
      </c>
      <c r="G79" t="s">
        <v>996</v>
      </c>
    </row>
    <row r="80" spans="1:7" x14ac:dyDescent="0.4">
      <c r="A80">
        <v>730</v>
      </c>
      <c r="B80" t="s">
        <v>759</v>
      </c>
      <c r="C80" t="s">
        <v>765</v>
      </c>
      <c r="D80" t="s">
        <v>761</v>
      </c>
      <c r="E80" t="s">
        <v>997</v>
      </c>
      <c r="F80" t="s">
        <v>995</v>
      </c>
      <c r="G80" t="s">
        <v>998</v>
      </c>
    </row>
    <row r="81" spans="1:7" x14ac:dyDescent="0.4">
      <c r="A81">
        <v>729</v>
      </c>
      <c r="B81" t="s">
        <v>759</v>
      </c>
      <c r="C81" t="s">
        <v>918</v>
      </c>
      <c r="D81" t="s">
        <v>766</v>
      </c>
      <c r="E81" t="s">
        <v>999</v>
      </c>
      <c r="F81" t="s">
        <v>1000</v>
      </c>
      <c r="G81" t="s">
        <v>1001</v>
      </c>
    </row>
    <row r="82" spans="1:7" x14ac:dyDescent="0.4">
      <c r="A82">
        <v>728</v>
      </c>
      <c r="B82" t="s">
        <v>759</v>
      </c>
      <c r="C82" t="s">
        <v>765</v>
      </c>
      <c r="D82" t="s">
        <v>766</v>
      </c>
      <c r="E82" t="s">
        <v>1002</v>
      </c>
      <c r="F82" t="s">
        <v>1003</v>
      </c>
      <c r="G82" t="s">
        <v>1004</v>
      </c>
    </row>
    <row r="83" spans="1:7" x14ac:dyDescent="0.4">
      <c r="A83">
        <v>727</v>
      </c>
      <c r="B83" t="s">
        <v>759</v>
      </c>
      <c r="C83" t="s">
        <v>817</v>
      </c>
      <c r="D83" t="s">
        <v>766</v>
      </c>
      <c r="E83" t="s">
        <v>1005</v>
      </c>
      <c r="F83" t="s">
        <v>1006</v>
      </c>
      <c r="G83" t="s">
        <v>1007</v>
      </c>
    </row>
    <row r="84" spans="1:7" x14ac:dyDescent="0.4">
      <c r="A84">
        <v>726</v>
      </c>
      <c r="B84" t="s">
        <v>759</v>
      </c>
      <c r="C84" t="s">
        <v>765</v>
      </c>
      <c r="D84" t="s">
        <v>766</v>
      </c>
      <c r="E84" t="s">
        <v>1008</v>
      </c>
      <c r="F84" t="s">
        <v>1009</v>
      </c>
      <c r="G84" t="s">
        <v>1010</v>
      </c>
    </row>
    <row r="85" spans="1:7" x14ac:dyDescent="0.4">
      <c r="A85">
        <v>725</v>
      </c>
      <c r="B85" t="s">
        <v>759</v>
      </c>
      <c r="C85" t="s">
        <v>817</v>
      </c>
      <c r="D85" t="s">
        <v>766</v>
      </c>
      <c r="E85" t="s">
        <v>1011</v>
      </c>
      <c r="F85" t="s">
        <v>1012</v>
      </c>
      <c r="G85" t="s">
        <v>1013</v>
      </c>
    </row>
    <row r="86" spans="1:7" x14ac:dyDescent="0.4">
      <c r="A86">
        <v>724</v>
      </c>
      <c r="B86" t="s">
        <v>759</v>
      </c>
      <c r="C86" t="s">
        <v>765</v>
      </c>
      <c r="D86" t="s">
        <v>766</v>
      </c>
      <c r="E86" t="s">
        <v>1014</v>
      </c>
      <c r="F86" t="s">
        <v>1015</v>
      </c>
      <c r="G86" t="s">
        <v>1016</v>
      </c>
    </row>
    <row r="87" spans="1:7" x14ac:dyDescent="0.4">
      <c r="A87">
        <v>723</v>
      </c>
      <c r="B87" t="s">
        <v>759</v>
      </c>
      <c r="C87" t="s">
        <v>817</v>
      </c>
      <c r="D87" t="s">
        <v>766</v>
      </c>
      <c r="E87" t="s">
        <v>1017</v>
      </c>
      <c r="F87" t="s">
        <v>1018</v>
      </c>
      <c r="G87" t="s">
        <v>1019</v>
      </c>
    </row>
    <row r="88" spans="1:7" x14ac:dyDescent="0.4">
      <c r="A88">
        <v>722</v>
      </c>
      <c r="B88" t="s">
        <v>759</v>
      </c>
      <c r="C88" t="s">
        <v>817</v>
      </c>
      <c r="D88" t="s">
        <v>766</v>
      </c>
      <c r="E88" t="s">
        <v>1020</v>
      </c>
      <c r="F88" t="s">
        <v>1021</v>
      </c>
      <c r="G88" t="s">
        <v>1022</v>
      </c>
    </row>
    <row r="89" spans="1:7" x14ac:dyDescent="0.4">
      <c r="A89">
        <v>721</v>
      </c>
      <c r="B89" t="s">
        <v>759</v>
      </c>
      <c r="C89" t="s">
        <v>760</v>
      </c>
      <c r="D89" t="s">
        <v>766</v>
      </c>
      <c r="E89" t="s">
        <v>1023</v>
      </c>
      <c r="F89" t="s">
        <v>1024</v>
      </c>
      <c r="G89" t="s">
        <v>1025</v>
      </c>
    </row>
    <row r="90" spans="1:7" x14ac:dyDescent="0.4">
      <c r="A90">
        <v>720</v>
      </c>
      <c r="B90" t="s">
        <v>759</v>
      </c>
      <c r="C90" t="s">
        <v>760</v>
      </c>
      <c r="D90" t="s">
        <v>761</v>
      </c>
      <c r="E90" t="s">
        <v>1026</v>
      </c>
      <c r="F90" t="s">
        <v>1027</v>
      </c>
      <c r="G90" t="s">
        <v>1028</v>
      </c>
    </row>
    <row r="91" spans="1:7" x14ac:dyDescent="0.4">
      <c r="A91">
        <v>719</v>
      </c>
      <c r="B91" t="s">
        <v>759</v>
      </c>
      <c r="C91" t="s">
        <v>765</v>
      </c>
      <c r="D91" t="s">
        <v>766</v>
      </c>
      <c r="E91" t="s">
        <v>1029</v>
      </c>
      <c r="F91" t="s">
        <v>1030</v>
      </c>
      <c r="G91" t="s">
        <v>1031</v>
      </c>
    </row>
    <row r="92" spans="1:7" x14ac:dyDescent="0.4">
      <c r="A92">
        <v>718</v>
      </c>
      <c r="B92" t="s">
        <v>759</v>
      </c>
      <c r="C92" t="s">
        <v>817</v>
      </c>
      <c r="D92" t="s">
        <v>766</v>
      </c>
      <c r="E92" t="s">
        <v>1032</v>
      </c>
      <c r="F92" t="s">
        <v>1033</v>
      </c>
      <c r="G92" t="s">
        <v>1034</v>
      </c>
    </row>
    <row r="93" spans="1:7" x14ac:dyDescent="0.4">
      <c r="A93">
        <v>717</v>
      </c>
      <c r="B93" t="s">
        <v>759</v>
      </c>
      <c r="C93" t="s">
        <v>765</v>
      </c>
      <c r="D93" t="s">
        <v>766</v>
      </c>
      <c r="E93" t="s">
        <v>1035</v>
      </c>
      <c r="F93" t="s">
        <v>1036</v>
      </c>
      <c r="G93" t="s">
        <v>1037</v>
      </c>
    </row>
    <row r="94" spans="1:7" x14ac:dyDescent="0.4">
      <c r="A94">
        <v>716</v>
      </c>
      <c r="B94" t="s">
        <v>759</v>
      </c>
      <c r="C94" t="s">
        <v>765</v>
      </c>
      <c r="D94" t="s">
        <v>766</v>
      </c>
      <c r="E94" t="s">
        <v>1038</v>
      </c>
      <c r="F94" t="s">
        <v>1039</v>
      </c>
      <c r="G94" t="s">
        <v>1040</v>
      </c>
    </row>
    <row r="95" spans="1:7" x14ac:dyDescent="0.4">
      <c r="A95">
        <v>715</v>
      </c>
      <c r="B95" t="s">
        <v>759</v>
      </c>
      <c r="C95" t="s">
        <v>817</v>
      </c>
      <c r="D95" t="s">
        <v>766</v>
      </c>
      <c r="E95" t="s">
        <v>1041</v>
      </c>
      <c r="F95" t="s">
        <v>1042</v>
      </c>
      <c r="G95" t="s">
        <v>1043</v>
      </c>
    </row>
    <row r="96" spans="1:7" x14ac:dyDescent="0.4">
      <c r="A96">
        <v>714</v>
      </c>
      <c r="B96" t="s">
        <v>759</v>
      </c>
      <c r="C96" t="s">
        <v>918</v>
      </c>
      <c r="D96" t="s">
        <v>766</v>
      </c>
      <c r="E96" t="s">
        <v>1044</v>
      </c>
      <c r="F96" t="s">
        <v>1045</v>
      </c>
      <c r="G96" t="s">
        <v>1046</v>
      </c>
    </row>
    <row r="97" spans="1:7" x14ac:dyDescent="0.4">
      <c r="A97">
        <v>713</v>
      </c>
      <c r="B97" t="s">
        <v>759</v>
      </c>
      <c r="C97" t="s">
        <v>817</v>
      </c>
      <c r="D97" t="s">
        <v>766</v>
      </c>
      <c r="E97" t="s">
        <v>1047</v>
      </c>
      <c r="F97" t="s">
        <v>1048</v>
      </c>
      <c r="G97" t="s">
        <v>1049</v>
      </c>
    </row>
    <row r="98" spans="1:7" x14ac:dyDescent="0.4">
      <c r="A98">
        <v>712</v>
      </c>
      <c r="B98" t="s">
        <v>759</v>
      </c>
      <c r="C98" t="s">
        <v>817</v>
      </c>
      <c r="D98" t="s">
        <v>766</v>
      </c>
      <c r="E98" t="s">
        <v>1050</v>
      </c>
      <c r="F98" t="s">
        <v>812</v>
      </c>
      <c r="G98" t="s">
        <v>1051</v>
      </c>
    </row>
    <row r="99" spans="1:7" x14ac:dyDescent="0.4">
      <c r="A99">
        <v>711</v>
      </c>
      <c r="B99" t="s">
        <v>759</v>
      </c>
      <c r="C99" t="s">
        <v>817</v>
      </c>
      <c r="D99" t="s">
        <v>766</v>
      </c>
      <c r="E99" t="s">
        <v>1052</v>
      </c>
      <c r="F99" t="s">
        <v>1053</v>
      </c>
      <c r="G99" t="s">
        <v>1054</v>
      </c>
    </row>
    <row r="100" spans="1:7" x14ac:dyDescent="0.4">
      <c r="A100">
        <v>710</v>
      </c>
      <c r="B100" t="s">
        <v>759</v>
      </c>
      <c r="C100" t="s">
        <v>765</v>
      </c>
      <c r="D100" t="s">
        <v>766</v>
      </c>
      <c r="E100" t="s">
        <v>1055</v>
      </c>
      <c r="F100" t="s">
        <v>1056</v>
      </c>
      <c r="G100" t="s">
        <v>1057</v>
      </c>
    </row>
    <row r="101" spans="1:7" x14ac:dyDescent="0.4">
      <c r="A101">
        <v>709</v>
      </c>
      <c r="B101" t="s">
        <v>759</v>
      </c>
      <c r="C101" t="s">
        <v>817</v>
      </c>
      <c r="D101" t="s">
        <v>766</v>
      </c>
      <c r="E101" t="s">
        <v>1058</v>
      </c>
      <c r="F101" t="s">
        <v>1059</v>
      </c>
      <c r="G101" t="s">
        <v>1060</v>
      </c>
    </row>
    <row r="102" spans="1:7" x14ac:dyDescent="0.4">
      <c r="A102">
        <v>708</v>
      </c>
      <c r="B102" t="s">
        <v>759</v>
      </c>
      <c r="C102" t="s">
        <v>817</v>
      </c>
      <c r="D102" t="s">
        <v>766</v>
      </c>
      <c r="E102" t="s">
        <v>1061</v>
      </c>
      <c r="F102" t="s">
        <v>1062</v>
      </c>
      <c r="G102" t="s">
        <v>1063</v>
      </c>
    </row>
    <row r="103" spans="1:7" x14ac:dyDescent="0.4">
      <c r="A103">
        <v>707</v>
      </c>
      <c r="B103" t="s">
        <v>759</v>
      </c>
      <c r="C103" t="s">
        <v>765</v>
      </c>
      <c r="D103" t="s">
        <v>766</v>
      </c>
      <c r="E103" t="s">
        <v>1064</v>
      </c>
      <c r="F103" t="s">
        <v>1065</v>
      </c>
      <c r="G103" t="s">
        <v>1066</v>
      </c>
    </row>
    <row r="104" spans="1:7" x14ac:dyDescent="0.4">
      <c r="A104">
        <v>706</v>
      </c>
      <c r="B104" t="s">
        <v>759</v>
      </c>
      <c r="C104" t="s">
        <v>817</v>
      </c>
      <c r="D104" t="s">
        <v>766</v>
      </c>
      <c r="E104" t="s">
        <v>1067</v>
      </c>
      <c r="F104" t="s">
        <v>1068</v>
      </c>
      <c r="G104" t="s">
        <v>1069</v>
      </c>
    </row>
    <row r="105" spans="1:7" x14ac:dyDescent="0.4">
      <c r="A105">
        <v>705</v>
      </c>
      <c r="B105" t="s">
        <v>759</v>
      </c>
      <c r="C105" t="s">
        <v>765</v>
      </c>
      <c r="D105" t="s">
        <v>766</v>
      </c>
      <c r="E105" t="s">
        <v>1070</v>
      </c>
      <c r="F105" t="s">
        <v>1071</v>
      </c>
      <c r="G105" t="s">
        <v>1072</v>
      </c>
    </row>
    <row r="106" spans="1:7" x14ac:dyDescent="0.4">
      <c r="A106">
        <v>704</v>
      </c>
      <c r="B106" t="s">
        <v>759</v>
      </c>
      <c r="C106" t="s">
        <v>817</v>
      </c>
      <c r="D106" t="s">
        <v>766</v>
      </c>
      <c r="E106" t="s">
        <v>1073</v>
      </c>
      <c r="F106" t="s">
        <v>1074</v>
      </c>
      <c r="G106" t="s">
        <v>1075</v>
      </c>
    </row>
    <row r="107" spans="1:7" x14ac:dyDescent="0.4">
      <c r="A107">
        <v>703</v>
      </c>
      <c r="B107" t="s">
        <v>759</v>
      </c>
      <c r="C107" t="s">
        <v>765</v>
      </c>
      <c r="D107" t="s">
        <v>766</v>
      </c>
      <c r="E107" t="s">
        <v>1076</v>
      </c>
      <c r="F107" t="s">
        <v>1077</v>
      </c>
      <c r="G107" t="s">
        <v>1078</v>
      </c>
    </row>
    <row r="108" spans="1:7" x14ac:dyDescent="0.4">
      <c r="A108">
        <v>702</v>
      </c>
      <c r="B108" t="s">
        <v>759</v>
      </c>
      <c r="C108" t="s">
        <v>765</v>
      </c>
      <c r="D108" t="s">
        <v>766</v>
      </c>
      <c r="E108" t="s">
        <v>1079</v>
      </c>
      <c r="F108" t="s">
        <v>1080</v>
      </c>
      <c r="G108" t="s">
        <v>1081</v>
      </c>
    </row>
    <row r="109" spans="1:7" x14ac:dyDescent="0.4">
      <c r="A109">
        <v>701</v>
      </c>
      <c r="B109" t="s">
        <v>759</v>
      </c>
      <c r="C109" t="s">
        <v>817</v>
      </c>
      <c r="D109" t="s">
        <v>766</v>
      </c>
      <c r="E109" t="s">
        <v>1082</v>
      </c>
      <c r="F109" t="s">
        <v>1083</v>
      </c>
      <c r="G109" t="s">
        <v>1084</v>
      </c>
    </row>
    <row r="110" spans="1:7" x14ac:dyDescent="0.4">
      <c r="A110">
        <v>700</v>
      </c>
      <c r="B110" t="s">
        <v>759</v>
      </c>
      <c r="C110" t="s">
        <v>817</v>
      </c>
      <c r="D110" t="s">
        <v>766</v>
      </c>
      <c r="E110" t="s">
        <v>1085</v>
      </c>
      <c r="F110" t="s">
        <v>1086</v>
      </c>
      <c r="G110" t="s">
        <v>1087</v>
      </c>
    </row>
    <row r="111" spans="1:7" x14ac:dyDescent="0.4">
      <c r="A111">
        <v>699</v>
      </c>
      <c r="B111" t="s">
        <v>759</v>
      </c>
      <c r="C111" t="s">
        <v>918</v>
      </c>
      <c r="D111" t="s">
        <v>766</v>
      </c>
      <c r="E111" t="s">
        <v>1088</v>
      </c>
      <c r="F111" t="s">
        <v>1089</v>
      </c>
      <c r="G111" t="s">
        <v>1090</v>
      </c>
    </row>
    <row r="112" spans="1:7" x14ac:dyDescent="0.4">
      <c r="A112">
        <v>698</v>
      </c>
      <c r="B112" t="s">
        <v>759</v>
      </c>
      <c r="C112" t="s">
        <v>958</v>
      </c>
      <c r="D112" t="s">
        <v>766</v>
      </c>
      <c r="E112" t="s">
        <v>1091</v>
      </c>
      <c r="F112" t="s">
        <v>1092</v>
      </c>
      <c r="G112" t="s">
        <v>1093</v>
      </c>
    </row>
    <row r="113" spans="1:7" x14ac:dyDescent="0.4">
      <c r="A113">
        <v>697</v>
      </c>
      <c r="B113" t="s">
        <v>759</v>
      </c>
      <c r="C113" t="s">
        <v>958</v>
      </c>
      <c r="D113" t="s">
        <v>766</v>
      </c>
      <c r="E113" t="s">
        <v>1094</v>
      </c>
      <c r="F113" t="s">
        <v>1095</v>
      </c>
      <c r="G113" t="s">
        <v>1096</v>
      </c>
    </row>
    <row r="114" spans="1:7" x14ac:dyDescent="0.4">
      <c r="A114">
        <v>696</v>
      </c>
      <c r="B114" t="s">
        <v>759</v>
      </c>
      <c r="C114" t="s">
        <v>817</v>
      </c>
      <c r="D114" t="s">
        <v>766</v>
      </c>
      <c r="E114" t="s">
        <v>1097</v>
      </c>
      <c r="F114" t="s">
        <v>1098</v>
      </c>
      <c r="G114" t="s">
        <v>1099</v>
      </c>
    </row>
    <row r="115" spans="1:7" x14ac:dyDescent="0.4">
      <c r="A115">
        <v>695</v>
      </c>
      <c r="B115" t="s">
        <v>759</v>
      </c>
      <c r="C115" t="s">
        <v>817</v>
      </c>
      <c r="D115" t="s">
        <v>766</v>
      </c>
      <c r="E115" t="s">
        <v>1100</v>
      </c>
      <c r="F115" t="s">
        <v>1101</v>
      </c>
      <c r="G115" t="s">
        <v>1102</v>
      </c>
    </row>
    <row r="116" spans="1:7" x14ac:dyDescent="0.4">
      <c r="A116">
        <v>694</v>
      </c>
      <c r="B116" t="s">
        <v>759</v>
      </c>
      <c r="C116" t="s">
        <v>817</v>
      </c>
      <c r="D116" t="s">
        <v>766</v>
      </c>
      <c r="E116" t="s">
        <v>1103</v>
      </c>
      <c r="F116" t="s">
        <v>1104</v>
      </c>
      <c r="G116" t="s">
        <v>1105</v>
      </c>
    </row>
    <row r="117" spans="1:7" x14ac:dyDescent="0.4">
      <c r="A117">
        <v>693</v>
      </c>
      <c r="B117" t="s">
        <v>759</v>
      </c>
      <c r="C117" t="s">
        <v>817</v>
      </c>
      <c r="D117" t="s">
        <v>766</v>
      </c>
      <c r="E117" t="s">
        <v>1106</v>
      </c>
      <c r="F117" t="s">
        <v>1107</v>
      </c>
      <c r="G117" t="s">
        <v>1108</v>
      </c>
    </row>
    <row r="118" spans="1:7" x14ac:dyDescent="0.4">
      <c r="A118">
        <v>692</v>
      </c>
      <c r="B118" t="s">
        <v>759</v>
      </c>
      <c r="C118" t="s">
        <v>817</v>
      </c>
      <c r="D118" t="s">
        <v>766</v>
      </c>
      <c r="E118" t="s">
        <v>1109</v>
      </c>
      <c r="F118" t="s">
        <v>1110</v>
      </c>
      <c r="G118" t="s">
        <v>1111</v>
      </c>
    </row>
    <row r="119" spans="1:7" x14ac:dyDescent="0.4">
      <c r="A119">
        <v>691</v>
      </c>
      <c r="B119" t="s">
        <v>759</v>
      </c>
      <c r="C119" t="s">
        <v>817</v>
      </c>
      <c r="D119" t="s">
        <v>766</v>
      </c>
      <c r="E119" t="s">
        <v>1112</v>
      </c>
      <c r="F119" t="s">
        <v>1113</v>
      </c>
      <c r="G119" t="s">
        <v>1114</v>
      </c>
    </row>
    <row r="120" spans="1:7" x14ac:dyDescent="0.4">
      <c r="A120">
        <v>690</v>
      </c>
      <c r="B120" t="s">
        <v>759</v>
      </c>
      <c r="C120" t="s">
        <v>760</v>
      </c>
      <c r="D120" t="s">
        <v>766</v>
      </c>
      <c r="E120" t="s">
        <v>1115</v>
      </c>
      <c r="F120" t="s">
        <v>1116</v>
      </c>
      <c r="G120" t="s">
        <v>1117</v>
      </c>
    </row>
    <row r="121" spans="1:7" x14ac:dyDescent="0.4">
      <c r="A121">
        <v>689</v>
      </c>
      <c r="B121" t="s">
        <v>759</v>
      </c>
      <c r="C121" t="s">
        <v>817</v>
      </c>
      <c r="D121" t="s">
        <v>766</v>
      </c>
      <c r="E121" t="s">
        <v>1118</v>
      </c>
      <c r="F121" t="s">
        <v>1119</v>
      </c>
      <c r="G121" t="s">
        <v>1120</v>
      </c>
    </row>
    <row r="123" spans="1:7" x14ac:dyDescent="0.4">
      <c r="A123" s="4" t="s">
        <v>1121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67F6-BC11-4A92-855B-7C11E5BE60D8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749</v>
      </c>
    </row>
    <row r="3" spans="1:8" x14ac:dyDescent="0.4">
      <c r="B3" s="74" t="s">
        <v>750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751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752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753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754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755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70B20-6895-4AA6-9226-2CFF64138F8F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738</v>
      </c>
    </row>
    <row r="2" spans="1:11" x14ac:dyDescent="0.4">
      <c r="K2" s="35" t="s">
        <v>324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327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697</v>
      </c>
      <c r="C7" s="63" t="s">
        <v>60</v>
      </c>
      <c r="D7" s="63" t="s">
        <v>739</v>
      </c>
      <c r="E7" s="63" t="s">
        <v>740</v>
      </c>
      <c r="F7" s="63" t="s">
        <v>741</v>
      </c>
      <c r="G7" s="63" t="s">
        <v>742</v>
      </c>
      <c r="H7" s="63" t="s">
        <v>743</v>
      </c>
      <c r="I7" s="63" t="s">
        <v>744</v>
      </c>
      <c r="J7" s="60" t="s">
        <v>302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745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746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747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748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FA1C-EE56-4220-9F03-37D1F5D8F359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729</v>
      </c>
    </row>
    <row r="3" spans="1:9" x14ac:dyDescent="0.4">
      <c r="B3" s="77" t="s">
        <v>730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731</v>
      </c>
      <c r="C7" s="82"/>
      <c r="D7" s="82"/>
      <c r="E7" s="82" t="s">
        <v>732</v>
      </c>
      <c r="F7" s="82"/>
      <c r="G7" s="82"/>
      <c r="H7" s="82" t="s">
        <v>733</v>
      </c>
      <c r="I7" s="82" t="s">
        <v>302</v>
      </c>
    </row>
    <row r="8" spans="1:9" ht="30" customHeight="1" x14ac:dyDescent="0.4">
      <c r="B8" s="63" t="s">
        <v>60</v>
      </c>
      <c r="C8" s="63" t="s">
        <v>368</v>
      </c>
      <c r="D8" s="63" t="s">
        <v>420</v>
      </c>
      <c r="E8" s="63" t="s">
        <v>606</v>
      </c>
      <c r="F8" s="63" t="s">
        <v>698</v>
      </c>
      <c r="G8" s="63" t="s">
        <v>696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734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735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736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737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9B196-EF01-48F9-A0C9-F5D4DE40D26A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723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724</v>
      </c>
      <c r="C7" s="83"/>
      <c r="D7" s="83"/>
      <c r="E7" s="83"/>
      <c r="F7" s="83"/>
      <c r="G7" s="83"/>
      <c r="H7" s="83"/>
    </row>
    <row r="8" spans="1:8" x14ac:dyDescent="0.4">
      <c r="B8" s="21" t="s">
        <v>725</v>
      </c>
      <c r="C8" s="83" t="s">
        <v>726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727</v>
      </c>
      <c r="C10" s="83"/>
      <c r="D10" s="83"/>
      <c r="E10" s="83"/>
      <c r="F10" s="83"/>
      <c r="G10" s="83"/>
      <c r="H10" s="83"/>
    </row>
    <row r="11" spans="1:8" x14ac:dyDescent="0.4">
      <c r="B11" s="24" t="s">
        <v>506</v>
      </c>
      <c r="C11" s="24" t="s">
        <v>606</v>
      </c>
      <c r="D11" s="24" t="s">
        <v>508</v>
      </c>
      <c r="E11" s="24" t="s">
        <v>728</v>
      </c>
      <c r="F11" s="24" t="s">
        <v>302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03EA-F61C-4F22-8B25-83911A4EFD59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715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90"/>
    </row>
    <row r="8" spans="1:8" x14ac:dyDescent="0.4">
      <c r="B8" s="53" t="s">
        <v>283</v>
      </c>
      <c r="C8" s="89"/>
      <c r="D8" s="89"/>
      <c r="E8" s="89"/>
      <c r="F8" s="89"/>
      <c r="G8" s="89"/>
      <c r="H8" s="90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716</v>
      </c>
      <c r="D17" s="85"/>
      <c r="E17" s="85"/>
      <c r="F17" s="85" t="s">
        <v>719</v>
      </c>
      <c r="G17" s="85" t="s">
        <v>720</v>
      </c>
    </row>
    <row r="18" spans="2:7" x14ac:dyDescent="0.4">
      <c r="B18" s="85"/>
      <c r="C18" s="60" t="s">
        <v>717</v>
      </c>
      <c r="D18" s="60" t="s">
        <v>718</v>
      </c>
      <c r="E18" s="60" t="s">
        <v>281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721</v>
      </c>
      <c r="C29" s="76"/>
      <c r="D29" s="76"/>
      <c r="E29" s="76"/>
      <c r="F29" s="76"/>
      <c r="G29" s="76"/>
    </row>
    <row r="30" spans="2:7" x14ac:dyDescent="0.4">
      <c r="B30" s="86" t="s">
        <v>722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279</v>
      </c>
      <c r="G37" s="52" t="s">
        <v>280</v>
      </c>
    </row>
    <row r="38" spans="2:7" x14ac:dyDescent="0.4">
      <c r="B38" s="52" t="s">
        <v>291</v>
      </c>
      <c r="C38" s="76" t="str">
        <f>IF(기초자료입력!C9&lt;&gt;"",기초자료입력!C9,"")</f>
        <v/>
      </c>
      <c r="D38" s="76"/>
      <c r="E38" s="76"/>
      <c r="F38" s="52" t="s">
        <v>292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C9A7-8BB0-4923-8900-1F422EDAC7BF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708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709</v>
      </c>
      <c r="C16" s="76"/>
      <c r="D16" s="76"/>
      <c r="E16" s="76"/>
      <c r="F16" s="76"/>
      <c r="G16" s="76"/>
      <c r="H16" s="76"/>
    </row>
    <row r="17" spans="2:8" x14ac:dyDescent="0.4">
      <c r="B17" s="85" t="s">
        <v>506</v>
      </c>
      <c r="C17" s="85" t="s">
        <v>60</v>
      </c>
      <c r="D17" s="85" t="s">
        <v>315</v>
      </c>
      <c r="E17" s="85"/>
      <c r="F17" s="85"/>
      <c r="G17" s="85"/>
      <c r="H17" s="85"/>
    </row>
    <row r="18" spans="2:8" x14ac:dyDescent="0.4">
      <c r="B18" s="85"/>
      <c r="C18" s="85"/>
      <c r="D18" s="60" t="s">
        <v>710</v>
      </c>
      <c r="E18" s="60" t="s">
        <v>711</v>
      </c>
      <c r="F18" s="60" t="s">
        <v>712</v>
      </c>
      <c r="G18" s="60" t="s">
        <v>713</v>
      </c>
      <c r="H18" s="60" t="s">
        <v>281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714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279</v>
      </c>
      <c r="G33" s="53" t="s">
        <v>290</v>
      </c>
      <c r="H33" s="53" t="s">
        <v>280</v>
      </c>
    </row>
    <row r="34" spans="2:8" x14ac:dyDescent="0.4">
      <c r="B34" s="52" t="s">
        <v>291</v>
      </c>
      <c r="C34" s="76" t="str">
        <f>IF(기초자료입력!C9&lt;&gt;"",기초자료입력!C9,"")</f>
        <v/>
      </c>
      <c r="D34" s="76"/>
      <c r="E34" s="76"/>
      <c r="F34" s="53" t="s">
        <v>292</v>
      </c>
      <c r="G34" s="89"/>
      <c r="H34" s="89"/>
    </row>
    <row r="35" spans="2:8" x14ac:dyDescent="0.4">
      <c r="B35" s="52" t="s">
        <v>293</v>
      </c>
      <c r="C35" s="37"/>
      <c r="D35" s="52" t="s">
        <v>294</v>
      </c>
      <c r="E35" s="76"/>
      <c r="F35" s="89"/>
      <c r="G35" s="89"/>
      <c r="H35" s="89"/>
    </row>
    <row r="36" spans="2:8" x14ac:dyDescent="0.4">
      <c r="B36" s="52" t="s">
        <v>295</v>
      </c>
      <c r="C36" s="37"/>
      <c r="D36" s="52" t="s">
        <v>296</v>
      </c>
      <c r="E36" s="37"/>
      <c r="F36" s="53" t="s">
        <v>297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1750-8398-4073-9D5D-0A23C09930E7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703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704</v>
      </c>
      <c r="C16" s="92"/>
      <c r="D16" s="76"/>
      <c r="E16" s="76"/>
      <c r="F16" s="76"/>
      <c r="G16" s="76"/>
      <c r="H16" s="76"/>
    </row>
    <row r="17" spans="2:8" x14ac:dyDescent="0.4">
      <c r="B17" s="52" t="s">
        <v>705</v>
      </c>
      <c r="C17" s="92"/>
      <c r="D17" s="76"/>
      <c r="E17" s="76"/>
      <c r="F17" s="76"/>
      <c r="G17" s="76"/>
      <c r="H17" s="76"/>
    </row>
    <row r="18" spans="2:8" x14ac:dyDescent="0.4">
      <c r="B18" s="52" t="s">
        <v>706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506</v>
      </c>
      <c r="C20" s="60" t="s">
        <v>313</v>
      </c>
      <c r="D20" s="60" t="s">
        <v>508</v>
      </c>
      <c r="E20" s="60" t="s">
        <v>302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707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279</v>
      </c>
      <c r="G35" s="53" t="s">
        <v>290</v>
      </c>
      <c r="H35" s="53" t="s">
        <v>280</v>
      </c>
    </row>
    <row r="36" spans="2:8" x14ac:dyDescent="0.4">
      <c r="B36" s="52" t="s">
        <v>291</v>
      </c>
      <c r="C36" s="76" t="str">
        <f>IF(기초자료입력!C9&lt;&gt;"",기초자료입력!C9,"")</f>
        <v/>
      </c>
      <c r="D36" s="76"/>
      <c r="E36" s="76"/>
      <c r="F36" s="53" t="s">
        <v>292</v>
      </c>
      <c r="G36" s="89"/>
      <c r="H36" s="89"/>
    </row>
    <row r="37" spans="2:8" x14ac:dyDescent="0.4">
      <c r="B37" s="52" t="s">
        <v>293</v>
      </c>
      <c r="C37" s="37"/>
      <c r="D37" s="52" t="s">
        <v>294</v>
      </c>
      <c r="E37" s="76"/>
      <c r="F37" s="89"/>
      <c r="G37" s="89"/>
      <c r="H37" s="89"/>
    </row>
    <row r="38" spans="2:8" x14ac:dyDescent="0.4">
      <c r="B38" s="52" t="s">
        <v>295</v>
      </c>
      <c r="C38" s="37"/>
      <c r="D38" s="52" t="s">
        <v>296</v>
      </c>
      <c r="E38" s="37"/>
      <c r="F38" s="53" t="s">
        <v>297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8D828-77C3-4587-B63F-CFB1A10688B6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690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691</v>
      </c>
      <c r="C6" s="82" t="s">
        <v>692</v>
      </c>
      <c r="D6" s="82" t="s">
        <v>693</v>
      </c>
      <c r="E6" s="82"/>
      <c r="F6" s="82"/>
      <c r="G6" s="82" t="s">
        <v>694</v>
      </c>
      <c r="H6" s="82"/>
      <c r="I6" s="82"/>
      <c r="J6" s="82" t="s">
        <v>695</v>
      </c>
      <c r="K6" s="82"/>
      <c r="L6" s="82" t="s">
        <v>302</v>
      </c>
    </row>
    <row r="7" spans="1:17" ht="30" customHeight="1" x14ac:dyDescent="0.4">
      <c r="B7" s="82"/>
      <c r="C7" s="82"/>
      <c r="D7" s="63" t="s">
        <v>60</v>
      </c>
      <c r="E7" s="63" t="s">
        <v>368</v>
      </c>
      <c r="F7" s="63" t="s">
        <v>295</v>
      </c>
      <c r="G7" s="63" t="s">
        <v>696</v>
      </c>
      <c r="H7" s="63" t="s">
        <v>697</v>
      </c>
      <c r="I7" s="63" t="s">
        <v>606</v>
      </c>
      <c r="J7" s="63" t="s">
        <v>698</v>
      </c>
      <c r="K7" s="63" t="s">
        <v>696</v>
      </c>
      <c r="L7" s="82"/>
      <c r="M7" t="s">
        <v>295</v>
      </c>
      <c r="N7" s="27" t="s">
        <v>696</v>
      </c>
      <c r="O7" t="s">
        <v>697</v>
      </c>
      <c r="P7" t="s">
        <v>699</v>
      </c>
      <c r="Q7" t="s">
        <v>700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701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702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C3EE0-AECF-41FC-B9A7-65DDE5185800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685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686</v>
      </c>
      <c r="C16" s="76"/>
      <c r="D16" s="76"/>
      <c r="E16" s="76"/>
      <c r="F16" s="76"/>
      <c r="G16" s="76"/>
      <c r="H16" s="76"/>
    </row>
    <row r="17" spans="2:8" x14ac:dyDescent="0.4">
      <c r="B17" s="85" t="s">
        <v>687</v>
      </c>
      <c r="C17" s="85" t="s">
        <v>688</v>
      </c>
      <c r="D17" s="85" t="s">
        <v>689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368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279</v>
      </c>
      <c r="G33" s="53" t="s">
        <v>290</v>
      </c>
      <c r="H33" s="53" t="s">
        <v>280</v>
      </c>
    </row>
    <row r="34" spans="2:8" x14ac:dyDescent="0.4">
      <c r="B34" s="52" t="s">
        <v>291</v>
      </c>
      <c r="C34" s="76" t="str">
        <f>IF(기초자료입력!C9&lt;&gt;"",기초자료입력!C9,"")</f>
        <v/>
      </c>
      <c r="D34" s="76"/>
      <c r="E34" s="76"/>
      <c r="F34" s="53" t="s">
        <v>292</v>
      </c>
      <c r="G34" s="89"/>
      <c r="H34" s="89"/>
    </row>
    <row r="35" spans="2:8" x14ac:dyDescent="0.4">
      <c r="B35" s="52" t="s">
        <v>293</v>
      </c>
      <c r="C35" s="37"/>
      <c r="D35" s="52" t="s">
        <v>294</v>
      </c>
      <c r="E35" s="76"/>
      <c r="F35" s="89"/>
      <c r="G35" s="89"/>
      <c r="H35" s="89"/>
    </row>
    <row r="36" spans="2:8" x14ac:dyDescent="0.4">
      <c r="B36" s="52" t="s">
        <v>295</v>
      </c>
      <c r="C36" s="37"/>
      <c r="D36" s="52" t="s">
        <v>296</v>
      </c>
      <c r="E36" s="37"/>
      <c r="F36" s="53" t="s">
        <v>297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827E-1675-400B-9C20-CA4DF7227E08}">
  <sheetPr codeName="Sheet14"/>
  <dimension ref="A1:I4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9" width="9.69921875" customWidth="1"/>
  </cols>
  <sheetData>
    <row r="1" spans="1:9" x14ac:dyDescent="0.4">
      <c r="A1" s="20" t="s">
        <v>666</v>
      </c>
    </row>
    <row r="3" spans="1:9" x14ac:dyDescent="0.4">
      <c r="B3" s="74" t="str">
        <f>IF(기초자료입력!C4&lt;&gt;"",기초자료입력!C4,"○○학교")&amp;" 교복 구매 안내문"</f>
        <v>○○학교 교복 구매 안내문</v>
      </c>
      <c r="C3" s="73"/>
      <c r="D3" s="73"/>
      <c r="E3" s="73"/>
      <c r="F3" s="73"/>
      <c r="G3" s="73"/>
      <c r="H3" s="73"/>
      <c r="I3" s="21"/>
    </row>
    <row r="4" spans="1:9" x14ac:dyDescent="0.4">
      <c r="B4" s="73"/>
      <c r="C4" s="73"/>
      <c r="D4" s="73"/>
      <c r="E4" s="73"/>
      <c r="F4" s="73"/>
      <c r="G4" s="73"/>
      <c r="H4" s="73"/>
      <c r="I4" s="21"/>
    </row>
    <row r="5" spans="1:9" x14ac:dyDescent="0.4">
      <c r="B5" s="21"/>
      <c r="C5" s="21"/>
      <c r="D5" s="21"/>
      <c r="E5" s="21"/>
      <c r="F5" s="21"/>
      <c r="G5" s="21"/>
      <c r="H5" s="21"/>
      <c r="I5" s="21"/>
    </row>
    <row r="6" spans="1:9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  <c r="I6" s="21"/>
    </row>
    <row r="7" spans="1:9" x14ac:dyDescent="0.4">
      <c r="B7" s="21"/>
      <c r="C7" s="21"/>
      <c r="D7" s="21"/>
      <c r="E7" s="21"/>
      <c r="F7" s="21"/>
      <c r="G7" s="21"/>
      <c r="H7" s="21"/>
      <c r="I7" s="21"/>
    </row>
    <row r="8" spans="1:9" ht="30" customHeight="1" x14ac:dyDescent="0.4">
      <c r="B8" s="72" t="s">
        <v>667</v>
      </c>
      <c r="C8" s="72"/>
      <c r="D8" s="72"/>
      <c r="E8" s="72"/>
      <c r="F8" s="72"/>
      <c r="G8" s="72"/>
      <c r="H8" s="72"/>
      <c r="I8" s="21"/>
    </row>
    <row r="9" spans="1:9" x14ac:dyDescent="0.4">
      <c r="B9" s="72"/>
      <c r="C9" s="72"/>
      <c r="D9" s="72"/>
      <c r="E9" s="72"/>
      <c r="F9" s="72"/>
      <c r="G9" s="72"/>
      <c r="H9" s="72"/>
      <c r="I9" s="21"/>
    </row>
    <row r="10" spans="1:9" x14ac:dyDescent="0.4">
      <c r="B10" s="21"/>
      <c r="C10" s="21"/>
      <c r="D10" s="21"/>
      <c r="E10" s="21"/>
      <c r="F10" s="21"/>
      <c r="G10" s="21"/>
      <c r="H10" s="21"/>
      <c r="I10" s="21"/>
    </row>
    <row r="11" spans="1:9" ht="60" customHeight="1" x14ac:dyDescent="0.4">
      <c r="B11" s="72" t="str">
        <f>"우리 학교에서는 "&amp;IF(기초자료입력!C5&lt;&gt;"",기초자료입력!C5,"20○○")&amp;"년 ○월 ○일부터 교복을 착용하며, ○○○(연락처: ○○○-○○○-○○○)을 "&amp;IF(기초자료입력!C5&lt;&gt;"",기초자료입력!C5,"20○○")&amp;"학년도 신입생 교복 사업자로 선정하였고 치수측정기간은 ○월 ○일 ~ ○월 ○일이며 「교복 학교주관구매」로 구입하는 교복의 단가는 000,000원(동복 000원, 하복 000원)입니다."</f>
        <v>우리 학교에서는 20○○년 ○월 ○일부터 교복을 착용하며, ○○○(연락처: ○○○-○○○-○○○)을 20○○학년도 신입생 교복 사업자로 선정하였고 치수측정기간은 ○월 ○일 ~ ○월 ○일이며 「교복 학교주관구매」로 구입하는 교복의 단가는 000,000원(동복 000원, 하복 000원)입니다.</v>
      </c>
      <c r="C11" s="72"/>
      <c r="D11" s="72"/>
      <c r="E11" s="72"/>
      <c r="F11" s="72"/>
      <c r="G11" s="72"/>
      <c r="H11" s="72"/>
      <c r="I11" s="21"/>
    </row>
    <row r="12" spans="1:9" x14ac:dyDescent="0.4">
      <c r="B12" s="72"/>
      <c r="C12" s="72"/>
      <c r="D12" s="72"/>
      <c r="E12" s="72"/>
      <c r="F12" s="72"/>
      <c r="G12" s="72"/>
      <c r="H12" s="72"/>
      <c r="I12" s="21"/>
    </row>
    <row r="13" spans="1:9" x14ac:dyDescent="0.4">
      <c r="B13" s="21"/>
      <c r="C13" s="21"/>
      <c r="D13" s="21"/>
      <c r="E13" s="21"/>
      <c r="F13" s="21"/>
      <c r="G13" s="21"/>
      <c r="H13" s="21"/>
      <c r="I13" s="21"/>
    </row>
    <row r="14" spans="1:9" ht="30" customHeight="1" x14ac:dyDescent="0.4">
      <c r="B14" s="72" t="s">
        <v>668</v>
      </c>
      <c r="C14" s="72"/>
      <c r="D14" s="72"/>
      <c r="E14" s="72"/>
      <c r="F14" s="72"/>
      <c r="G14" s="72"/>
      <c r="H14" s="72"/>
      <c r="I14" s="21"/>
    </row>
    <row r="15" spans="1:9" x14ac:dyDescent="0.4">
      <c r="B15" s="72"/>
      <c r="C15" s="72"/>
      <c r="D15" s="72"/>
      <c r="E15" s="72"/>
      <c r="F15" s="72"/>
      <c r="G15" s="72"/>
      <c r="H15" s="72"/>
      <c r="I15" s="21"/>
    </row>
    <row r="16" spans="1:9" x14ac:dyDescent="0.4">
      <c r="B16" s="21"/>
      <c r="C16" s="21"/>
      <c r="D16" s="21"/>
      <c r="E16" s="21"/>
      <c r="F16" s="21"/>
      <c r="G16" s="21"/>
      <c r="H16" s="21"/>
      <c r="I16" s="21"/>
    </row>
    <row r="17" spans="2:9" ht="30" customHeight="1" x14ac:dyDescent="0.4">
      <c r="B17" s="72" t="str">
        <f>"정확한 교복 물량 파악을 위하여 신입생들은 아래의 &lt;교복 구매 신청서&gt;와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  <c r="I17" s="21"/>
    </row>
    <row r="18" spans="2:9" x14ac:dyDescent="0.4">
      <c r="B18" s="72"/>
      <c r="C18" s="72"/>
      <c r="D18" s="72"/>
      <c r="E18" s="72"/>
      <c r="F18" s="72"/>
      <c r="G18" s="72"/>
      <c r="H18" s="72"/>
      <c r="I18" s="21"/>
    </row>
    <row r="19" spans="2:9" x14ac:dyDescent="0.4">
      <c r="B19" s="21"/>
      <c r="C19" s="21"/>
      <c r="D19" s="21"/>
      <c r="E19" s="21"/>
      <c r="F19" s="21"/>
      <c r="G19" s="21"/>
      <c r="H19" s="21"/>
      <c r="I19" s="21"/>
    </row>
    <row r="20" spans="2:9" ht="30" customHeight="1" x14ac:dyDescent="0.4">
      <c r="B20" s="72" t="s">
        <v>669</v>
      </c>
      <c r="C20" s="72"/>
      <c r="D20" s="72"/>
      <c r="E20" s="72"/>
      <c r="F20" s="72"/>
      <c r="G20" s="72"/>
      <c r="H20" s="72"/>
      <c r="I20" s="21"/>
    </row>
    <row r="21" spans="2:9" x14ac:dyDescent="0.4">
      <c r="B21" s="72"/>
      <c r="C21" s="72"/>
      <c r="D21" s="72"/>
      <c r="E21" s="72"/>
      <c r="F21" s="72"/>
      <c r="G21" s="72"/>
      <c r="H21" s="72"/>
      <c r="I21" s="21"/>
    </row>
    <row r="22" spans="2:9" x14ac:dyDescent="0.4">
      <c r="B22" s="21"/>
      <c r="C22" s="21"/>
      <c r="D22" s="21"/>
      <c r="E22" s="21"/>
      <c r="F22" s="21"/>
      <c r="G22" s="21"/>
      <c r="H22" s="21"/>
      <c r="I22" s="21"/>
    </row>
    <row r="23" spans="2:9" x14ac:dyDescent="0.4">
      <c r="B23" s="73" t="str">
        <f>IF(기초자료입력!C8&lt;&gt;"",TEXT(기초자료입력!C8,"yyyy. m. d."),"년  월  일")</f>
        <v>년  월  일</v>
      </c>
      <c r="C23" s="73"/>
      <c r="D23" s="73"/>
      <c r="E23" s="73"/>
      <c r="F23" s="73"/>
      <c r="G23" s="73"/>
      <c r="H23" s="73"/>
      <c r="I23" s="21"/>
    </row>
    <row r="24" spans="2:9" x14ac:dyDescent="0.4">
      <c r="B24" s="74" t="str">
        <f>IF(기초자료입력!C4&lt;&gt;"",기초자료입력!C4&amp;"장","○○학교장")</f>
        <v>○○학교장</v>
      </c>
      <c r="C24" s="73"/>
      <c r="D24" s="73"/>
      <c r="E24" s="73"/>
      <c r="F24" s="73"/>
      <c r="G24" s="73"/>
      <c r="H24" s="73"/>
      <c r="I24" s="21"/>
    </row>
    <row r="25" spans="2:9" x14ac:dyDescent="0.4">
      <c r="B25" s="21"/>
      <c r="C25" s="21"/>
      <c r="D25" s="21"/>
      <c r="E25" s="21"/>
      <c r="F25" s="21"/>
      <c r="G25" s="21"/>
      <c r="H25" s="21"/>
      <c r="I25" s="21"/>
    </row>
    <row r="26" spans="2:9" x14ac:dyDescent="0.4">
      <c r="B26" s="73" t="s">
        <v>670</v>
      </c>
      <c r="C26" s="73"/>
      <c r="D26" s="73"/>
      <c r="E26" s="73"/>
      <c r="F26" s="73"/>
      <c r="G26" s="73"/>
      <c r="H26" s="73"/>
      <c r="I26" s="21"/>
    </row>
    <row r="27" spans="2:9" x14ac:dyDescent="0.4">
      <c r="B27" s="21"/>
      <c r="C27" s="21"/>
      <c r="D27" s="21"/>
      <c r="E27" s="21"/>
      <c r="F27" s="21"/>
      <c r="G27" s="21"/>
      <c r="H27" s="21"/>
      <c r="I27" s="21"/>
    </row>
    <row r="28" spans="2:9" x14ac:dyDescent="0.4">
      <c r="B28" s="74" t="str">
        <f>"&lt; "&amp;IF(기초자료입력!C5&lt;&gt;"",기초자료입력!C5,"20○○")&amp;"학년도 신입생 교복 구매 신청서 &gt;"</f>
        <v>&lt; 20○○학년도 신입생 교복 구매 신청서 &gt;</v>
      </c>
      <c r="C28" s="73"/>
      <c r="D28" s="73"/>
      <c r="E28" s="73"/>
      <c r="F28" s="73"/>
      <c r="G28" s="73"/>
      <c r="H28" s="73"/>
      <c r="I28" s="21"/>
    </row>
    <row r="29" spans="2:9" x14ac:dyDescent="0.4">
      <c r="B29" s="73" t="s">
        <v>671</v>
      </c>
      <c r="C29" s="73"/>
      <c r="D29" s="73"/>
      <c r="E29" s="73"/>
      <c r="F29" s="73"/>
      <c r="G29" s="73"/>
      <c r="H29" s="73"/>
      <c r="I29" s="21"/>
    </row>
    <row r="30" spans="2:9" x14ac:dyDescent="0.4">
      <c r="B30" s="83" t="s">
        <v>672</v>
      </c>
      <c r="C30" s="83"/>
      <c r="D30" s="83"/>
      <c r="E30" s="83"/>
      <c r="F30" s="83"/>
      <c r="G30" s="83"/>
      <c r="H30" s="83"/>
      <c r="I30" s="21"/>
    </row>
    <row r="31" spans="2:9" x14ac:dyDescent="0.4">
      <c r="B31" s="83" t="s">
        <v>673</v>
      </c>
      <c r="C31" s="83"/>
      <c r="D31" s="83"/>
      <c r="E31" s="83"/>
      <c r="F31" s="83"/>
      <c r="G31" s="83"/>
      <c r="H31" s="83"/>
      <c r="I31" s="21"/>
    </row>
    <row r="32" spans="2:9" x14ac:dyDescent="0.4">
      <c r="B32" s="21"/>
      <c r="C32" s="21"/>
      <c r="D32" s="21"/>
      <c r="E32" s="21"/>
      <c r="F32" s="21"/>
      <c r="G32" s="21"/>
      <c r="H32" s="21"/>
      <c r="I32" s="21"/>
    </row>
    <row r="33" spans="2:9" x14ac:dyDescent="0.4">
      <c r="B33" s="81" t="s">
        <v>674</v>
      </c>
      <c r="C33" s="83"/>
      <c r="D33" s="83"/>
      <c r="E33" s="83"/>
      <c r="F33" s="83"/>
      <c r="G33" s="83"/>
      <c r="H33" s="83"/>
      <c r="I33" s="21"/>
    </row>
    <row r="34" spans="2:9" x14ac:dyDescent="0.4">
      <c r="B34" s="83" t="s">
        <v>675</v>
      </c>
      <c r="C34" s="83"/>
      <c r="D34" s="83"/>
      <c r="E34" s="83"/>
      <c r="F34" s="83"/>
      <c r="G34" s="83"/>
      <c r="H34" s="83"/>
      <c r="I34" s="21"/>
    </row>
    <row r="35" spans="2:9" x14ac:dyDescent="0.4">
      <c r="B35" s="60" t="s">
        <v>676</v>
      </c>
      <c r="C35" s="60" t="s">
        <v>56</v>
      </c>
      <c r="D35" s="60" t="s">
        <v>677</v>
      </c>
      <c r="E35" s="60" t="s">
        <v>678</v>
      </c>
      <c r="F35" s="60" t="s">
        <v>679</v>
      </c>
      <c r="G35" s="60" t="s">
        <v>56</v>
      </c>
      <c r="H35" s="60" t="s">
        <v>677</v>
      </c>
      <c r="I35" s="60" t="s">
        <v>678</v>
      </c>
    </row>
    <row r="36" spans="2:9" x14ac:dyDescent="0.4">
      <c r="B36" s="28" t="s">
        <v>680</v>
      </c>
      <c r="C36" s="28"/>
      <c r="D36" s="28"/>
      <c r="E36" s="28"/>
      <c r="F36" s="28" t="s">
        <v>680</v>
      </c>
      <c r="G36" s="28"/>
      <c r="H36" s="28"/>
      <c r="I36" s="28"/>
    </row>
    <row r="37" spans="2:9" x14ac:dyDescent="0.4">
      <c r="B37" s="28" t="s">
        <v>681</v>
      </c>
      <c r="C37" s="28"/>
      <c r="D37" s="28"/>
      <c r="E37" s="28"/>
      <c r="F37" s="28" t="s">
        <v>682</v>
      </c>
      <c r="G37" s="28"/>
      <c r="H37" s="28"/>
      <c r="I37" s="28"/>
    </row>
    <row r="38" spans="2:9" x14ac:dyDescent="0.4">
      <c r="B38" s="28" t="s">
        <v>683</v>
      </c>
      <c r="C38" s="28"/>
      <c r="D38" s="28"/>
      <c r="E38" s="28"/>
      <c r="F38" s="28" t="s">
        <v>683</v>
      </c>
      <c r="G38" s="28"/>
      <c r="H38" s="28"/>
      <c r="I38" s="28"/>
    </row>
    <row r="39" spans="2:9" x14ac:dyDescent="0.4">
      <c r="B39" s="28" t="s">
        <v>683</v>
      </c>
      <c r="C39" s="28"/>
      <c r="D39" s="28"/>
      <c r="E39" s="28"/>
      <c r="F39" s="28" t="s">
        <v>683</v>
      </c>
      <c r="G39" s="28"/>
      <c r="H39" s="28"/>
      <c r="I39" s="28"/>
    </row>
    <row r="40" spans="2:9" x14ac:dyDescent="0.4">
      <c r="B40" s="28" t="s">
        <v>683</v>
      </c>
      <c r="C40" s="28"/>
      <c r="D40" s="28"/>
      <c r="E40" s="28"/>
      <c r="F40" s="28" t="s">
        <v>683</v>
      </c>
      <c r="G40" s="28"/>
      <c r="H40" s="28"/>
      <c r="I40" s="28"/>
    </row>
    <row r="41" spans="2:9" x14ac:dyDescent="0.4">
      <c r="B41" s="28" t="s">
        <v>683</v>
      </c>
      <c r="C41" s="28"/>
      <c r="D41" s="28"/>
      <c r="E41" s="28"/>
      <c r="F41" s="28" t="s">
        <v>683</v>
      </c>
      <c r="G41" s="28"/>
      <c r="H41" s="28"/>
      <c r="I41" s="28"/>
    </row>
    <row r="42" spans="2:9" x14ac:dyDescent="0.4">
      <c r="B42" s="28" t="s">
        <v>281</v>
      </c>
      <c r="C42" s="28"/>
      <c r="D42" s="28"/>
      <c r="E42" s="28"/>
      <c r="F42" s="28" t="s">
        <v>281</v>
      </c>
      <c r="G42" s="28"/>
      <c r="H42" s="28"/>
      <c r="I42" s="28"/>
    </row>
    <row r="43" spans="2:9" x14ac:dyDescent="0.4">
      <c r="B43" s="21"/>
      <c r="C43" s="21"/>
      <c r="D43" s="21"/>
      <c r="E43" s="21"/>
      <c r="F43" s="21"/>
      <c r="G43" s="21"/>
      <c r="H43" s="21"/>
      <c r="I43" s="21"/>
    </row>
    <row r="44" spans="2:9" x14ac:dyDescent="0.4">
      <c r="B44" s="76" t="s">
        <v>684</v>
      </c>
      <c r="C44" s="83"/>
      <c r="D44" s="83"/>
      <c r="E44" s="83"/>
      <c r="F44" s="83"/>
      <c r="G44" s="83"/>
      <c r="H44" s="83"/>
      <c r="I44" s="21"/>
    </row>
    <row r="45" spans="2:9" x14ac:dyDescent="0.4">
      <c r="B45" s="74" t="str">
        <f>IF(기초자료입력!C4&lt;&gt;"",기초자료입력!C4&amp;"장 귀하","○○학교장 귀하")</f>
        <v>○○학교장 귀하</v>
      </c>
      <c r="C45" s="73"/>
      <c r="D45" s="73"/>
      <c r="E45" s="73"/>
      <c r="F45" s="73"/>
      <c r="G45" s="73"/>
      <c r="H45" s="73"/>
      <c r="I45" s="21"/>
    </row>
  </sheetData>
  <mergeCells count="18">
    <mergeCell ref="B17:H18"/>
    <mergeCell ref="B3:H4"/>
    <mergeCell ref="B6:H6"/>
    <mergeCell ref="B8:H9"/>
    <mergeCell ref="B11:H12"/>
    <mergeCell ref="B14:H15"/>
    <mergeCell ref="B45:H45"/>
    <mergeCell ref="B20:H21"/>
    <mergeCell ref="B23:H23"/>
    <mergeCell ref="B24:H24"/>
    <mergeCell ref="B26:H26"/>
    <mergeCell ref="B28:H28"/>
    <mergeCell ref="B29:H29"/>
    <mergeCell ref="B30:H30"/>
    <mergeCell ref="B31:H31"/>
    <mergeCell ref="B33:H33"/>
    <mergeCell ref="B34:H34"/>
    <mergeCell ref="B44:H4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D940-7DF1-4669-B980-4259B0138415}">
  <sheetPr codeName="Sheet1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662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663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650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IF(기초자료입력!C22&lt;&gt;"",기초자료입력!C22,"신입생 예비소집일 교복구매 수요조사 가정통신문 발송")</f>
        <v>신입생 예비소집일 교복구매 수요조사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651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664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653</v>
      </c>
      <c r="C15" s="76" t="str">
        <f>IF(기초자료입력!C5&lt;&gt;"",기초자료입력!C5,"20○○")&amp;"학년도 신입생 및 학부모"</f>
        <v>20○○학년도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654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279</v>
      </c>
      <c r="G22" s="53" t="s">
        <v>290</v>
      </c>
      <c r="H22" s="53" t="s">
        <v>280</v>
      </c>
    </row>
    <row r="23" spans="2:8" x14ac:dyDescent="0.4">
      <c r="B23" s="52" t="s">
        <v>291</v>
      </c>
      <c r="C23" s="76" t="str">
        <f>IF(기초자료입력!C9&lt;&gt;"",기초자료입력!C9,"")</f>
        <v/>
      </c>
      <c r="D23" s="76"/>
      <c r="E23" s="76"/>
      <c r="F23" s="53" t="s">
        <v>292</v>
      </c>
      <c r="G23" s="89"/>
      <c r="H23" s="89"/>
    </row>
    <row r="24" spans="2:8" x14ac:dyDescent="0.4">
      <c r="B24" s="52" t="s">
        <v>293</v>
      </c>
      <c r="C24" s="37"/>
      <c r="D24" s="52" t="s">
        <v>294</v>
      </c>
      <c r="E24" s="76"/>
      <c r="F24" s="89"/>
      <c r="G24" s="89"/>
      <c r="H24" s="89"/>
    </row>
    <row r="25" spans="2:8" x14ac:dyDescent="0.4">
      <c r="B25" s="52" t="s">
        <v>295</v>
      </c>
      <c r="C25" s="37"/>
      <c r="D25" s="52" t="s">
        <v>296</v>
      </c>
      <c r="E25" s="37"/>
      <c r="F25" s="53" t="s">
        <v>297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4BC5-FD25-4A98-B22B-D246AEE072F9}">
  <sheetPr codeName="Sheet16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656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657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658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659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660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661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8D638-C624-463E-B6B9-77E459CE3308}">
  <sheetPr codeName="Sheet17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648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649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276</v>
      </c>
      <c r="C7" s="89" t="s">
        <v>650</v>
      </c>
      <c r="D7" s="89"/>
      <c r="E7" s="89"/>
      <c r="F7" s="89"/>
      <c r="G7" s="89"/>
      <c r="H7" s="89"/>
    </row>
    <row r="8" spans="1:8" x14ac:dyDescent="0.4">
      <c r="B8" s="53" t="s">
        <v>283</v>
      </c>
      <c r="C8" s="89"/>
      <c r="D8" s="89"/>
      <c r="E8" s="89"/>
      <c r="F8" s="89"/>
      <c r="G8" s="89"/>
      <c r="H8" s="89"/>
    </row>
    <row r="9" spans="1:8" x14ac:dyDescent="0.4">
      <c r="B9" s="53" t="s">
        <v>277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651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652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653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654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655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279</v>
      </c>
      <c r="G22" s="53" t="s">
        <v>290</v>
      </c>
      <c r="H22" s="53" t="s">
        <v>280</v>
      </c>
    </row>
    <row r="23" spans="2:8" x14ac:dyDescent="0.4">
      <c r="B23" s="52" t="s">
        <v>291</v>
      </c>
      <c r="C23" s="76" t="str">
        <f>IF(기초자료입력!C9&lt;&gt;"",기초자료입력!C9,"")</f>
        <v/>
      </c>
      <c r="D23" s="76"/>
      <c r="E23" s="76"/>
      <c r="F23" s="53" t="s">
        <v>292</v>
      </c>
      <c r="G23" s="89"/>
      <c r="H23" s="89"/>
    </row>
    <row r="24" spans="2:8" x14ac:dyDescent="0.4">
      <c r="B24" s="52" t="s">
        <v>293</v>
      </c>
      <c r="C24" s="37"/>
      <c r="D24" s="52" t="s">
        <v>294</v>
      </c>
      <c r="E24" s="76"/>
      <c r="F24" s="89"/>
      <c r="G24" s="89"/>
      <c r="H24" s="89"/>
    </row>
    <row r="25" spans="2:8" x14ac:dyDescent="0.4">
      <c r="B25" s="52" t="s">
        <v>295</v>
      </c>
      <c r="C25" s="37"/>
      <c r="D25" s="52" t="s">
        <v>296</v>
      </c>
      <c r="E25" s="37"/>
      <c r="F25" s="53" t="s">
        <v>297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C81F3-346C-45C5-A896-288F6C4A097A}">
  <sheetPr codeName="Sheet18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631</v>
      </c>
    </row>
    <row r="2" spans="1:9" x14ac:dyDescent="0.4">
      <c r="I2" s="35" t="s">
        <v>632</v>
      </c>
    </row>
    <row r="3" spans="1:9" x14ac:dyDescent="0.4">
      <c r="B3" s="87" t="s">
        <v>633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634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635</v>
      </c>
      <c r="C16" s="95"/>
      <c r="D16" s="76"/>
      <c r="E16" s="76" t="s">
        <v>636</v>
      </c>
      <c r="F16" s="76"/>
      <c r="G16" s="76"/>
      <c r="H16" s="76"/>
    </row>
    <row r="17" spans="2:8" x14ac:dyDescent="0.4">
      <c r="B17" s="52" t="s">
        <v>637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638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639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640</v>
      </c>
      <c r="D21" s="31" t="s">
        <v>368</v>
      </c>
      <c r="E21" s="31" t="s">
        <v>420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641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642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643</v>
      </c>
      <c r="C28" s="76"/>
      <c r="D28" s="76"/>
      <c r="E28" s="76"/>
      <c r="F28" s="76"/>
      <c r="G28" s="76"/>
      <c r="H28" s="76"/>
    </row>
    <row r="29" spans="2:8" x14ac:dyDescent="0.4">
      <c r="B29" s="76" t="s">
        <v>644</v>
      </c>
      <c r="C29" s="76"/>
      <c r="D29" s="76"/>
      <c r="E29" s="76"/>
      <c r="F29" s="76"/>
      <c r="G29" s="76"/>
      <c r="H29" s="76"/>
    </row>
    <row r="30" spans="2:8" x14ac:dyDescent="0.4">
      <c r="B30" s="76" t="s">
        <v>645</v>
      </c>
      <c r="C30" s="76"/>
      <c r="D30" s="76"/>
      <c r="E30" s="76"/>
      <c r="F30" s="76"/>
      <c r="G30" s="76"/>
      <c r="H30" s="76"/>
    </row>
    <row r="31" spans="2:8" x14ac:dyDescent="0.4">
      <c r="B31" s="76" t="s">
        <v>646</v>
      </c>
      <c r="C31" s="76"/>
      <c r="D31" s="76"/>
      <c r="E31" s="76"/>
      <c r="F31" s="76"/>
      <c r="G31" s="76"/>
      <c r="H31" s="76"/>
    </row>
    <row r="32" spans="2:8" x14ac:dyDescent="0.4">
      <c r="B32" s="76" t="s">
        <v>647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279</v>
      </c>
      <c r="G34" s="53" t="s">
        <v>290</v>
      </c>
      <c r="H34" s="53" t="s">
        <v>280</v>
      </c>
    </row>
    <row r="35" spans="2:8" x14ac:dyDescent="0.4">
      <c r="B35" s="52" t="s">
        <v>291</v>
      </c>
      <c r="C35" s="76" t="str">
        <f>IF(기초자료입력!C9&lt;&gt;"",기초자료입력!C9,"")</f>
        <v/>
      </c>
      <c r="D35" s="76"/>
      <c r="E35" s="76"/>
      <c r="F35" s="53" t="s">
        <v>292</v>
      </c>
      <c r="G35" s="89"/>
      <c r="H35" s="89"/>
    </row>
    <row r="36" spans="2:8" x14ac:dyDescent="0.4">
      <c r="B36" s="52" t="s">
        <v>293</v>
      </c>
      <c r="C36" s="37"/>
      <c r="D36" s="52" t="s">
        <v>294</v>
      </c>
      <c r="E36" s="76"/>
      <c r="F36" s="89"/>
      <c r="G36" s="89"/>
      <c r="H36" s="89"/>
    </row>
    <row r="37" spans="2:8" x14ac:dyDescent="0.4">
      <c r="B37" s="52" t="s">
        <v>295</v>
      </c>
      <c r="C37" s="37"/>
      <c r="D37" s="52" t="s">
        <v>296</v>
      </c>
      <c r="E37" s="37"/>
      <c r="F37" s="53" t="s">
        <v>297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D1B1E-E7A8-41DC-979D-9DA5E34CEEE7}">
  <sheetPr codeName="Sheet19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621</v>
      </c>
    </row>
    <row r="2" spans="1:9" x14ac:dyDescent="0.4">
      <c r="I2" s="35" t="s">
        <v>610</v>
      </c>
    </row>
    <row r="3" spans="1:9" x14ac:dyDescent="0.4">
      <c r="B3" s="87" t="s">
        <v>622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623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624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368</v>
      </c>
      <c r="D16" s="31" t="s">
        <v>56</v>
      </c>
      <c r="E16" s="31" t="s">
        <v>36</v>
      </c>
      <c r="F16" s="59" t="s">
        <v>625</v>
      </c>
      <c r="G16" s="31" t="s">
        <v>302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626</v>
      </c>
      <c r="C19" s="76"/>
      <c r="D19" s="76"/>
      <c r="E19" s="76"/>
      <c r="F19" s="76"/>
      <c r="G19" s="76"/>
      <c r="H19" s="76"/>
    </row>
    <row r="20" spans="2:8" x14ac:dyDescent="0.4">
      <c r="B20" s="76" t="s">
        <v>627</v>
      </c>
      <c r="C20" s="76"/>
      <c r="D20" s="76"/>
      <c r="E20" s="76"/>
      <c r="F20" s="76"/>
      <c r="G20" s="76"/>
      <c r="H20" s="76"/>
    </row>
    <row r="21" spans="2:8" x14ac:dyDescent="0.4">
      <c r="B21" s="76" t="s">
        <v>628</v>
      </c>
      <c r="C21" s="76"/>
      <c r="D21" s="76"/>
      <c r="E21" s="76"/>
      <c r="F21" s="76"/>
      <c r="G21" s="76"/>
      <c r="H21" s="76"/>
    </row>
    <row r="22" spans="2:8" x14ac:dyDescent="0.4">
      <c r="B22" s="76" t="s">
        <v>629</v>
      </c>
      <c r="C22" s="76"/>
      <c r="D22" s="76"/>
      <c r="E22" s="76"/>
      <c r="F22" s="76"/>
      <c r="G22" s="76"/>
      <c r="H22" s="76"/>
    </row>
    <row r="23" spans="2:8" x14ac:dyDescent="0.4">
      <c r="B23" s="76" t="s">
        <v>630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279</v>
      </c>
      <c r="G26" s="53" t="s">
        <v>290</v>
      </c>
      <c r="H26" s="53" t="s">
        <v>280</v>
      </c>
    </row>
    <row r="27" spans="2:8" x14ac:dyDescent="0.4">
      <c r="B27" s="52" t="s">
        <v>291</v>
      </c>
      <c r="C27" s="76" t="str">
        <f>IF(기초자료입력!C9&lt;&gt;"",기초자료입력!C9,"")</f>
        <v/>
      </c>
      <c r="D27" s="76"/>
      <c r="E27" s="76"/>
      <c r="F27" s="53" t="s">
        <v>292</v>
      </c>
      <c r="G27" s="89"/>
      <c r="H27" s="89"/>
    </row>
    <row r="28" spans="2:8" x14ac:dyDescent="0.4">
      <c r="B28" s="52" t="s">
        <v>293</v>
      </c>
      <c r="C28" s="37"/>
      <c r="D28" s="52" t="s">
        <v>294</v>
      </c>
      <c r="E28" s="76"/>
      <c r="F28" s="89"/>
      <c r="G28" s="89"/>
      <c r="H28" s="89"/>
    </row>
    <row r="29" spans="2:8" x14ac:dyDescent="0.4">
      <c r="B29" s="52" t="s">
        <v>295</v>
      </c>
      <c r="C29" s="37"/>
      <c r="D29" s="52" t="s">
        <v>296</v>
      </c>
      <c r="E29" s="37"/>
      <c r="F29" s="53" t="s">
        <v>297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5EFD7-D6BD-429A-B80F-BFF73763CA84}">
  <sheetPr codeName="Sheet20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609</v>
      </c>
    </row>
    <row r="2" spans="1:9" x14ac:dyDescent="0.4">
      <c r="I2" s="35" t="s">
        <v>610</v>
      </c>
    </row>
    <row r="3" spans="1:9" x14ac:dyDescent="0.4">
      <c r="B3" s="87" t="s">
        <v>611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9" x14ac:dyDescent="0.4">
      <c r="B8" s="53" t="s">
        <v>283</v>
      </c>
      <c r="C8" s="89"/>
      <c r="D8" s="89"/>
      <c r="E8" s="89"/>
      <c r="F8" s="89"/>
      <c r="G8" s="89"/>
      <c r="H8" s="89"/>
    </row>
    <row r="9" spans="1:9" x14ac:dyDescent="0.4">
      <c r="B9" s="53" t="s">
        <v>277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284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612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613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614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615</v>
      </c>
      <c r="C19" s="76"/>
      <c r="D19" s="76"/>
      <c r="E19" s="76"/>
      <c r="F19" s="76"/>
      <c r="G19" s="76"/>
      <c r="H19" s="76"/>
    </row>
    <row r="20" spans="2:8" x14ac:dyDescent="0.4">
      <c r="B20" s="31" t="s">
        <v>616</v>
      </c>
      <c r="C20" s="31" t="s">
        <v>60</v>
      </c>
      <c r="D20" s="31" t="s">
        <v>368</v>
      </c>
      <c r="E20" s="31" t="s">
        <v>617</v>
      </c>
      <c r="F20" s="31" t="s">
        <v>618</v>
      </c>
      <c r="G20" s="31" t="s">
        <v>619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620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279</v>
      </c>
      <c r="G26" s="53" t="s">
        <v>290</v>
      </c>
      <c r="H26" s="53" t="s">
        <v>280</v>
      </c>
    </row>
    <row r="27" spans="2:8" x14ac:dyDescent="0.4">
      <c r="B27" s="52" t="s">
        <v>291</v>
      </c>
      <c r="C27" s="76" t="str">
        <f>IF(기초자료입력!C9&lt;&gt;"",기초자료입력!C9,"")</f>
        <v/>
      </c>
      <c r="D27" s="76"/>
      <c r="E27" s="76"/>
      <c r="F27" s="53" t="s">
        <v>292</v>
      </c>
      <c r="G27" s="89"/>
      <c r="H27" s="89"/>
    </row>
    <row r="28" spans="2:8" x14ac:dyDescent="0.4">
      <c r="B28" s="52" t="s">
        <v>293</v>
      </c>
      <c r="C28" s="37"/>
      <c r="D28" s="52" t="s">
        <v>294</v>
      </c>
      <c r="E28" s="76"/>
      <c r="F28" s="89"/>
      <c r="G28" s="89"/>
      <c r="H28" s="89"/>
    </row>
    <row r="29" spans="2:8" x14ac:dyDescent="0.4">
      <c r="B29" s="52" t="s">
        <v>295</v>
      </c>
      <c r="C29" s="37"/>
      <c r="D29" s="52" t="s">
        <v>296</v>
      </c>
      <c r="E29" s="37"/>
      <c r="F29" s="53" t="s">
        <v>297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7B98-8D48-4933-8B8B-92E857D563C9}">
  <sheetPr codeName="Sheet21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590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591</v>
      </c>
      <c r="C6" s="96"/>
      <c r="D6" s="96"/>
      <c r="E6" s="96"/>
      <c r="F6" s="96"/>
      <c r="G6" s="96"/>
      <c r="H6" s="96"/>
    </row>
    <row r="7" spans="1:8" x14ac:dyDescent="0.4">
      <c r="B7" s="25" t="s">
        <v>592</v>
      </c>
      <c r="C7" s="96"/>
      <c r="D7" s="96"/>
      <c r="E7" s="96"/>
      <c r="F7" s="96"/>
      <c r="G7" s="96"/>
      <c r="H7" s="96"/>
    </row>
    <row r="8" spans="1:8" x14ac:dyDescent="0.4">
      <c r="B8" s="25" t="s">
        <v>593</v>
      </c>
      <c r="C8" s="96"/>
      <c r="D8" s="96"/>
      <c r="E8" s="96"/>
      <c r="F8" s="96"/>
      <c r="G8" s="96"/>
      <c r="H8" s="96"/>
    </row>
    <row r="9" spans="1:8" x14ac:dyDescent="0.4">
      <c r="B9" s="25" t="s">
        <v>594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595</v>
      </c>
      <c r="C11" s="83"/>
      <c r="D11" s="83"/>
      <c r="E11" s="83"/>
      <c r="F11" s="83"/>
      <c r="G11" s="83"/>
      <c r="H11" s="83"/>
    </row>
    <row r="12" spans="1:8" x14ac:dyDescent="0.4">
      <c r="B12" s="83" t="s">
        <v>596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597</v>
      </c>
      <c r="C15" s="83"/>
      <c r="D15" s="83"/>
      <c r="E15" s="83"/>
      <c r="F15" s="83"/>
      <c r="G15" s="83"/>
      <c r="H15" s="83"/>
    </row>
    <row r="16" spans="1:8" x14ac:dyDescent="0.4">
      <c r="B16" s="84" t="s">
        <v>598</v>
      </c>
      <c r="C16" s="83"/>
      <c r="D16" s="83"/>
      <c r="E16" s="83"/>
      <c r="F16" s="83"/>
      <c r="G16" s="83"/>
      <c r="H16" s="83"/>
    </row>
    <row r="17" spans="2:8" x14ac:dyDescent="0.4">
      <c r="B17" s="83" t="s">
        <v>599</v>
      </c>
      <c r="C17" s="83"/>
      <c r="D17" s="83"/>
      <c r="E17" s="83"/>
      <c r="F17" s="83"/>
      <c r="G17" s="83"/>
      <c r="H17" s="83"/>
    </row>
    <row r="18" spans="2:8" x14ac:dyDescent="0.4">
      <c r="B18" s="83" t="s">
        <v>600</v>
      </c>
      <c r="C18" s="83"/>
      <c r="D18" s="83"/>
      <c r="E18" s="83"/>
      <c r="F18" s="83"/>
      <c r="G18" s="83"/>
      <c r="H18" s="83"/>
    </row>
    <row r="19" spans="2:8" x14ac:dyDescent="0.4">
      <c r="B19" s="84" t="s">
        <v>601</v>
      </c>
      <c r="C19" s="83"/>
      <c r="D19" s="83"/>
      <c r="E19" s="83"/>
      <c r="F19" s="83"/>
      <c r="G19" s="83"/>
      <c r="H19" s="83"/>
    </row>
    <row r="20" spans="2:8" x14ac:dyDescent="0.4">
      <c r="B20" s="83" t="s">
        <v>602</v>
      </c>
      <c r="C20" s="83"/>
      <c r="D20" s="83"/>
      <c r="E20" s="83"/>
      <c r="F20" s="83"/>
      <c r="G20" s="83"/>
      <c r="H20" s="83"/>
    </row>
    <row r="21" spans="2:8" x14ac:dyDescent="0.4">
      <c r="B21" s="84" t="s">
        <v>603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604</v>
      </c>
      <c r="C23" s="83"/>
      <c r="D23" s="83"/>
      <c r="E23" s="83"/>
      <c r="F23" s="83"/>
      <c r="G23" s="83"/>
      <c r="H23" s="83"/>
    </row>
    <row r="24" spans="2:8" x14ac:dyDescent="0.4">
      <c r="B24" s="83" t="s">
        <v>605</v>
      </c>
      <c r="C24" s="83"/>
      <c r="D24" s="83"/>
      <c r="E24" s="83"/>
      <c r="F24" s="83"/>
      <c r="G24" s="83"/>
      <c r="H24" s="83"/>
    </row>
    <row r="25" spans="2:8" x14ac:dyDescent="0.4">
      <c r="B25" s="26" t="s">
        <v>506</v>
      </c>
      <c r="C25" s="26" t="s">
        <v>313</v>
      </c>
      <c r="D25" s="26" t="s">
        <v>606</v>
      </c>
      <c r="E25" s="26" t="s">
        <v>508</v>
      </c>
      <c r="F25" s="97" t="s">
        <v>302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607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608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8C811-A9CF-47B1-A0EB-444917FD971B}">
  <sheetPr codeName="Sheet22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521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522</v>
      </c>
      <c r="C7" s="86"/>
      <c r="D7" s="86"/>
      <c r="E7" s="86"/>
      <c r="F7" s="86"/>
      <c r="G7" s="86"/>
    </row>
    <row r="8" spans="1:7" ht="30" customHeight="1" x14ac:dyDescent="0.4">
      <c r="B8" s="86" t="s">
        <v>523</v>
      </c>
      <c r="C8" s="86"/>
      <c r="D8" s="86"/>
      <c r="E8" s="86"/>
      <c r="F8" s="86"/>
      <c r="G8" s="86"/>
    </row>
    <row r="9" spans="1:7" ht="16.95" customHeight="1" x14ac:dyDescent="0.4">
      <c r="B9" s="86" t="s">
        <v>524</v>
      </c>
      <c r="C9" s="86"/>
      <c r="D9" s="86"/>
      <c r="E9" s="86"/>
      <c r="F9" s="86"/>
      <c r="G9" s="86"/>
    </row>
    <row r="10" spans="1:7" ht="16.95" customHeight="1" x14ac:dyDescent="0.4">
      <c r="B10" s="86" t="s">
        <v>525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526</v>
      </c>
      <c r="C14" s="86"/>
      <c r="D14" s="86"/>
      <c r="E14" s="86"/>
      <c r="F14" s="86"/>
      <c r="G14" s="86"/>
    </row>
    <row r="15" spans="1:7" ht="30" customHeight="1" x14ac:dyDescent="0.4">
      <c r="B15" s="86" t="s">
        <v>527</v>
      </c>
      <c r="C15" s="86"/>
      <c r="D15" s="86"/>
      <c r="E15" s="86"/>
      <c r="F15" s="86"/>
      <c r="G15" s="86"/>
    </row>
    <row r="16" spans="1:7" ht="30" customHeight="1" x14ac:dyDescent="0.4">
      <c r="B16" s="86" t="s">
        <v>528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529</v>
      </c>
      <c r="C20" s="89"/>
      <c r="D20" s="75" t="s">
        <v>530</v>
      </c>
      <c r="E20" s="89"/>
      <c r="F20" s="89"/>
      <c r="G20" s="31" t="s">
        <v>279</v>
      </c>
    </row>
    <row r="21" spans="2:7" ht="43.05" customHeight="1" x14ac:dyDescent="0.4">
      <c r="B21" s="102" t="s">
        <v>531</v>
      </c>
      <c r="C21" s="102"/>
      <c r="D21" s="102" t="s">
        <v>532</v>
      </c>
      <c r="E21" s="102"/>
      <c r="F21" s="102"/>
      <c r="G21" s="36" t="s">
        <v>533</v>
      </c>
    </row>
    <row r="22" spans="2:7" ht="30" customHeight="1" x14ac:dyDescent="0.4">
      <c r="B22" s="102" t="s">
        <v>534</v>
      </c>
      <c r="C22" s="102"/>
      <c r="D22" s="102" t="s">
        <v>535</v>
      </c>
      <c r="E22" s="102"/>
      <c r="F22" s="102"/>
      <c r="G22" s="36" t="s">
        <v>533</v>
      </c>
    </row>
    <row r="23" spans="2:7" ht="43.05" customHeight="1" x14ac:dyDescent="0.4">
      <c r="B23" s="102" t="s">
        <v>536</v>
      </c>
      <c r="C23" s="102"/>
      <c r="D23" s="102" t="s">
        <v>537</v>
      </c>
      <c r="E23" s="102"/>
      <c r="F23" s="102"/>
      <c r="G23" s="36" t="s">
        <v>538</v>
      </c>
    </row>
    <row r="24" spans="2:7" ht="30" customHeight="1" x14ac:dyDescent="0.4">
      <c r="B24" s="102" t="s">
        <v>539</v>
      </c>
      <c r="C24" s="102"/>
      <c r="D24" s="102" t="s">
        <v>540</v>
      </c>
      <c r="E24" s="102"/>
      <c r="F24" s="102"/>
      <c r="G24" s="36" t="s">
        <v>541</v>
      </c>
    </row>
    <row r="25" spans="2:7" ht="16.95" customHeight="1" x14ac:dyDescent="0.4">
      <c r="B25" s="102" t="s">
        <v>542</v>
      </c>
      <c r="C25" s="102"/>
      <c r="D25" s="102" t="s">
        <v>543</v>
      </c>
      <c r="E25" s="102"/>
      <c r="F25" s="102"/>
      <c r="G25" s="36" t="s">
        <v>538</v>
      </c>
    </row>
    <row r="26" spans="2:7" ht="30" customHeight="1" x14ac:dyDescent="0.4">
      <c r="B26" s="102" t="s">
        <v>544</v>
      </c>
      <c r="C26" s="102"/>
      <c r="D26" s="102" t="s">
        <v>545</v>
      </c>
      <c r="E26" s="102"/>
      <c r="F26" s="102"/>
      <c r="G26" s="36" t="s">
        <v>541</v>
      </c>
    </row>
    <row r="27" spans="2:7" ht="30" customHeight="1" x14ac:dyDescent="0.4">
      <c r="B27" s="102" t="s">
        <v>546</v>
      </c>
      <c r="C27" s="102"/>
      <c r="D27" s="102" t="s">
        <v>547</v>
      </c>
      <c r="E27" s="102"/>
      <c r="F27" s="102"/>
      <c r="G27" s="36" t="s">
        <v>533</v>
      </c>
    </row>
    <row r="28" spans="2:7" ht="43.05" customHeight="1" x14ac:dyDescent="0.4">
      <c r="B28" s="102" t="s">
        <v>548</v>
      </c>
      <c r="C28" s="102"/>
      <c r="D28" s="102" t="s">
        <v>549</v>
      </c>
      <c r="E28" s="102"/>
      <c r="F28" s="102"/>
      <c r="G28" s="36" t="s">
        <v>533</v>
      </c>
    </row>
    <row r="29" spans="2:7" ht="30" customHeight="1" x14ac:dyDescent="0.4">
      <c r="B29" s="102" t="s">
        <v>550</v>
      </c>
      <c r="C29" s="102"/>
      <c r="D29" s="102" t="s">
        <v>551</v>
      </c>
      <c r="E29" s="102"/>
      <c r="F29" s="102"/>
      <c r="G29" s="36" t="s">
        <v>541</v>
      </c>
    </row>
    <row r="30" spans="2:7" ht="30" customHeight="1" x14ac:dyDescent="0.4">
      <c r="B30" s="102" t="s">
        <v>552</v>
      </c>
      <c r="C30" s="102"/>
      <c r="D30" s="102" t="s">
        <v>553</v>
      </c>
      <c r="E30" s="102"/>
      <c r="F30" s="102"/>
      <c r="G30" s="36" t="s">
        <v>538</v>
      </c>
    </row>
    <row r="31" spans="2:7" ht="43.05" customHeight="1" x14ac:dyDescent="0.4">
      <c r="B31" s="102" t="s">
        <v>554</v>
      </c>
      <c r="C31" s="102"/>
      <c r="D31" s="102" t="s">
        <v>555</v>
      </c>
      <c r="E31" s="102"/>
      <c r="F31" s="102"/>
      <c r="G31" s="36" t="s">
        <v>541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556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557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558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559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560</v>
      </c>
      <c r="C40" s="76"/>
      <c r="D40" s="76"/>
      <c r="E40" s="76"/>
      <c r="F40" s="76"/>
      <c r="G40" s="76"/>
    </row>
    <row r="41" spans="2:7" ht="30" customHeight="1" x14ac:dyDescent="0.4">
      <c r="B41" s="86" t="s">
        <v>561</v>
      </c>
      <c r="C41" s="86"/>
      <c r="D41" s="86"/>
      <c r="E41" s="86"/>
      <c r="F41" s="86"/>
      <c r="G41" s="86"/>
    </row>
    <row r="42" spans="2:7" x14ac:dyDescent="0.4">
      <c r="B42" s="31" t="s">
        <v>506</v>
      </c>
      <c r="C42" s="31" t="s">
        <v>313</v>
      </c>
      <c r="D42" s="31" t="s">
        <v>507</v>
      </c>
      <c r="E42" s="31" t="s">
        <v>508</v>
      </c>
      <c r="F42" s="75" t="s">
        <v>302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562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563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564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565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566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567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568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569</v>
      </c>
      <c r="C63" s="86"/>
      <c r="D63" s="86"/>
      <c r="E63" s="86"/>
      <c r="F63" s="86"/>
      <c r="G63" s="86"/>
    </row>
    <row r="64" spans="2:7" ht="30" customHeight="1" x14ac:dyDescent="0.4">
      <c r="B64" s="86" t="s">
        <v>570</v>
      </c>
      <c r="C64" s="86"/>
      <c r="D64" s="86"/>
      <c r="E64" s="86"/>
      <c r="F64" s="86"/>
      <c r="G64" s="86"/>
    </row>
    <row r="65" spans="2:7" ht="16.95" customHeight="1" x14ac:dyDescent="0.4">
      <c r="B65" s="86" t="s">
        <v>571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572</v>
      </c>
      <c r="C66" s="86"/>
      <c r="D66" s="86"/>
      <c r="E66" s="86"/>
      <c r="F66" s="86"/>
      <c r="G66" s="86"/>
    </row>
    <row r="67" spans="2:7" ht="30" customHeight="1" x14ac:dyDescent="0.4">
      <c r="B67" s="86" t="s">
        <v>573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574</v>
      </c>
      <c r="C69" s="76"/>
      <c r="D69" s="76"/>
      <c r="E69" s="76"/>
      <c r="F69" s="76"/>
      <c r="G69" s="76"/>
    </row>
    <row r="70" spans="2:7" ht="30" customHeight="1" x14ac:dyDescent="0.4">
      <c r="B70" s="86" t="s">
        <v>575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576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577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578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579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580</v>
      </c>
      <c r="C76" s="76"/>
      <c r="D76" s="76"/>
      <c r="E76" s="76"/>
      <c r="F76" s="76"/>
      <c r="G76" s="76"/>
    </row>
    <row r="77" spans="2:7" ht="30" customHeight="1" x14ac:dyDescent="0.4">
      <c r="B77" s="86" t="s">
        <v>581</v>
      </c>
      <c r="C77" s="86"/>
      <c r="D77" s="86"/>
      <c r="E77" s="86"/>
      <c r="F77" s="86"/>
      <c r="G77" s="86"/>
    </row>
    <row r="78" spans="2:7" ht="15" customHeight="1" x14ac:dyDescent="0.4">
      <c r="B78" s="86" t="s">
        <v>582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583</v>
      </c>
      <c r="C80" s="76"/>
      <c r="D80" s="76"/>
      <c r="E80" s="76"/>
      <c r="F80" s="76"/>
      <c r="G80" s="76"/>
    </row>
    <row r="81" spans="2:7" ht="30" customHeight="1" x14ac:dyDescent="0.4">
      <c r="B81" s="86" t="s">
        <v>584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585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586</v>
      </c>
      <c r="C83" s="86"/>
      <c r="D83" s="86"/>
      <c r="E83" s="86"/>
      <c r="F83" s="86"/>
      <c r="G83" s="86"/>
    </row>
    <row r="84" spans="2:7" ht="30" customHeight="1" x14ac:dyDescent="0.4">
      <c r="B84" s="86" t="s">
        <v>587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588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589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5C541-A8BE-4353-9242-D044C3190FEF}">
  <sheetPr codeName="Sheet23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519</v>
      </c>
    </row>
    <row r="3" spans="1:8" ht="24" x14ac:dyDescent="0.4">
      <c r="B3" s="87" t="s">
        <v>520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276</v>
      </c>
      <c r="C7" s="96" t="s">
        <v>496</v>
      </c>
      <c r="D7" s="96"/>
      <c r="E7" s="96"/>
      <c r="F7" s="96"/>
      <c r="G7" s="96"/>
      <c r="H7" s="96"/>
    </row>
    <row r="8" spans="1:8" x14ac:dyDescent="0.4">
      <c r="B8" s="25" t="s">
        <v>283</v>
      </c>
      <c r="C8" s="96"/>
      <c r="D8" s="96"/>
      <c r="E8" s="96"/>
      <c r="F8" s="96"/>
      <c r="G8" s="96"/>
      <c r="H8" s="96"/>
    </row>
    <row r="9" spans="1:8" x14ac:dyDescent="0.4">
      <c r="B9" s="25" t="s">
        <v>277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284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279</v>
      </c>
      <c r="G17" s="22" t="s">
        <v>290</v>
      </c>
      <c r="H17" s="22" t="s">
        <v>280</v>
      </c>
    </row>
    <row r="18" spans="2:8" x14ac:dyDescent="0.4">
      <c r="B18" s="25" t="s">
        <v>291</v>
      </c>
      <c r="C18" s="96" t="str">
        <f>IF(기초자료입력!C9&lt;&gt;"",기초자료입력!C9,"")</f>
        <v/>
      </c>
      <c r="D18" s="96"/>
      <c r="E18" s="96"/>
      <c r="F18" s="25" t="s">
        <v>292</v>
      </c>
      <c r="G18" s="96"/>
      <c r="H18" s="96"/>
    </row>
    <row r="19" spans="2:8" x14ac:dyDescent="0.4">
      <c r="B19" s="25" t="s">
        <v>293</v>
      </c>
      <c r="C19" s="22"/>
      <c r="D19" s="25" t="s">
        <v>294</v>
      </c>
      <c r="E19" s="96"/>
      <c r="F19" s="96"/>
      <c r="G19" s="96"/>
      <c r="H19" s="96"/>
    </row>
    <row r="20" spans="2:8" x14ac:dyDescent="0.4">
      <c r="B20" s="25" t="s">
        <v>295</v>
      </c>
      <c r="C20" s="22"/>
      <c r="D20" s="25" t="s">
        <v>296</v>
      </c>
      <c r="E20" s="22"/>
      <c r="F20" s="25" t="s">
        <v>297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AAE94-F8D4-4F1A-BDB1-CC91D0096393}">
  <sheetPr codeName="Sheet24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517</v>
      </c>
    </row>
    <row r="3" spans="1:5" ht="25.95" customHeight="1" x14ac:dyDescent="0.4">
      <c r="B3" s="105" t="s">
        <v>518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0711-5DC6-4901-AD14-E0C842EED874}">
  <sheetPr codeName="Sheet2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511</v>
      </c>
    </row>
    <row r="3" spans="1:5" ht="25.95" customHeight="1" x14ac:dyDescent="0.4">
      <c r="B3" s="105" t="s">
        <v>512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513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514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515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516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F321-6554-445B-9DFF-9AF4C9854C34}">
  <sheetPr codeName="Sheet2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494</v>
      </c>
    </row>
    <row r="3" spans="1:8" ht="24" customHeight="1" x14ac:dyDescent="0.4">
      <c r="B3" s="87" t="s">
        <v>495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275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276</v>
      </c>
      <c r="C7" s="89" t="s">
        <v>496</v>
      </c>
      <c r="D7" s="89"/>
      <c r="E7" s="89"/>
      <c r="F7" s="89"/>
      <c r="G7" s="89"/>
      <c r="H7" s="89"/>
    </row>
    <row r="8" spans="1:8" ht="14.55" customHeight="1" x14ac:dyDescent="0.4">
      <c r="B8" s="53" t="s">
        <v>283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277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284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497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498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499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500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501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502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503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504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505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506</v>
      </c>
      <c r="C25" s="31" t="s">
        <v>313</v>
      </c>
      <c r="D25" s="31" t="s">
        <v>507</v>
      </c>
      <c r="E25" s="31" t="s">
        <v>508</v>
      </c>
      <c r="F25" s="75" t="s">
        <v>302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509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510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279</v>
      </c>
      <c r="G40" s="53" t="s">
        <v>290</v>
      </c>
      <c r="H40" s="53" t="s">
        <v>280</v>
      </c>
    </row>
    <row r="41" spans="2:8" ht="14.55" customHeight="1" x14ac:dyDescent="0.4">
      <c r="B41" s="52" t="s">
        <v>291</v>
      </c>
      <c r="C41" s="76" t="str">
        <f>IF(기초자료입력!C9&lt;&gt;"",기초자료입력!C9,"")</f>
        <v/>
      </c>
      <c r="D41" s="76"/>
      <c r="E41" s="76"/>
      <c r="F41" s="53" t="s">
        <v>292</v>
      </c>
      <c r="G41" s="89"/>
      <c r="H41" s="89"/>
    </row>
    <row r="42" spans="2:8" ht="14.55" customHeight="1" x14ac:dyDescent="0.4">
      <c r="B42" s="52" t="s">
        <v>293</v>
      </c>
      <c r="C42" s="37"/>
      <c r="D42" s="52" t="s">
        <v>294</v>
      </c>
      <c r="E42" s="76"/>
      <c r="F42" s="89"/>
      <c r="G42" s="89"/>
      <c r="H42" s="89"/>
    </row>
    <row r="43" spans="2:8" ht="14.55" customHeight="1" x14ac:dyDescent="0.4">
      <c r="B43" s="52" t="s">
        <v>295</v>
      </c>
      <c r="C43" s="37"/>
      <c r="D43" s="52" t="s">
        <v>296</v>
      </c>
      <c r="E43" s="37"/>
      <c r="F43" s="53" t="s">
        <v>297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752F-8F1C-4E77-96D1-90CB1320F040}">
  <sheetPr codeName="Sheet2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476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477</v>
      </c>
      <c r="C6" s="108"/>
      <c r="D6" s="108"/>
      <c r="E6" s="108"/>
    </row>
    <row r="7" spans="2:7" ht="19.95" customHeight="1" x14ac:dyDescent="0.4">
      <c r="B7" s="110" t="s">
        <v>478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479</v>
      </c>
      <c r="C9" s="108"/>
      <c r="D9" s="108"/>
      <c r="E9" s="108"/>
    </row>
    <row r="10" spans="2:7" ht="19.95" customHeight="1" x14ac:dyDescent="0.4">
      <c r="B10" s="110" t="s">
        <v>480</v>
      </c>
      <c r="C10" s="110"/>
      <c r="D10" s="110"/>
      <c r="E10" s="110"/>
    </row>
    <row r="11" spans="2:7" ht="19.95" customHeight="1" x14ac:dyDescent="0.4">
      <c r="B11" s="110" t="s">
        <v>481</v>
      </c>
      <c r="C11" s="110"/>
      <c r="D11" s="110"/>
      <c r="E11" s="110"/>
    </row>
    <row r="12" spans="2:7" ht="19.95" customHeight="1" x14ac:dyDescent="0.4">
      <c r="B12" s="110" t="s">
        <v>482</v>
      </c>
      <c r="C12" s="110"/>
      <c r="D12" s="110"/>
      <c r="E12" s="110"/>
    </row>
    <row r="13" spans="2:7" ht="19.95" customHeight="1" x14ac:dyDescent="0.4">
      <c r="B13" s="110" t="s">
        <v>483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484</v>
      </c>
      <c r="C15" s="110"/>
      <c r="D15" s="110"/>
      <c r="E15" s="110"/>
    </row>
    <row r="16" spans="2:7" ht="18" customHeight="1" x14ac:dyDescent="0.4">
      <c r="B16" s="110" t="s">
        <v>485</v>
      </c>
      <c r="C16" s="110"/>
      <c r="D16" s="110"/>
      <c r="E16" s="110"/>
    </row>
    <row r="17" spans="2:5" ht="18" customHeight="1" x14ac:dyDescent="0.4">
      <c r="B17" s="110" t="s">
        <v>486</v>
      </c>
      <c r="C17" s="110"/>
      <c r="D17" s="110"/>
      <c r="E17" s="110"/>
    </row>
    <row r="18" spans="2:5" ht="19.95" customHeight="1" x14ac:dyDescent="0.4">
      <c r="B18" s="110" t="s">
        <v>487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488</v>
      </c>
      <c r="C20" s="108"/>
      <c r="D20" s="108"/>
      <c r="E20" s="108"/>
    </row>
    <row r="21" spans="2:5" ht="19.95" customHeight="1" x14ac:dyDescent="0.4">
      <c r="B21" s="110" t="s">
        <v>489</v>
      </c>
      <c r="C21" s="110"/>
      <c r="D21" s="110"/>
      <c r="E21" s="110"/>
    </row>
    <row r="22" spans="2:5" ht="18" customHeight="1" x14ac:dyDescent="0.4">
      <c r="B22" s="110" t="s">
        <v>490</v>
      </c>
      <c r="C22" s="110"/>
      <c r="D22" s="110"/>
      <c r="E22" s="110"/>
    </row>
    <row r="23" spans="2:5" ht="22.05" customHeight="1" x14ac:dyDescent="0.4">
      <c r="B23" s="110" t="s">
        <v>491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492</v>
      </c>
      <c r="C25" s="110"/>
      <c r="D25" s="110"/>
      <c r="E25" s="110"/>
    </row>
    <row r="26" spans="2:5" ht="18" customHeight="1" x14ac:dyDescent="0.4">
      <c r="B26" s="108" t="s">
        <v>493</v>
      </c>
      <c r="C26" s="108"/>
      <c r="D26" s="108"/>
      <c r="E26" s="108"/>
    </row>
    <row r="27" spans="2:5" ht="18" customHeight="1" x14ac:dyDescent="0.4">
      <c r="B27" s="108" t="s">
        <v>493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461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057B0-DC8A-40FF-A6FA-BBB694B54A89}">
  <sheetPr codeName="Sheet2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462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4" customHeight="1" x14ac:dyDescent="0.4">
      <c r="B3" s="97" t="s">
        <v>463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464</v>
      </c>
      <c r="C6" s="109"/>
      <c r="D6" s="109"/>
      <c r="E6" s="109"/>
    </row>
    <row r="7" spans="2:7" ht="18" customHeight="1" x14ac:dyDescent="0.4">
      <c r="B7" s="111" t="s">
        <v>465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313</v>
      </c>
      <c r="C9" s="49" t="s">
        <v>466</v>
      </c>
      <c r="D9" s="49" t="s">
        <v>467</v>
      </c>
      <c r="E9" s="49" t="s">
        <v>468</v>
      </c>
    </row>
    <row r="10" spans="2:7" ht="22.05" customHeight="1" x14ac:dyDescent="0.4">
      <c r="B10" s="109" t="s">
        <v>303</v>
      </c>
      <c r="C10" s="50" t="s">
        <v>469</v>
      </c>
      <c r="D10" s="50"/>
      <c r="E10" s="50"/>
    </row>
    <row r="11" spans="2:7" ht="22.05" customHeight="1" x14ac:dyDescent="0.4">
      <c r="B11" s="109"/>
      <c r="C11" s="50" t="s">
        <v>470</v>
      </c>
      <c r="D11" s="50"/>
      <c r="E11" s="50"/>
    </row>
    <row r="12" spans="2:7" ht="22.05" customHeight="1" x14ac:dyDescent="0.4">
      <c r="B12" s="109"/>
      <c r="C12" s="50" t="s">
        <v>471</v>
      </c>
      <c r="D12" s="50"/>
      <c r="E12" s="50"/>
    </row>
    <row r="13" spans="2:7" ht="22.05" customHeight="1" x14ac:dyDescent="0.4">
      <c r="B13" s="109"/>
      <c r="C13" s="50" t="s">
        <v>472</v>
      </c>
      <c r="D13" s="50"/>
      <c r="E13" s="50"/>
    </row>
    <row r="14" spans="2:7" ht="22.05" customHeight="1" x14ac:dyDescent="0.4">
      <c r="B14" s="109" t="s">
        <v>304</v>
      </c>
      <c r="C14" s="50" t="s">
        <v>473</v>
      </c>
      <c r="D14" s="50"/>
      <c r="E14" s="50"/>
    </row>
    <row r="15" spans="2:7" ht="22.05" customHeight="1" x14ac:dyDescent="0.4">
      <c r="B15" s="109"/>
      <c r="C15" s="50" t="s">
        <v>474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475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461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01542-E48B-45E8-8DBD-63125510E8AC}">
  <sheetPr codeName="Sheet2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453</v>
      </c>
      <c r="C1" s="114"/>
      <c r="D1" s="114"/>
      <c r="E1" s="114"/>
      <c r="F1" s="114"/>
      <c r="G1" s="114"/>
    </row>
    <row r="2" spans="2:9" ht="7.95" customHeight="1" x14ac:dyDescent="0.4">
      <c r="I2" s="35" t="s">
        <v>324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454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455</v>
      </c>
      <c r="D9" s="49" t="s">
        <v>456</v>
      </c>
      <c r="E9" s="49" t="s">
        <v>457</v>
      </c>
      <c r="F9" s="49" t="s">
        <v>458</v>
      </c>
      <c r="G9" s="49" t="s">
        <v>302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459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460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461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96F97-7A9E-4F2C-85DE-48C79E637B64}">
  <sheetPr codeName="Sheet3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440</v>
      </c>
      <c r="C1" s="114"/>
      <c r="D1" s="114"/>
      <c r="E1" s="114"/>
    </row>
    <row r="2" spans="2:7" ht="7.95" customHeight="1" x14ac:dyDescent="0.4">
      <c r="G2" s="35" t="s">
        <v>324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441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442</v>
      </c>
      <c r="C7" s="108"/>
      <c r="D7" s="108"/>
      <c r="E7" s="108"/>
    </row>
    <row r="8" spans="2:7" ht="18" customHeight="1" x14ac:dyDescent="0.4">
      <c r="B8" s="47" t="s">
        <v>443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368</v>
      </c>
      <c r="C9" s="108"/>
      <c r="D9" s="108"/>
      <c r="E9" s="108"/>
    </row>
    <row r="10" spans="2:7" ht="18" customHeight="1" x14ac:dyDescent="0.4">
      <c r="B10" s="47" t="s">
        <v>444</v>
      </c>
      <c r="C10" s="108"/>
      <c r="D10" s="108"/>
      <c r="E10" s="108"/>
    </row>
    <row r="11" spans="2:7" ht="18" customHeight="1" x14ac:dyDescent="0.4">
      <c r="B11" s="47" t="s">
        <v>294</v>
      </c>
      <c r="C11" s="108"/>
      <c r="D11" s="108"/>
      <c r="E11" s="108"/>
    </row>
    <row r="12" spans="2:7" ht="18" customHeight="1" x14ac:dyDescent="0.4">
      <c r="B12" s="47" t="s">
        <v>369</v>
      </c>
      <c r="C12" s="108" t="s">
        <v>448</v>
      </c>
      <c r="D12" s="108"/>
      <c r="E12" s="108"/>
    </row>
    <row r="13" spans="2:7" ht="18" customHeight="1" x14ac:dyDescent="0.4">
      <c r="B13" s="47" t="s">
        <v>445</v>
      </c>
      <c r="C13" s="108"/>
      <c r="D13" s="108"/>
      <c r="E13" s="108"/>
    </row>
    <row r="14" spans="2:7" ht="18" customHeight="1" x14ac:dyDescent="0.4">
      <c r="B14" s="47" t="s">
        <v>446</v>
      </c>
      <c r="C14" s="108"/>
      <c r="D14" s="108"/>
      <c r="E14" s="108"/>
    </row>
    <row r="15" spans="2:7" ht="18" customHeight="1" x14ac:dyDescent="0.4">
      <c r="B15" s="47" t="s">
        <v>447</v>
      </c>
      <c r="C15" s="108"/>
      <c r="D15" s="108"/>
      <c r="E15" s="108"/>
    </row>
    <row r="16" spans="2:7" ht="24" customHeight="1" x14ac:dyDescent="0.4">
      <c r="B16" s="108" t="s">
        <v>449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450</v>
      </c>
      <c r="C19" s="108"/>
      <c r="D19" s="108"/>
      <c r="E19" s="108"/>
    </row>
    <row r="20" spans="2:5" ht="16.05" customHeight="1" x14ac:dyDescent="0.4">
      <c r="B20" s="110" t="s">
        <v>451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452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4B9D-C206-4604-BE44-8DC4C6610F97}">
  <sheetPr codeName="Sheet3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432</v>
      </c>
    </row>
    <row r="2" spans="1:7" ht="10.050000000000001" customHeight="1" x14ac:dyDescent="0.4">
      <c r="G2" s="35" t="s">
        <v>324</v>
      </c>
    </row>
    <row r="3" spans="1:7" ht="22.05" customHeight="1" x14ac:dyDescent="0.4">
      <c r="B3" s="97" t="s">
        <v>433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434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435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436</v>
      </c>
      <c r="C8" s="108"/>
      <c r="D8" s="108"/>
      <c r="E8" s="108"/>
    </row>
    <row r="9" spans="1:7" ht="19.95" customHeight="1" x14ac:dyDescent="0.4">
      <c r="B9" s="47" t="s">
        <v>437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438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439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30682-1F0B-4388-9C97-7CEE0A9169DF}">
  <sheetPr codeName="Sheet3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413</v>
      </c>
    </row>
    <row r="2" spans="1:14" ht="10.050000000000001" customHeight="1" x14ac:dyDescent="0.4">
      <c r="N2" s="35" t="s">
        <v>324</v>
      </c>
    </row>
    <row r="3" spans="1:14" ht="30" customHeight="1" x14ac:dyDescent="0.4">
      <c r="B3" s="119" t="s">
        <v>414</v>
      </c>
      <c r="C3" s="80"/>
      <c r="D3" s="80"/>
      <c r="E3" s="80"/>
      <c r="F3" s="80"/>
      <c r="G3" s="80"/>
      <c r="H3" s="80"/>
      <c r="I3" s="80"/>
      <c r="J3" s="80"/>
      <c r="K3" s="80" t="s">
        <v>415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416</v>
      </c>
      <c r="C6" s="80"/>
      <c r="D6" s="80" t="s">
        <v>417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418</v>
      </c>
      <c r="J6" s="79"/>
      <c r="K6" s="79"/>
      <c r="L6" s="79"/>
    </row>
    <row r="7" spans="1:14" ht="22.95" customHeight="1" x14ac:dyDescent="0.4">
      <c r="B7" s="80"/>
      <c r="C7" s="80"/>
      <c r="D7" s="79" t="s">
        <v>419</v>
      </c>
      <c r="E7" s="79"/>
      <c r="F7" s="79"/>
      <c r="G7" s="79"/>
      <c r="H7" s="79"/>
      <c r="I7" s="28" t="s">
        <v>420</v>
      </c>
      <c r="J7" s="79"/>
      <c r="K7" s="79"/>
      <c r="L7" s="79"/>
    </row>
    <row r="8" spans="1:14" ht="22.95" customHeight="1" x14ac:dyDescent="0.4">
      <c r="B8" s="80"/>
      <c r="C8" s="80"/>
      <c r="D8" s="79" t="s">
        <v>368</v>
      </c>
      <c r="E8" s="79"/>
      <c r="F8" s="79"/>
      <c r="G8" s="79"/>
      <c r="H8" s="79"/>
      <c r="I8" s="28" t="s">
        <v>421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422</v>
      </c>
      <c r="C10" s="80"/>
      <c r="D10" s="80" t="s">
        <v>423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424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425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426</v>
      </c>
      <c r="C13" s="79"/>
      <c r="D13" s="80" t="s">
        <v>427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428</v>
      </c>
      <c r="C15" s="80"/>
      <c r="D15" s="80" t="s">
        <v>429</v>
      </c>
      <c r="E15" s="80"/>
      <c r="F15" s="80"/>
      <c r="G15" s="80"/>
      <c r="H15" s="80"/>
      <c r="I15" s="80" t="s">
        <v>430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431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C117-76A6-4F3F-930C-FA425B1866A5}">
  <sheetPr codeName="Sheet3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401</v>
      </c>
    </row>
    <row r="2" spans="1:9" x14ac:dyDescent="0.4">
      <c r="I2" s="35" t="s">
        <v>324</v>
      </c>
    </row>
    <row r="3" spans="1:9" x14ac:dyDescent="0.4">
      <c r="B3" s="77" t="s">
        <v>402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403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313</v>
      </c>
      <c r="C7" s="31" t="s">
        <v>81</v>
      </c>
      <c r="D7" s="31" t="s">
        <v>314</v>
      </c>
      <c r="E7" s="31" t="s">
        <v>82</v>
      </c>
      <c r="F7" s="31" t="s">
        <v>404</v>
      </c>
    </row>
    <row r="8" spans="1:9" ht="22.05" customHeight="1" x14ac:dyDescent="0.4">
      <c r="B8" s="80" t="s">
        <v>329</v>
      </c>
      <c r="C8" s="102" t="s">
        <v>405</v>
      </c>
      <c r="D8" s="32" t="s">
        <v>331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332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406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334</v>
      </c>
      <c r="E11" s="28">
        <v>4</v>
      </c>
      <c r="F11" s="79"/>
    </row>
    <row r="12" spans="1:9" ht="22.05" customHeight="1" x14ac:dyDescent="0.4">
      <c r="B12" s="80"/>
      <c r="C12" s="102" t="s">
        <v>407</v>
      </c>
      <c r="D12" s="32" t="s">
        <v>336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337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338</v>
      </c>
      <c r="E14" s="28">
        <v>5</v>
      </c>
      <c r="F14" s="79"/>
    </row>
    <row r="15" spans="1:9" ht="22.05" customHeight="1" x14ac:dyDescent="0.4">
      <c r="B15" s="80"/>
      <c r="C15" s="102" t="s">
        <v>408</v>
      </c>
      <c r="D15" s="32" t="s">
        <v>340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409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410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411</v>
      </c>
      <c r="E18" s="28">
        <v>5</v>
      </c>
      <c r="F18" s="79"/>
    </row>
    <row r="19" spans="2:6" ht="22.05" customHeight="1" x14ac:dyDescent="0.4">
      <c r="B19" s="80"/>
      <c r="C19" s="102" t="s">
        <v>344</v>
      </c>
      <c r="D19" s="32" t="s">
        <v>345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346</v>
      </c>
      <c r="E20" s="28">
        <v>0</v>
      </c>
      <c r="F20" s="79"/>
    </row>
    <row r="21" spans="2:6" x14ac:dyDescent="0.4">
      <c r="B21" s="75" t="s">
        <v>281</v>
      </c>
      <c r="C21" s="120"/>
      <c r="D21" s="120" t="s">
        <v>347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412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B5BB8-2F76-4416-8543-966B26EECC23}">
  <sheetPr codeName="Sheet3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366</v>
      </c>
    </row>
    <row r="2" spans="1:7" x14ac:dyDescent="0.4">
      <c r="G2" s="35" t="s">
        <v>324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367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368</v>
      </c>
      <c r="D7" s="39" t="s">
        <v>369</v>
      </c>
      <c r="E7" s="39" t="s">
        <v>370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371</v>
      </c>
      <c r="C10" s="39" t="s">
        <v>55</v>
      </c>
      <c r="D10" s="39" t="s">
        <v>372</v>
      </c>
      <c r="E10" s="39" t="s">
        <v>373</v>
      </c>
    </row>
    <row r="11" spans="1:7" ht="16.05" customHeight="1" x14ac:dyDescent="0.4">
      <c r="B11" s="44" t="s">
        <v>374</v>
      </c>
      <c r="C11" s="45" t="s">
        <v>375</v>
      </c>
      <c r="D11" s="45"/>
      <c r="E11" s="44"/>
    </row>
    <row r="12" spans="1:7" ht="16.05" customHeight="1" x14ac:dyDescent="0.4">
      <c r="B12" s="44" t="s">
        <v>376</v>
      </c>
      <c r="C12" s="45" t="s">
        <v>375</v>
      </c>
      <c r="D12" s="45"/>
      <c r="E12" s="44"/>
    </row>
    <row r="13" spans="1:7" ht="16.05" customHeight="1" x14ac:dyDescent="0.4">
      <c r="B13" s="44" t="s">
        <v>377</v>
      </c>
      <c r="C13" s="45" t="s">
        <v>375</v>
      </c>
      <c r="D13" s="45"/>
      <c r="E13" s="44"/>
    </row>
    <row r="14" spans="1:7" ht="16.05" customHeight="1" x14ac:dyDescent="0.4">
      <c r="B14" s="44" t="s">
        <v>378</v>
      </c>
      <c r="C14" s="45" t="s">
        <v>375</v>
      </c>
      <c r="D14" s="45"/>
      <c r="E14" s="44" t="s">
        <v>379</v>
      </c>
    </row>
    <row r="15" spans="1:7" ht="16.05" customHeight="1" x14ac:dyDescent="0.4">
      <c r="B15" s="44" t="s">
        <v>380</v>
      </c>
      <c r="C15" s="45" t="s">
        <v>375</v>
      </c>
      <c r="D15" s="45"/>
      <c r="E15" s="44"/>
    </row>
    <row r="16" spans="1:7" ht="16.05" customHeight="1" x14ac:dyDescent="0.4">
      <c r="B16" s="44" t="s">
        <v>381</v>
      </c>
      <c r="C16" s="45" t="s">
        <v>375</v>
      </c>
      <c r="D16" s="45"/>
      <c r="E16" s="44"/>
    </row>
    <row r="17" spans="2:5" ht="16.05" customHeight="1" x14ac:dyDescent="0.4">
      <c r="B17" s="44" t="s">
        <v>382</v>
      </c>
      <c r="C17" s="45" t="s">
        <v>375</v>
      </c>
      <c r="D17" s="45"/>
      <c r="E17" s="44"/>
    </row>
    <row r="18" spans="2:5" ht="16.05" customHeight="1" x14ac:dyDescent="0.4">
      <c r="B18" s="44" t="s">
        <v>383</v>
      </c>
      <c r="C18" s="45" t="s">
        <v>375</v>
      </c>
      <c r="D18" s="45"/>
      <c r="E18" s="44"/>
    </row>
    <row r="19" spans="2:5" ht="16.05" customHeight="1" x14ac:dyDescent="0.4">
      <c r="B19" s="44" t="s">
        <v>384</v>
      </c>
      <c r="C19" s="45" t="s">
        <v>375</v>
      </c>
      <c r="D19" s="45"/>
      <c r="E19" s="44"/>
    </row>
    <row r="20" spans="2:5" ht="16.05" customHeight="1" x14ac:dyDescent="0.4">
      <c r="B20" s="44" t="s">
        <v>385</v>
      </c>
      <c r="C20" s="45" t="s">
        <v>375</v>
      </c>
      <c r="D20" s="45"/>
      <c r="E20" s="44"/>
    </row>
    <row r="21" spans="2:5" ht="16.05" customHeight="1" x14ac:dyDescent="0.4">
      <c r="B21" s="44" t="s">
        <v>386</v>
      </c>
      <c r="C21" s="45" t="s">
        <v>375</v>
      </c>
      <c r="D21" s="45"/>
      <c r="E21" s="44"/>
    </row>
    <row r="22" spans="2:5" ht="24" customHeight="1" x14ac:dyDescent="0.4">
      <c r="B22" s="44" t="s">
        <v>387</v>
      </c>
      <c r="C22" s="45" t="s">
        <v>375</v>
      </c>
      <c r="D22" s="45"/>
      <c r="E22" s="44" t="s">
        <v>388</v>
      </c>
    </row>
    <row r="23" spans="2:5" ht="16.05" customHeight="1" x14ac:dyDescent="0.4">
      <c r="B23" s="44" t="s">
        <v>389</v>
      </c>
      <c r="C23" s="45" t="s">
        <v>390</v>
      </c>
      <c r="D23" s="45"/>
      <c r="E23" s="44" t="s">
        <v>391</v>
      </c>
    </row>
    <row r="24" spans="2:5" ht="16.05" customHeight="1" x14ac:dyDescent="0.4">
      <c r="B24" s="44" t="s">
        <v>392</v>
      </c>
      <c r="C24" s="45" t="s">
        <v>390</v>
      </c>
      <c r="D24" s="45"/>
      <c r="E24" s="44" t="s">
        <v>391</v>
      </c>
    </row>
    <row r="25" spans="2:5" ht="16.05" customHeight="1" x14ac:dyDescent="0.4">
      <c r="B25" s="44" t="s">
        <v>393</v>
      </c>
      <c r="C25" s="45" t="s">
        <v>390</v>
      </c>
      <c r="D25" s="45"/>
      <c r="E25" s="44" t="s">
        <v>391</v>
      </c>
    </row>
    <row r="26" spans="2:5" ht="16.05" customHeight="1" x14ac:dyDescent="0.4">
      <c r="B26" s="44" t="s">
        <v>394</v>
      </c>
      <c r="C26" s="45" t="s">
        <v>390</v>
      </c>
      <c r="D26" s="45"/>
      <c r="E26" s="44" t="s">
        <v>391</v>
      </c>
    </row>
    <row r="27" spans="2:5" ht="16.05" customHeight="1" x14ac:dyDescent="0.4">
      <c r="B27" s="44" t="s">
        <v>395</v>
      </c>
      <c r="C27" s="45" t="s">
        <v>390</v>
      </c>
      <c r="D27" s="45"/>
      <c r="E27" s="44" t="s">
        <v>391</v>
      </c>
    </row>
    <row r="28" spans="2:5" ht="16.05" customHeight="1" x14ac:dyDescent="0.4">
      <c r="B28" s="44" t="s">
        <v>396</v>
      </c>
      <c r="C28" s="45" t="s">
        <v>390</v>
      </c>
      <c r="D28" s="45"/>
      <c r="E28" s="44" t="s">
        <v>391</v>
      </c>
    </row>
    <row r="29" spans="2:5" ht="16.05" customHeight="1" x14ac:dyDescent="0.4">
      <c r="B29" s="44" t="s">
        <v>397</v>
      </c>
      <c r="C29" s="45" t="s">
        <v>390</v>
      </c>
      <c r="D29" s="45"/>
      <c r="E29" s="44" t="s">
        <v>391</v>
      </c>
    </row>
    <row r="30" spans="2:5" ht="16.05" customHeight="1" x14ac:dyDescent="0.4">
      <c r="B30" s="44" t="s">
        <v>398</v>
      </c>
      <c r="C30" s="45" t="s">
        <v>399</v>
      </c>
      <c r="D30" s="45"/>
      <c r="E30" s="44" t="s">
        <v>400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186A-74B2-4878-8573-642E24E32689}">
  <sheetPr codeName="Sheet3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349</v>
      </c>
    </row>
    <row r="2" spans="1:9" x14ac:dyDescent="0.4">
      <c r="I2" s="35" t="s">
        <v>324</v>
      </c>
    </row>
    <row r="3" spans="1:9" x14ac:dyDescent="0.4">
      <c r="B3" s="77" t="s">
        <v>350</v>
      </c>
      <c r="C3" s="78"/>
      <c r="D3" s="78"/>
      <c r="E3" s="78"/>
      <c r="F3" s="78"/>
      <c r="I3">
        <v>1</v>
      </c>
    </row>
    <row r="4" spans="1:9" x14ac:dyDescent="0.4">
      <c r="B4" s="77" t="s">
        <v>351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352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328</v>
      </c>
      <c r="C7" s="86"/>
      <c r="D7" s="86"/>
      <c r="E7" s="86"/>
      <c r="F7" s="86"/>
    </row>
    <row r="8" spans="1:9" x14ac:dyDescent="0.4">
      <c r="B8" s="31" t="s">
        <v>313</v>
      </c>
      <c r="C8" s="31" t="s">
        <v>81</v>
      </c>
      <c r="D8" s="31" t="s">
        <v>314</v>
      </c>
      <c r="E8" s="31" t="s">
        <v>82</v>
      </c>
      <c r="F8" s="31" t="s">
        <v>315</v>
      </c>
    </row>
    <row r="9" spans="1:9" ht="45" customHeight="1" x14ac:dyDescent="0.4">
      <c r="B9" s="80" t="s">
        <v>353</v>
      </c>
      <c r="C9" s="28" t="s">
        <v>354</v>
      </c>
      <c r="D9" s="32" t="s">
        <v>355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356</v>
      </c>
      <c r="D10" s="32" t="s">
        <v>357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358</v>
      </c>
      <c r="D11" s="32" t="s">
        <v>359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360</v>
      </c>
      <c r="D12" s="32" t="s">
        <v>361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362</v>
      </c>
      <c r="D13" s="32" t="s">
        <v>363</v>
      </c>
      <c r="E13" s="28" t="s">
        <v>364</v>
      </c>
      <c r="F13" s="28">
        <f>IFERROR(INDEX(기초자료입력!$L$44:$L$53,I3),"")</f>
        <v>0</v>
      </c>
    </row>
    <row r="14" spans="1:9" x14ac:dyDescent="0.4">
      <c r="B14" s="120" t="s">
        <v>281</v>
      </c>
      <c r="C14" s="120"/>
      <c r="D14" s="120" t="s">
        <v>347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306</v>
      </c>
      <c r="C17" s="78"/>
      <c r="D17" s="78"/>
      <c r="E17" s="78"/>
      <c r="F17" s="78"/>
    </row>
    <row r="18" spans="2:6" x14ac:dyDescent="0.4">
      <c r="B18" s="78" t="s">
        <v>365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F474-51BB-451F-9C89-B9E5A844E979}">
  <sheetPr codeName="Sheet3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323</v>
      </c>
    </row>
    <row r="2" spans="1:9" x14ac:dyDescent="0.4">
      <c r="I2" s="35" t="s">
        <v>324</v>
      </c>
    </row>
    <row r="3" spans="1:9" x14ac:dyDescent="0.4">
      <c r="B3" s="77" t="s">
        <v>325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326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327</v>
      </c>
      <c r="G5" s="36">
        <f>IFERROR(INDEX(기초자료입력!$B$44:$B$53,I3),"")</f>
        <v>0</v>
      </c>
    </row>
    <row r="6" spans="1:9" ht="24" customHeight="1" x14ac:dyDescent="0.4">
      <c r="B6" s="86" t="s">
        <v>328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313</v>
      </c>
      <c r="C8" s="31" t="s">
        <v>81</v>
      </c>
      <c r="D8" s="31" t="s">
        <v>314</v>
      </c>
      <c r="E8" s="31" t="s">
        <v>82</v>
      </c>
      <c r="F8" s="31" t="s">
        <v>315</v>
      </c>
      <c r="G8" s="36"/>
    </row>
    <row r="9" spans="1:9" ht="22.05" customHeight="1" x14ac:dyDescent="0.4">
      <c r="B9" s="80" t="s">
        <v>329</v>
      </c>
      <c r="C9" s="102" t="s">
        <v>330</v>
      </c>
      <c r="D9" s="32" t="s">
        <v>331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332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333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334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335</v>
      </c>
      <c r="D13" s="32" t="s">
        <v>336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337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338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339</v>
      </c>
      <c r="D16" s="32" t="s">
        <v>340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341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342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343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344</v>
      </c>
      <c r="D20" s="32" t="s">
        <v>345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346</v>
      </c>
      <c r="E21" s="28">
        <v>0</v>
      </c>
      <c r="F21" s="79"/>
      <c r="G21" s="29"/>
    </row>
    <row r="22" spans="2:7" x14ac:dyDescent="0.4">
      <c r="B22" s="75" t="s">
        <v>281</v>
      </c>
      <c r="C22" s="120"/>
      <c r="D22" s="120" t="s">
        <v>347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306</v>
      </c>
      <c r="C25" s="78"/>
      <c r="D25" s="78"/>
      <c r="E25" s="78"/>
      <c r="F25" s="78"/>
      <c r="G25" s="78"/>
    </row>
    <row r="26" spans="2:7" x14ac:dyDescent="0.4">
      <c r="B26" s="78" t="s">
        <v>348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E114-B6CD-401B-B9DF-02FF2E7C0B03}">
  <sheetPr codeName="Sheet3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308</v>
      </c>
    </row>
    <row r="3" spans="1:7" x14ac:dyDescent="0.4">
      <c r="B3" s="77" t="s">
        <v>309</v>
      </c>
      <c r="C3" s="78"/>
      <c r="D3" s="78"/>
      <c r="E3" s="78"/>
      <c r="F3" s="78"/>
      <c r="G3" s="78"/>
    </row>
    <row r="4" spans="1:7" x14ac:dyDescent="0.4">
      <c r="B4" s="78" t="s">
        <v>310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311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312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313</v>
      </c>
      <c r="C9" s="31" t="s">
        <v>81</v>
      </c>
      <c r="D9" s="31" t="s">
        <v>314</v>
      </c>
      <c r="E9" s="31" t="s">
        <v>82</v>
      </c>
      <c r="F9" s="31" t="s">
        <v>315</v>
      </c>
      <c r="G9" s="31" t="s">
        <v>302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316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316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316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316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316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316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316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316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316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316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317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318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319</v>
      </c>
      <c r="C22" s="86"/>
      <c r="D22" s="86"/>
      <c r="E22" s="86"/>
      <c r="F22" s="86"/>
      <c r="G22" s="86"/>
    </row>
    <row r="23" spans="2:7" ht="30" customHeight="1" x14ac:dyDescent="0.4">
      <c r="B23" s="86" t="s">
        <v>320</v>
      </c>
      <c r="C23" s="86"/>
      <c r="D23" s="86"/>
      <c r="E23" s="86"/>
      <c r="F23" s="86"/>
      <c r="G23" s="86"/>
    </row>
    <row r="24" spans="2:7" ht="30" customHeight="1" x14ac:dyDescent="0.4">
      <c r="B24" s="86" t="s">
        <v>321</v>
      </c>
      <c r="C24" s="86"/>
      <c r="D24" s="86"/>
      <c r="E24" s="86"/>
      <c r="F24" s="86"/>
      <c r="G24" s="86"/>
    </row>
    <row r="25" spans="2:7" ht="30" customHeight="1" x14ac:dyDescent="0.4">
      <c r="B25" s="86" t="s">
        <v>322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D6C1-EE32-48A9-A983-8794E3817F25}">
  <sheetPr codeName="Sheet3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282</v>
      </c>
    </row>
    <row r="3" spans="1:7" ht="30" customHeight="1" x14ac:dyDescent="0.4">
      <c r="B3" s="74" t="s">
        <v>298</v>
      </c>
      <c r="C3" s="73"/>
      <c r="D3" s="73"/>
      <c r="E3" s="73"/>
      <c r="F3" s="73"/>
      <c r="G3" s="73"/>
    </row>
    <row r="4" spans="1:7" x14ac:dyDescent="0.4">
      <c r="B4" s="73" t="s">
        <v>299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300</v>
      </c>
      <c r="C8" s="97"/>
      <c r="D8" s="26" t="s">
        <v>55</v>
      </c>
      <c r="E8" s="26" t="s">
        <v>301</v>
      </c>
      <c r="F8" s="97" t="s">
        <v>302</v>
      </c>
      <c r="G8" s="97"/>
    </row>
    <row r="9" spans="1:7" x14ac:dyDescent="0.4">
      <c r="B9" s="96" t="s">
        <v>303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305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281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306</v>
      </c>
      <c r="C17" s="83"/>
      <c r="D17" s="83"/>
      <c r="E17" s="83"/>
      <c r="F17" s="83"/>
      <c r="G17" s="83"/>
    </row>
    <row r="18" spans="2:7" x14ac:dyDescent="0.4">
      <c r="B18" s="83" t="s">
        <v>307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2067-6A09-40C4-A622-12F1D41C77BB}">
  <sheetPr codeName="Sheet3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282</v>
      </c>
    </row>
    <row r="3" spans="1:8" ht="30" customHeight="1" x14ac:dyDescent="0.4">
      <c r="B3" s="125" t="s">
        <v>274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276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283</v>
      </c>
      <c r="C8" s="96"/>
      <c r="D8" s="96"/>
      <c r="E8" s="96"/>
      <c r="F8" s="96"/>
      <c r="G8" s="96"/>
      <c r="H8" s="96"/>
    </row>
    <row r="9" spans="1:8" x14ac:dyDescent="0.4">
      <c r="B9" s="25" t="s">
        <v>277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284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287</v>
      </c>
      <c r="C17" s="22" t="s">
        <v>289</v>
      </c>
      <c r="D17" s="22"/>
      <c r="E17" s="22"/>
      <c r="F17" s="22"/>
      <c r="G17" s="22"/>
      <c r="H17" s="22"/>
    </row>
    <row r="18" spans="2:8" x14ac:dyDescent="0.4">
      <c r="B18" s="25" t="s">
        <v>288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279</v>
      </c>
      <c r="G23" s="22" t="s">
        <v>290</v>
      </c>
      <c r="H23" s="22" t="s">
        <v>280</v>
      </c>
    </row>
    <row r="24" spans="2:8" x14ac:dyDescent="0.4">
      <c r="B24" s="25" t="s">
        <v>291</v>
      </c>
      <c r="C24" s="96" t="str">
        <f>IF(기초자료입력!C9&lt;&gt;"",기초자료입력!C9,"")</f>
        <v/>
      </c>
      <c r="D24" s="96"/>
      <c r="E24" s="96"/>
      <c r="F24" s="25" t="s">
        <v>292</v>
      </c>
      <c r="G24" s="96"/>
      <c r="H24" s="96"/>
    </row>
    <row r="25" spans="2:8" x14ac:dyDescent="0.4">
      <c r="B25" s="25" t="s">
        <v>293</v>
      </c>
      <c r="C25" s="22"/>
      <c r="D25" s="25" t="s">
        <v>294</v>
      </c>
      <c r="E25" s="96"/>
      <c r="F25" s="96"/>
      <c r="G25" s="96"/>
      <c r="H25" s="96"/>
    </row>
    <row r="26" spans="2:8" x14ac:dyDescent="0.4">
      <c r="B26" s="25" t="s">
        <v>295</v>
      </c>
      <c r="C26" s="22"/>
      <c r="D26" s="25" t="s">
        <v>296</v>
      </c>
      <c r="E26" s="22"/>
      <c r="F26" s="25" t="s">
        <v>297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7D98D-8D18-43E5-9DED-D09C65C0324A}">
  <sheetPr codeName="Sheet4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262</v>
      </c>
      <c r="C52" s="18" t="s">
        <v>263</v>
      </c>
      <c r="D52" s="18" t="s">
        <v>252</v>
      </c>
      <c r="E52" s="18" t="s">
        <v>129</v>
      </c>
      <c r="F52" s="18" t="s">
        <v>264</v>
      </c>
    </row>
    <row r="53" spans="1:6" x14ac:dyDescent="0.4">
      <c r="A53" s="19" t="b">
        <v>0</v>
      </c>
      <c r="B53" s="18" t="s">
        <v>265</v>
      </c>
      <c r="C53" s="18" t="s">
        <v>266</v>
      </c>
      <c r="D53" s="18" t="s">
        <v>267</v>
      </c>
      <c r="E53" s="18" t="s">
        <v>152</v>
      </c>
      <c r="F53" s="18"/>
    </row>
    <row r="54" spans="1:6" x14ac:dyDescent="0.4">
      <c r="A54" s="19" t="b">
        <v>0</v>
      </c>
      <c r="B54" s="18" t="s">
        <v>268</v>
      </c>
      <c r="C54" s="18" t="s">
        <v>269</v>
      </c>
      <c r="D54" s="18" t="s">
        <v>267</v>
      </c>
      <c r="E54" s="18" t="s">
        <v>152</v>
      </c>
      <c r="F54" s="18"/>
    </row>
    <row r="55" spans="1:6" x14ac:dyDescent="0.4">
      <c r="A55" s="19" t="b">
        <v>0</v>
      </c>
      <c r="B55" s="18" t="s">
        <v>270</v>
      </c>
      <c r="C55" s="18" t="s">
        <v>271</v>
      </c>
      <c r="D55" s="18" t="s">
        <v>267</v>
      </c>
      <c r="E55" s="18" t="s">
        <v>152</v>
      </c>
      <c r="F55" s="18"/>
    </row>
    <row r="56" spans="1:6" x14ac:dyDescent="0.4">
      <c r="A56" s="19" t="b">
        <v>0</v>
      </c>
      <c r="B56" s="18" t="s">
        <v>272</v>
      </c>
      <c r="C56" s="18" t="s">
        <v>273</v>
      </c>
      <c r="D56" s="18" t="s">
        <v>267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52446-D4AE-4CD0-A0E0-C6A95F44CB19}">
  <sheetPr codeName="Sheet4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A7F52446-D4AE-4CD0-A0E0-C6A95F44CB19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D6E77-8356-47DB-A5C9-85DD362A35F8}">
  <sheetPr codeName="Sheet4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FDDD6E77-8356-47DB-A5C9-85DD362A35F8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A7AF-CA2D-43D0-AFF2-C4283BFB9D66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06E8A7AF-CA2D-43D0-AFF2-C4283BFB9D66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806A-48F9-41C5-B472-6E7AEA5B8E9B}">
  <sheetPr codeName="Sheet4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7DB6806A-48F9-41C5-B472-6E7AEA5B8E9B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0D7B-7D0A-4744-A191-BBB7067DA683}">
  <sheetPr codeName="Sheet4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20970D7B-7D0A-4744-A191-BBB7067DA683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282E6-CC87-48CF-ACD0-4858033AC578}">
  <sheetPr codeName="Sheet4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E0282E6-CC87-48CF-ACD0-4858033AC578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C502-9CB8-41B8-B836-2F75CF4DB6E7}">
  <sheetPr codeName="Sheet4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9F9AC502-9CB8-41B8-B836-2F75CF4DB6E7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A444D-8321-4C09-BC7E-B7BA608C6FD4}">
  <sheetPr codeName="Sheet4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0F9A444D-8321-4C09-BC7E-B7BA608C6FD4}"/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C389A-E661-4AA8-914A-571D2706AE1B}">
  <sheetPr codeName="Sheet4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1168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F8E38-D1ED-4590-9224-FB23ACF410E7}">
  <sheetPr codeName="Sheet5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43</vt:i4>
      </vt:variant>
      <vt:variant>
        <vt:lpstr>이름 지정된 범위</vt:lpstr>
      </vt:variant>
      <vt:variant>
        <vt:i4>35</vt:i4>
      </vt:variant>
    </vt:vector>
  </HeadingPairs>
  <TitlesOfParts>
    <vt:vector size="78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F-048_교복구매안내신청수량파악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  <vt:lpstr>'F-048_교복구매안내신청수량파악'!Print_Area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2026-09-19T13:33:24Z</dcterms:created>
  <dcterms:modified xsi:type="dcterms:W3CDTF">2026-09-19T13:36:31Z</dcterms:modified>
</cp:coreProperties>
</file>