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2A8A3BCE-A5D7-4E41-83A3-5D50A9AC5857}" xr6:coauthVersionLast="47" xr6:coauthVersionMax="47" xr10:uidLastSave="{00000000-0000-0000-0000-000000000000}"/>
  <bookViews>
    <workbookView xWindow="-108" yWindow="-108" windowWidth="23256" windowHeight="12576" firstSheet="35" activeTab="48" xr2:uid="{1006E2A8-E4C1-423A-A973-3F7ED9B7344A}"/>
  </bookViews>
  <sheets>
    <sheet name="계약방법안내" sheetId="49" r:id="rId1"/>
    <sheet name="절차안내" sheetId="48" r:id="rId2"/>
    <sheet name="학교검색" sheetId="47" r:id="rId3"/>
    <sheet name="학교정보" sheetId="46" r:id="rId4"/>
    <sheet name="F-040_위원청렴보안서약서" sheetId="45" r:id="rId5"/>
    <sheet name="F-039_업체별제안서평가표" sheetId="44" r:id="rId6"/>
    <sheet name="F-038_업체참가등록부" sheetId="43" r:id="rId7"/>
    <sheet name="F-037_평가위원회참석등록부" sheetId="42" r:id="rId8"/>
    <sheet name="F-036_제안서평가결과" sheetId="41" r:id="rId9"/>
    <sheet name="F-035_정량평가결과" sheetId="40" r:id="rId10"/>
    <sheet name="F-034_평가위원회개최" sheetId="39" r:id="rId11"/>
    <sheet name="F-033_제안서접수대장" sheetId="38" r:id="rId12"/>
    <sheet name="F-032_제안서접수결과" sheetId="37" r:id="rId13"/>
    <sheet name="F-046_수요조사가정통신문안내" sheetId="36" r:id="rId14"/>
    <sheet name="F-045_사전안내가정통신문" sheetId="35" r:id="rId15"/>
    <sheet name="F-044_사전안내가정통신문안내" sheetId="34" r:id="rId16"/>
    <sheet name="F-043_계약체결" sheetId="33" r:id="rId17"/>
    <sheet name="F-042_낙찰자결정통보" sheetId="32" r:id="rId18"/>
    <sheet name="F-041_낙찰자결정" sheetId="31" r:id="rId19"/>
    <sheet name="F-006_운영위원회심의안" sheetId="30" r:id="rId20"/>
    <sheet name="F-005_구매추진계획안" sheetId="29" r:id="rId21"/>
    <sheet name="F-004_구매추진계획수립기안문" sheetId="28" r:id="rId22"/>
    <sheet name="F-003_위원청렴보안서약서" sheetId="27" r:id="rId23"/>
    <sheet name="F-002_위원수락확인서" sheetId="26" r:id="rId24"/>
    <sheet name="F-001_위원회구성기안" sheetId="25" r:id="rId25"/>
    <sheet name="F-025_교복AS계획서" sheetId="24" r:id="rId26"/>
    <sheet name="F-023_교복제조사양서" sheetId="23" r:id="rId27"/>
    <sheet name="F-022_교복납품실적표" sheetId="22" r:id="rId28"/>
    <sheet name="F-021_교복납품제안서" sheetId="21" r:id="rId29"/>
    <sheet name="F-020_입찰참가신고서" sheetId="20" r:id="rId30"/>
    <sheet name="F-019_입찰참가신청서" sheetId="19" r:id="rId31"/>
    <sheet name="F-018_정량적평가자기평점표" sheetId="18" r:id="rId32"/>
    <sheet name="F-017_제출서류자기확인서" sheetId="17" r:id="rId33"/>
    <sheet name="F-016_정성적평가" sheetId="16" r:id="rId34"/>
    <sheet name="F-015_정량적평가" sheetId="15" r:id="rId35"/>
    <sheet name="F-014_평가항목배점기준" sheetId="14" r:id="rId36"/>
    <sheet name="F-024_단가비율표" sheetId="13" r:id="rId37"/>
    <sheet name="F-007_구매요청기안문" sheetId="12" r:id="rId38"/>
    <sheet name="서식선택_출력" sheetId="11" r:id="rId39"/>
    <sheet name="DB_자기평점" sheetId="10" state="veryHidden" r:id="rId40"/>
    <sheet name="DB_정성평가" sheetId="9" state="veryHidden" r:id="rId41"/>
    <sheet name="DB_정량평가" sheetId="8" state="veryHidden" r:id="rId42"/>
    <sheet name="DB_평가" sheetId="7" state="veryHidden" r:id="rId43"/>
    <sheet name="DB_위원" sheetId="6" state="veryHidden" r:id="rId44"/>
    <sheet name="DB_업체" sheetId="5" state="veryHidden" r:id="rId45"/>
    <sheet name="DB_품목" sheetId="4" state="veryHidden" r:id="rId46"/>
    <sheet name="DB" sheetId="3" state="hidden" r:id="rId47"/>
    <sheet name="기초자료입력" sheetId="2" r:id="rId48"/>
    <sheet name="사용설명서" sheetId="1" r:id="rId49"/>
  </sheets>
  <functionGroups builtInGroupCount="19"/>
  <definedNames>
    <definedName name="_xlnm._FilterDatabase" localSheetId="46" hidden="1">DB!$A$1:$T$1</definedName>
    <definedName name="_xlnm._FilterDatabase" localSheetId="44" hidden="1">DB_업체!$A$1:$C$1</definedName>
    <definedName name="_xlnm._FilterDatabase" localSheetId="43" hidden="1">DB_위원!$A$1:$D$1</definedName>
    <definedName name="_xlnm._FilterDatabase" localSheetId="39" hidden="1">DB_자기평점!$A$1:$F$1</definedName>
    <definedName name="_xlnm._FilterDatabase" localSheetId="41" hidden="1">DB_정량평가!$A$1:$F$1</definedName>
    <definedName name="_xlnm._FilterDatabase" localSheetId="40" hidden="1">DB_정성평가!$A$1:$G$1</definedName>
    <definedName name="_xlnm._FilterDatabase" localSheetId="42" hidden="1">DB_평가!$A$1:$E$1</definedName>
    <definedName name="_xlnm._FilterDatabase" localSheetId="45" hidden="1">DB_품목!$A$1:$F$1</definedName>
    <definedName name="_xlnm.Print_Area" localSheetId="24">'F-001_위원회구성기안'!$A$1:$H$43</definedName>
    <definedName name="_xlnm.Print_Area" localSheetId="23">'F-002_위원수락확인서'!$A$1:$E$21</definedName>
    <definedName name="_xlnm.Print_Area" localSheetId="22">'F-003_위원청렴보안서약서'!$A$1:$E$20</definedName>
    <definedName name="_xlnm.Print_Area" localSheetId="21">'F-004_구매추진계획수립기안문'!$A$1:$H$20</definedName>
    <definedName name="_xlnm.Print_Area" localSheetId="20">'F-005_구매추진계획안'!$A$1:$G$90</definedName>
    <definedName name="_xlnm.Print_Area" localSheetId="19">'F-006_운영위원회심의안'!$A$1:$H$40</definedName>
    <definedName name="_xlnm.Print_Area" localSheetId="37">'F-007_구매요청기안문'!$A$1:$H$26</definedName>
    <definedName name="_xlnm.Print_Area" localSheetId="35">'F-014_평가항목배점기준'!$A$1:$G$25</definedName>
    <definedName name="_xlnm.Print_Area" localSheetId="34">'F-015_정량적평가'!$B$1:$G$26</definedName>
    <definedName name="_xlnm.Print_Area" localSheetId="33">'F-016_정성적평가'!$B$1:$F$18</definedName>
    <definedName name="_xlnm.Print_Area" localSheetId="32">'F-017_제출서류자기확인서'!$B$1:$E$30</definedName>
    <definedName name="_xlnm.Print_Area" localSheetId="31">'F-018_정량적평가자기평점표'!$B$1:$F$25</definedName>
    <definedName name="_xlnm.Print_Area" localSheetId="30">'F-019_입찰참가신청서'!$B$1:$L$25</definedName>
    <definedName name="_xlnm.Print_Area" localSheetId="29">'F-020_입찰참가신고서'!$B$1:$E$20</definedName>
    <definedName name="_xlnm.Print_Area" localSheetId="28">'F-021_교복납품제안서'!$B$1:$E$31</definedName>
    <definedName name="_xlnm.Print_Area" localSheetId="27">'F-022_교복납품실적표'!$B$1:$G$25</definedName>
    <definedName name="_xlnm.Print_Area" localSheetId="26">'F-023_교복제조사양서'!$B$1:$E$21</definedName>
    <definedName name="_xlnm.Print_Area" localSheetId="36">'F-024_단가비율표'!$A$1:$G$19</definedName>
    <definedName name="_xlnm.Print_Area" localSheetId="25">'F-025_교복AS계획서'!$B$1:$E$31</definedName>
    <definedName name="_xlnm.Print_Area" localSheetId="12">'F-032_제안서접수결과'!$A$1:$H$36</definedName>
    <definedName name="_xlnm.Print_Area" localSheetId="11">'F-033_제안서접수대장'!$A$1:$L$21</definedName>
    <definedName name="_xlnm.Print_Area" localSheetId="10">'F-034_평가위원회개최'!$A$1:$H$38</definedName>
    <definedName name="_xlnm.Print_Area" localSheetId="9">'F-035_정량평가결과'!$A$1:$H$36</definedName>
    <definedName name="_xlnm.Print_Area" localSheetId="8">'F-036_제안서평가결과'!$A$1:$G$38</definedName>
    <definedName name="_xlnm.Print_Area" localSheetId="7">'F-037_평가위원회참석등록부'!$A$1:$H$21</definedName>
    <definedName name="_xlnm.Print_Area" localSheetId="6">'F-038_업체참가등록부'!$A$1:$I$23</definedName>
    <definedName name="_xlnm.Print_Area" localSheetId="5">'F-039_업체별제안서평가표'!$A$1:$J$19</definedName>
    <definedName name="_xlnm.Print_Area" localSheetId="4">'F-040_위원청렴보안서약서'!$A$1:$H$25</definedName>
    <definedName name="_xlnm.Print_Area" localSheetId="18">'F-041_낙찰자결정'!$A$1:$H$29</definedName>
    <definedName name="_xlnm.Print_Area" localSheetId="17">'F-042_낙찰자결정통보'!$A$1:$H$29</definedName>
    <definedName name="_xlnm.Print_Area" localSheetId="16">'F-043_계약체결'!$A$1:$H$37</definedName>
    <definedName name="_xlnm.Print_Area" localSheetId="15">'F-044_사전안내가정통신문안내'!$A$1:$H$25</definedName>
    <definedName name="_xlnm.Print_Area" localSheetId="14">'F-045_사전안내가정통신문'!$A$1:$H$22</definedName>
    <definedName name="_xlnm.Print_Area" localSheetId="13">'F-046_수요조사가정통신문안내'!$A$1:$H$25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49" l="1"/>
  <c r="B25" i="45"/>
  <c r="B21" i="45"/>
  <c r="B10" i="45"/>
  <c r="B7" i="45"/>
  <c r="B5" i="45"/>
  <c r="I17" i="44"/>
  <c r="I16" i="44"/>
  <c r="H17" i="44"/>
  <c r="H16" i="44"/>
  <c r="G17" i="44"/>
  <c r="G16" i="44"/>
  <c r="F17" i="44"/>
  <c r="F16" i="44"/>
  <c r="E17" i="44"/>
  <c r="E16" i="44"/>
  <c r="I15" i="44"/>
  <c r="I14" i="44"/>
  <c r="I13" i="44"/>
  <c r="I12" i="44"/>
  <c r="I11" i="44"/>
  <c r="I10" i="44"/>
  <c r="I9" i="44"/>
  <c r="I8" i="44"/>
  <c r="C8" i="44"/>
  <c r="B8" i="44"/>
  <c r="G5" i="44"/>
  <c r="E5" i="44"/>
  <c r="C5" i="44"/>
  <c r="B3" i="44"/>
  <c r="B18" i="43"/>
  <c r="B17" i="43"/>
  <c r="B16" i="43"/>
  <c r="B15" i="43"/>
  <c r="B14" i="43"/>
  <c r="B13" i="43"/>
  <c r="B12" i="43"/>
  <c r="B11" i="43"/>
  <c r="B10" i="43"/>
  <c r="B9" i="43"/>
  <c r="B5" i="43"/>
  <c r="C21" i="42"/>
  <c r="C20" i="42"/>
  <c r="C19" i="42"/>
  <c r="C18" i="42"/>
  <c r="C17" i="42"/>
  <c r="C16" i="42"/>
  <c r="C15" i="42"/>
  <c r="C14" i="42"/>
  <c r="C13" i="42"/>
  <c r="C12" i="42"/>
  <c r="B5" i="42"/>
  <c r="B3" i="42"/>
  <c r="C38" i="41"/>
  <c r="G28" i="41"/>
  <c r="F28" i="41"/>
  <c r="E28" i="41"/>
  <c r="D28" i="41"/>
  <c r="C28" i="41"/>
  <c r="B28" i="41"/>
  <c r="G27" i="41"/>
  <c r="F27" i="41"/>
  <c r="E27" i="41"/>
  <c r="D27" i="41"/>
  <c r="C27" i="41"/>
  <c r="B27" i="41"/>
  <c r="G26" i="41"/>
  <c r="F26" i="41"/>
  <c r="E26" i="41"/>
  <c r="D26" i="41"/>
  <c r="C26" i="41"/>
  <c r="B26" i="41"/>
  <c r="G25" i="41"/>
  <c r="F25" i="41"/>
  <c r="E25" i="41"/>
  <c r="D25" i="41"/>
  <c r="C25" i="41"/>
  <c r="B25" i="41"/>
  <c r="G24" i="41"/>
  <c r="F24" i="41"/>
  <c r="E24" i="41"/>
  <c r="D24" i="41"/>
  <c r="C24" i="41"/>
  <c r="B24" i="41"/>
  <c r="G23" i="41"/>
  <c r="F23" i="41"/>
  <c r="E23" i="41"/>
  <c r="D23" i="41"/>
  <c r="C23" i="41"/>
  <c r="B23" i="41"/>
  <c r="G22" i="41"/>
  <c r="F22" i="41"/>
  <c r="E22" i="41"/>
  <c r="D22" i="41"/>
  <c r="C22" i="41"/>
  <c r="B22" i="41"/>
  <c r="G21" i="41"/>
  <c r="F21" i="41"/>
  <c r="E21" i="41"/>
  <c r="D21" i="41"/>
  <c r="C21" i="41"/>
  <c r="B21" i="41"/>
  <c r="G20" i="41"/>
  <c r="F20" i="41"/>
  <c r="E20" i="41"/>
  <c r="D20" i="41"/>
  <c r="C20" i="41"/>
  <c r="B20" i="41"/>
  <c r="G19" i="41"/>
  <c r="F19" i="41"/>
  <c r="E19" i="41"/>
  <c r="D19" i="41"/>
  <c r="C19" i="41"/>
  <c r="B19" i="41"/>
  <c r="B13" i="41"/>
  <c r="B11" i="41"/>
  <c r="C9" i="41"/>
  <c r="F5" i="41"/>
  <c r="C5" i="41"/>
  <c r="B3" i="41"/>
  <c r="C34" i="40"/>
  <c r="H28" i="40"/>
  <c r="G28" i="40"/>
  <c r="F28" i="40"/>
  <c r="E28" i="40"/>
  <c r="D28" i="40"/>
  <c r="C28" i="40"/>
  <c r="B28" i="40"/>
  <c r="H27" i="40"/>
  <c r="G27" i="40"/>
  <c r="F27" i="40"/>
  <c r="E27" i="40"/>
  <c r="D27" i="40"/>
  <c r="C27" i="40"/>
  <c r="B27" i="40"/>
  <c r="H26" i="40"/>
  <c r="G26" i="40"/>
  <c r="F26" i="40"/>
  <c r="E26" i="40"/>
  <c r="D26" i="40"/>
  <c r="C26" i="40"/>
  <c r="B26" i="40"/>
  <c r="H25" i="40"/>
  <c r="G25" i="40"/>
  <c r="F25" i="40"/>
  <c r="E25" i="40"/>
  <c r="D25" i="40"/>
  <c r="C25" i="40"/>
  <c r="B25" i="40"/>
  <c r="H24" i="40"/>
  <c r="G24" i="40"/>
  <c r="F24" i="40"/>
  <c r="E24" i="40"/>
  <c r="D24" i="40"/>
  <c r="C24" i="40"/>
  <c r="B24" i="40"/>
  <c r="H23" i="40"/>
  <c r="G23" i="40"/>
  <c r="F23" i="40"/>
  <c r="E23" i="40"/>
  <c r="D23" i="40"/>
  <c r="C23" i="40"/>
  <c r="B23" i="40"/>
  <c r="H22" i="40"/>
  <c r="G22" i="40"/>
  <c r="F22" i="40"/>
  <c r="E22" i="40"/>
  <c r="D22" i="40"/>
  <c r="C22" i="40"/>
  <c r="B22" i="40"/>
  <c r="H21" i="40"/>
  <c r="G21" i="40"/>
  <c r="F21" i="40"/>
  <c r="E21" i="40"/>
  <c r="D21" i="40"/>
  <c r="C21" i="40"/>
  <c r="B21" i="40"/>
  <c r="H20" i="40"/>
  <c r="G20" i="40"/>
  <c r="F20" i="40"/>
  <c r="E20" i="40"/>
  <c r="D20" i="40"/>
  <c r="C20" i="40"/>
  <c r="B20" i="40"/>
  <c r="H19" i="40"/>
  <c r="G19" i="40"/>
  <c r="F19" i="40"/>
  <c r="E19" i="40"/>
  <c r="D19" i="40"/>
  <c r="C19" i="40"/>
  <c r="B19" i="40"/>
  <c r="B13" i="40"/>
  <c r="B11" i="40"/>
  <c r="C9" i="40"/>
  <c r="F5" i="40"/>
  <c r="C5" i="40"/>
  <c r="B3" i="40"/>
  <c r="C36" i="39"/>
  <c r="D30" i="39"/>
  <c r="C30" i="39"/>
  <c r="B30" i="39"/>
  <c r="D29" i="39"/>
  <c r="C29" i="39"/>
  <c r="B29" i="39"/>
  <c r="D28" i="39"/>
  <c r="C28" i="39"/>
  <c r="B28" i="39"/>
  <c r="D27" i="39"/>
  <c r="C27" i="39"/>
  <c r="B27" i="39"/>
  <c r="D26" i="39"/>
  <c r="C26" i="39"/>
  <c r="B26" i="39"/>
  <c r="D25" i="39"/>
  <c r="C25" i="39"/>
  <c r="B25" i="39"/>
  <c r="D24" i="39"/>
  <c r="C24" i="39"/>
  <c r="B24" i="39"/>
  <c r="D23" i="39"/>
  <c r="C23" i="39"/>
  <c r="B23" i="39"/>
  <c r="D22" i="39"/>
  <c r="C22" i="39"/>
  <c r="B22" i="39"/>
  <c r="D21" i="39"/>
  <c r="C21" i="39"/>
  <c r="B21" i="39"/>
  <c r="C18" i="39"/>
  <c r="B13" i="39"/>
  <c r="B11" i="39"/>
  <c r="C9" i="39"/>
  <c r="F5" i="39"/>
  <c r="C5" i="39"/>
  <c r="B3" i="39"/>
  <c r="D17" i="38"/>
  <c r="C17" i="38"/>
  <c r="D16" i="38"/>
  <c r="C16" i="38"/>
  <c r="D15" i="38"/>
  <c r="C15" i="38"/>
  <c r="D14" i="38"/>
  <c r="C14" i="38"/>
  <c r="D13" i="38"/>
  <c r="C13" i="38"/>
  <c r="D12" i="38"/>
  <c r="C12" i="38"/>
  <c r="D11" i="38"/>
  <c r="C11" i="38"/>
  <c r="D10" i="38"/>
  <c r="C10" i="38"/>
  <c r="D9" i="38"/>
  <c r="C9" i="38"/>
  <c r="D8" i="38"/>
  <c r="C8" i="38"/>
  <c r="B4" i="38"/>
  <c r="B3" i="38"/>
  <c r="C34" i="37"/>
  <c r="B30" i="37"/>
  <c r="D28" i="37"/>
  <c r="B28" i="37"/>
  <c r="D27" i="37"/>
  <c r="B27" i="37"/>
  <c r="D26" i="37"/>
  <c r="B26" i="37"/>
  <c r="D25" i="37"/>
  <c r="B25" i="37"/>
  <c r="D24" i="37"/>
  <c r="B24" i="37"/>
  <c r="D23" i="37"/>
  <c r="B23" i="37"/>
  <c r="D22" i="37"/>
  <c r="B22" i="37"/>
  <c r="D21" i="37"/>
  <c r="B21" i="37"/>
  <c r="D20" i="37"/>
  <c r="B20" i="37"/>
  <c r="D19" i="37"/>
  <c r="B19" i="37"/>
  <c r="B13" i="37"/>
  <c r="B11" i="37"/>
  <c r="C9" i="37"/>
  <c r="F5" i="37"/>
  <c r="C5" i="37"/>
  <c r="B3" i="37"/>
  <c r="C23" i="36"/>
  <c r="C16" i="36"/>
  <c r="C15" i="36"/>
  <c r="C9" i="36"/>
  <c r="F5" i="36"/>
  <c r="C5" i="36"/>
  <c r="G2" i="36"/>
  <c r="B22" i="35"/>
  <c r="B21" i="35"/>
  <c r="B8" i="35"/>
  <c r="B3" i="35"/>
  <c r="C23" i="34"/>
  <c r="C16" i="34"/>
  <c r="C15" i="34"/>
  <c r="C9" i="34"/>
  <c r="F5" i="34"/>
  <c r="C5" i="34"/>
  <c r="G2" i="34"/>
  <c r="C35" i="33"/>
  <c r="B25" i="33"/>
  <c r="B22" i="33"/>
  <c r="C17" i="33"/>
  <c r="C15" i="33"/>
  <c r="B13" i="33"/>
  <c r="C11" i="33"/>
  <c r="C9" i="33"/>
  <c r="F5" i="33"/>
  <c r="C5" i="33"/>
  <c r="C27" i="32"/>
  <c r="E17" i="32"/>
  <c r="B17" i="32"/>
  <c r="B13" i="32"/>
  <c r="C9" i="32"/>
  <c r="C7" i="32"/>
  <c r="F5" i="32"/>
  <c r="C5" i="32"/>
  <c r="C27" i="31"/>
  <c r="C21" i="31"/>
  <c r="C16" i="31"/>
  <c r="C15" i="31"/>
  <c r="B13" i="31"/>
  <c r="C11" i="31"/>
  <c r="C9" i="31"/>
  <c r="F5" i="31"/>
  <c r="C5" i="31"/>
  <c r="B38" i="30"/>
  <c r="E35" i="30"/>
  <c r="D35" i="30"/>
  <c r="C35" i="30"/>
  <c r="B35" i="30"/>
  <c r="E34" i="30"/>
  <c r="D34" i="30"/>
  <c r="C34" i="30"/>
  <c r="B34" i="30"/>
  <c r="E33" i="30"/>
  <c r="D33" i="30"/>
  <c r="C33" i="30"/>
  <c r="B33" i="30"/>
  <c r="E32" i="30"/>
  <c r="D32" i="30"/>
  <c r="C32" i="30"/>
  <c r="B32" i="30"/>
  <c r="E31" i="30"/>
  <c r="D31" i="30"/>
  <c r="C31" i="30"/>
  <c r="B31" i="30"/>
  <c r="E30" i="30"/>
  <c r="D30" i="30"/>
  <c r="C30" i="30"/>
  <c r="B30" i="30"/>
  <c r="E29" i="30"/>
  <c r="D29" i="30"/>
  <c r="C29" i="30"/>
  <c r="B29" i="30"/>
  <c r="E28" i="30"/>
  <c r="D28" i="30"/>
  <c r="C28" i="30"/>
  <c r="B28" i="30"/>
  <c r="E27" i="30"/>
  <c r="D27" i="30"/>
  <c r="C27" i="30"/>
  <c r="B27" i="30"/>
  <c r="E26" i="30"/>
  <c r="D26" i="30"/>
  <c r="C26" i="30"/>
  <c r="B26" i="30"/>
  <c r="B22" i="30"/>
  <c r="B13" i="30"/>
  <c r="B3" i="30"/>
  <c r="B87" i="29"/>
  <c r="B58" i="29"/>
  <c r="E52" i="29"/>
  <c r="D52" i="29"/>
  <c r="C52" i="29"/>
  <c r="B52" i="29"/>
  <c r="E51" i="29"/>
  <c r="D51" i="29"/>
  <c r="C51" i="29"/>
  <c r="B51" i="29"/>
  <c r="E50" i="29"/>
  <c r="D50" i="29"/>
  <c r="C50" i="29"/>
  <c r="B50" i="29"/>
  <c r="E49" i="29"/>
  <c r="D49" i="29"/>
  <c r="C49" i="29"/>
  <c r="B49" i="29"/>
  <c r="E48" i="29"/>
  <c r="D48" i="29"/>
  <c r="C48" i="29"/>
  <c r="B48" i="29"/>
  <c r="E47" i="29"/>
  <c r="D47" i="29"/>
  <c r="C47" i="29"/>
  <c r="B47" i="29"/>
  <c r="E46" i="29"/>
  <c r="D46" i="29"/>
  <c r="C46" i="29"/>
  <c r="B46" i="29"/>
  <c r="E45" i="29"/>
  <c r="D45" i="29"/>
  <c r="C45" i="29"/>
  <c r="B45" i="29"/>
  <c r="E44" i="29"/>
  <c r="D44" i="29"/>
  <c r="C44" i="29"/>
  <c r="B44" i="29"/>
  <c r="E43" i="29"/>
  <c r="D43" i="29"/>
  <c r="C43" i="29"/>
  <c r="B43" i="29"/>
  <c r="B34" i="29"/>
  <c r="B19" i="29"/>
  <c r="B13" i="29"/>
  <c r="B6" i="29"/>
  <c r="B5" i="29"/>
  <c r="B2" i="29"/>
  <c r="B1" i="29"/>
  <c r="C18" i="28"/>
  <c r="B15" i="28"/>
  <c r="B13" i="28"/>
  <c r="C11" i="28"/>
  <c r="C9" i="28"/>
  <c r="F5" i="28"/>
  <c r="C5" i="28"/>
  <c r="B20" i="27"/>
  <c r="B17" i="27"/>
  <c r="B14" i="27"/>
  <c r="B11" i="27"/>
  <c r="B10" i="27"/>
  <c r="B9" i="27"/>
  <c r="B8" i="27"/>
  <c r="B6" i="27"/>
  <c r="B21" i="26"/>
  <c r="B12" i="26"/>
  <c r="B7" i="26"/>
  <c r="B6" i="26"/>
  <c r="C41" i="25"/>
  <c r="E35" i="25"/>
  <c r="D35" i="25"/>
  <c r="C35" i="25"/>
  <c r="B35" i="25"/>
  <c r="E34" i="25"/>
  <c r="D34" i="25"/>
  <c r="C34" i="25"/>
  <c r="B34" i="25"/>
  <c r="E33" i="25"/>
  <c r="D33" i="25"/>
  <c r="C33" i="25"/>
  <c r="B33" i="25"/>
  <c r="E32" i="25"/>
  <c r="D32" i="25"/>
  <c r="C32" i="25"/>
  <c r="B32" i="25"/>
  <c r="E31" i="25"/>
  <c r="D31" i="25"/>
  <c r="C31" i="25"/>
  <c r="B31" i="25"/>
  <c r="E30" i="25"/>
  <c r="D30" i="25"/>
  <c r="C30" i="25"/>
  <c r="B30" i="25"/>
  <c r="E29" i="25"/>
  <c r="D29" i="25"/>
  <c r="C29" i="25"/>
  <c r="B29" i="25"/>
  <c r="E28" i="25"/>
  <c r="D28" i="25"/>
  <c r="C28" i="25"/>
  <c r="B28" i="25"/>
  <c r="E27" i="25"/>
  <c r="D27" i="25"/>
  <c r="C27" i="25"/>
  <c r="B27" i="25"/>
  <c r="E26" i="25"/>
  <c r="D26" i="25"/>
  <c r="C26" i="25"/>
  <c r="B26" i="25"/>
  <c r="B13" i="25"/>
  <c r="C11" i="25"/>
  <c r="C9" i="25"/>
  <c r="F5" i="25"/>
  <c r="C5" i="25"/>
  <c r="B31" i="24"/>
  <c r="B29" i="24"/>
  <c r="B21" i="23"/>
  <c r="B19" i="23"/>
  <c r="B5" i="23"/>
  <c r="B25" i="22"/>
  <c r="B23" i="22"/>
  <c r="B5" i="22"/>
  <c r="B31" i="21"/>
  <c r="B29" i="21"/>
  <c r="C8" i="21"/>
  <c r="B3" i="21"/>
  <c r="B20" i="20"/>
  <c r="B18" i="20"/>
  <c r="B11" i="20"/>
  <c r="C7" i="20"/>
  <c r="B25" i="19"/>
  <c r="B24" i="19"/>
  <c r="B23" i="19"/>
  <c r="B20" i="19"/>
  <c r="F11" i="19"/>
  <c r="F10" i="19"/>
  <c r="F6" i="19"/>
  <c r="B25" i="18"/>
  <c r="F21" i="18"/>
  <c r="F19" i="18"/>
  <c r="F15" i="18"/>
  <c r="F12" i="18"/>
  <c r="F8" i="18"/>
  <c r="C5" i="18"/>
  <c r="B8" i="17"/>
  <c r="B3" i="17"/>
  <c r="B16" i="16"/>
  <c r="F14" i="16"/>
  <c r="F13" i="16"/>
  <c r="F12" i="16"/>
  <c r="F11" i="16"/>
  <c r="F10" i="16"/>
  <c r="F9" i="16"/>
  <c r="B6" i="16"/>
  <c r="E5" i="16"/>
  <c r="C5" i="16"/>
  <c r="B24" i="15"/>
  <c r="F22" i="15"/>
  <c r="F20" i="15"/>
  <c r="F16" i="15"/>
  <c r="F13" i="15"/>
  <c r="F9" i="15"/>
  <c r="G5" i="15"/>
  <c r="E5" i="15"/>
  <c r="C5" i="15"/>
  <c r="F20" i="14"/>
  <c r="E20" i="14"/>
  <c r="G19" i="14"/>
  <c r="F19" i="14"/>
  <c r="E19" i="14"/>
  <c r="C19" i="14"/>
  <c r="B19" i="14"/>
  <c r="G18" i="14"/>
  <c r="F18" i="14"/>
  <c r="E18" i="14"/>
  <c r="C18" i="14"/>
  <c r="B18" i="14"/>
  <c r="G17" i="14"/>
  <c r="F17" i="14"/>
  <c r="E17" i="14"/>
  <c r="C17" i="14"/>
  <c r="B17" i="14"/>
  <c r="G16" i="14"/>
  <c r="F16" i="14"/>
  <c r="E16" i="14"/>
  <c r="C16" i="14"/>
  <c r="B16" i="14"/>
  <c r="G15" i="14"/>
  <c r="F15" i="14"/>
  <c r="E15" i="14"/>
  <c r="C15" i="14"/>
  <c r="B15" i="14"/>
  <c r="G14" i="14"/>
  <c r="F14" i="14"/>
  <c r="E14" i="14"/>
  <c r="C14" i="14"/>
  <c r="B14" i="14"/>
  <c r="G13" i="14"/>
  <c r="F13" i="14"/>
  <c r="E13" i="14"/>
  <c r="C13" i="14"/>
  <c r="B13" i="14"/>
  <c r="G12" i="14"/>
  <c r="F12" i="14"/>
  <c r="E12" i="14"/>
  <c r="C12" i="14"/>
  <c r="B12" i="14"/>
  <c r="G11" i="14"/>
  <c r="F11" i="14"/>
  <c r="E11" i="14"/>
  <c r="C11" i="14"/>
  <c r="B11" i="14"/>
  <c r="G10" i="14"/>
  <c r="F10" i="14"/>
  <c r="E10" i="14"/>
  <c r="C10" i="14"/>
  <c r="B10" i="14"/>
  <c r="B6" i="14"/>
  <c r="G5" i="14"/>
  <c r="E5" i="14"/>
  <c r="C5" i="14"/>
  <c r="B19" i="13"/>
  <c r="E15" i="13"/>
  <c r="D15" i="13"/>
  <c r="E14" i="13"/>
  <c r="D14" i="13"/>
  <c r="C14" i="13"/>
  <c r="E13" i="13"/>
  <c r="D13" i="13"/>
  <c r="C13" i="13"/>
  <c r="E12" i="13"/>
  <c r="D12" i="13"/>
  <c r="C12" i="13"/>
  <c r="E11" i="13"/>
  <c r="D11" i="13"/>
  <c r="C11" i="13"/>
  <c r="E10" i="13"/>
  <c r="D10" i="13"/>
  <c r="C10" i="13"/>
  <c r="E9" i="13"/>
  <c r="D9" i="13"/>
  <c r="C9" i="13"/>
  <c r="G6" i="13"/>
  <c r="E6" i="13"/>
  <c r="C6" i="13"/>
  <c r="C24" i="12"/>
  <c r="C20" i="12"/>
  <c r="C18" i="12"/>
  <c r="C16" i="12"/>
  <c r="C15" i="12"/>
  <c r="B13" i="12"/>
  <c r="C11" i="12"/>
  <c r="C9" i="12"/>
  <c r="C7" i="12"/>
  <c r="F5" i="12"/>
  <c r="C5" i="12"/>
  <c r="D82" i="2"/>
  <c r="E81" i="2"/>
  <c r="E80" i="2"/>
  <c r="E79" i="2"/>
  <c r="E78" i="2"/>
  <c r="E77" i="2"/>
  <c r="E76" i="2"/>
  <c r="E75" i="2"/>
  <c r="E74" i="2"/>
  <c r="E73" i="2"/>
  <c r="E72" i="2"/>
  <c r="R53" i="2"/>
  <c r="M53" i="2"/>
  <c r="G53" i="2"/>
  <c r="R52" i="2"/>
  <c r="M52" i="2"/>
  <c r="G52" i="2"/>
  <c r="R51" i="2"/>
  <c r="M51" i="2"/>
  <c r="G51" i="2"/>
  <c r="R50" i="2"/>
  <c r="M50" i="2"/>
  <c r="G50" i="2"/>
  <c r="R49" i="2"/>
  <c r="M49" i="2"/>
  <c r="G49" i="2"/>
  <c r="R48" i="2"/>
  <c r="M48" i="2"/>
  <c r="G48" i="2"/>
  <c r="R47" i="2"/>
  <c r="M47" i="2"/>
  <c r="G47" i="2"/>
  <c r="R46" i="2"/>
  <c r="M46" i="2"/>
  <c r="G46" i="2"/>
  <c r="R45" i="2"/>
  <c r="M45" i="2"/>
  <c r="G45" i="2"/>
  <c r="R44" i="2"/>
  <c r="M44" i="2"/>
  <c r="G44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<sst xmlns="http://schemas.openxmlformats.org/spreadsheetml/2006/main" count="2002" uniqueCount="1149">
  <si>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</si>
  <si>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</si>
  <si>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</si>
  <si>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</si>
  <si>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</si>
  <si>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</si>
  <si>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구현된 서식은 서식선택_출력의 '구현상태=Y'로 표시됩니다. 나머지 서식은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</si>
  <si>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</si>
  <si>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</si>
  <si>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</si>
  <si>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</si>
  <si>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</si>
  <si>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</si>
  <si>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</si>
  <si>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</si>
  <si>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</si>
  <si>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</si>
  <si>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</si>
  <si>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</si>
  <si>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</si>
  <si>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</si>
  <si>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</si>
  <si>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</si>
  <si>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</si>
  <si>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</si>
  <si>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</si>
  <si>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</si>
  <si>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</si>
  <si>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</si>
  <si>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</si>
  <si>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</si>
  <si>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</si>
  <si>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</si>
  <si>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</si>
  <si>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</si>
  <si>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</si>
  <si>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</si>
  <si>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</si>
  <si>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</si>
  <si>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</si>
  <si>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</si>
  <si>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</si>
  <si>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</si>
  <si>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</si>
  <si>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</si>
  <si>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</si>
  <si>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</si>
  <si>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</si>
  <si>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</si>
  <si>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</si>
  <si>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</si>
  <si>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</si>
  <si>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</si>
  <si>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</si>
  <si>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</si>
  <si>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</si>
  <si>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</si>
  <si>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</si>
  <si>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</si>
  <si>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C~F열은 F-015 학교 정량평가, H~L열은 F-016 학교 정성평가, N~Q열은 F-018 업체 자기평점이며 서로 혼용하지 않음</t>
  </si>
  <si>
    <t>업체명</t>
  </si>
  <si>
    <t>수행경험(10)</t>
  </si>
  <si>
    <t>공인인증(10)</t>
  </si>
  <si>
    <t>거리적접근성(15)</t>
  </si>
  <si>
    <t>상한가격(15)</t>
  </si>
  <si>
    <t>F-015 상태</t>
  </si>
  <si>
    <t>재질(15)</t>
  </si>
  <si>
    <t>완성도(10)</t>
  </si>
  <si>
    <t>A/S(15)</t>
  </si>
  <si>
    <t>하자보상(10)</t>
  </si>
  <si>
    <t>가감점(-15~5)</t>
  </si>
  <si>
    <t>F-016 상태</t>
  </si>
  <si>
    <t>자기 수행경험(10)</t>
  </si>
  <si>
    <t>자기 공인인증(10)</t>
  </si>
  <si>
    <t>자기 거리(15)</t>
  </si>
  <si>
    <t>자기 상한가격(15)</t>
  </si>
  <si>
    <t>F-018 상태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</si>
  <si>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</si>
  <si>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</si>
  <si>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</si>
  <si>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</si>
  <si>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</si>
  <si>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</si>
  <si>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</si>
  <si>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</si>
  <si>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</si>
  <si>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</si>
  <si>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</si>
  <si>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</si>
  <si>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</si>
  <si>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</si>
  <si>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</si>
  <si>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</si>
  <si>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</si>
  <si>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</si>
  <si>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</si>
  <si>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</si>
  <si>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</si>
  <si>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</si>
  <si>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</si>
  <si>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</si>
  <si>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</si>
  <si>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</si>
  <si>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</si>
  <si>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</si>
  <si>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수행경험점수</t>
  </si>
  <si>
    <t>공인인증점수</t>
  </si>
  <si>
    <t>거리적접근성점수</t>
  </si>
  <si>
    <t>상한가격점수</t>
  </si>
  <si>
    <t>재질점수</t>
  </si>
  <si>
    <t>완성도점수</t>
  </si>
  <si>
    <t>AS점수</t>
  </si>
  <si>
    <t>하자보상점수</t>
  </si>
  <si>
    <t>가감점</t>
  </si>
  <si>
    <t>수행경험자기점수</t>
  </si>
  <si>
    <t>공인인증자기점수</t>
  </si>
  <si>
    <t>거리적접근성자기점수</t>
  </si>
  <si>
    <t>상한가격자기점수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</si>
  <si>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</si>
  <si>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</si>
  <si>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</si>
  <si>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</si>
  <si>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</si>
  <si>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</si>
  <si>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</si>
  <si>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</si>
  <si>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</si>
  <si>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</si>
  <si>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</si>
  <si>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Y</t>
  </si>
  <si>
    <t>F-001_위원회구성기안</t>
  </si>
  <si>
    <t>F-002</t>
  </si>
  <si>
    <t>위원 수락 및 확인서</t>
  </si>
  <si>
    <t>F-002_위원수락확인서</t>
  </si>
  <si>
    <t>F-003</t>
  </si>
  <si>
    <t>위원 청렴 및 보안 서약서</t>
  </si>
  <si>
    <t>F-003_위원청렴보안서약서</t>
  </si>
  <si>
    <t>F-004</t>
  </si>
  <si>
    <t>구매 추진 계획 수립</t>
  </si>
  <si>
    <t>F-004_구매추진계획수립기안문</t>
  </si>
  <si>
    <t>F-005</t>
  </si>
  <si>
    <t>구매 추진 계획안</t>
  </si>
  <si>
    <t>F-005_구매추진계획안</t>
  </si>
  <si>
    <t>F-006</t>
  </si>
  <si>
    <t>학교운영위원회 심의(안)</t>
  </si>
  <si>
    <t>F-006_운영위원회심의안</t>
  </si>
  <si>
    <t>F-007</t>
  </si>
  <si>
    <t>교복구매 구매 요청</t>
  </si>
  <si>
    <t>입찰</t>
  </si>
  <si>
    <t>F-007_구매요청기안문</t>
  </si>
  <si>
    <t>F-008</t>
  </si>
  <si>
    <t>교복 사양서</t>
  </si>
  <si>
    <t>N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</si>
  <si>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</si>
  <si>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</si>
  <si>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</si>
  <si>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</si>
  <si>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</si>
  <si>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</si>
  <si>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</si>
  <si>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</si>
  <si>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</si>
  <si>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</si>
  <si>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</si>
  <si>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</si>
  <si>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</si>
  <si>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</si>
  <si>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</si>
  <si>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F-014_평가항목배점기준</t>
  </si>
  <si>
    <t>F-015</t>
  </si>
  <si>
    <t>정량적 평가</t>
  </si>
  <si>
    <t>F-015_정량적평가</t>
  </si>
  <si>
    <t>F-016</t>
  </si>
  <si>
    <t>정성적 평가</t>
  </si>
  <si>
    <t>F-016_정성적평가</t>
  </si>
  <si>
    <t>F-017</t>
  </si>
  <si>
    <t>제출서류 자기확인서</t>
  </si>
  <si>
    <t>F-017_제출서류자기확인서</t>
  </si>
  <si>
    <t>F-018</t>
  </si>
  <si>
    <t>정량적 평가 자기 평점표</t>
  </si>
  <si>
    <t>F-018_정량적평가자기평점표</t>
  </si>
  <si>
    <t>F-019</t>
  </si>
  <si>
    <t>입찰참가신청서</t>
  </si>
  <si>
    <t>F-019_입찰참가신청서</t>
  </si>
  <si>
    <t>F-020</t>
  </si>
  <si>
    <t>입찰 참가 신고서</t>
  </si>
  <si>
    <t>F-020_입찰참가신고서</t>
  </si>
  <si>
    <t>F-021</t>
  </si>
  <si>
    <t>교복 납품 제안서</t>
  </si>
  <si>
    <t>F-021_교복납품제안서</t>
  </si>
  <si>
    <t>F-022</t>
  </si>
  <si>
    <t>교복 납품 실적표</t>
  </si>
  <si>
    <t>F-022_교복납품실적표</t>
  </si>
  <si>
    <t>F-023</t>
  </si>
  <si>
    <t>교복 제조 사양서</t>
  </si>
  <si>
    <t>F-023_교복제조사양서</t>
  </si>
  <si>
    <t>F-024</t>
  </si>
  <si>
    <t>품목별 단가 비율표</t>
  </si>
  <si>
    <t>F-024_단가비율표</t>
  </si>
  <si>
    <t>F-025</t>
  </si>
  <si>
    <t>교복 A/S 계획서</t>
  </si>
  <si>
    <t>F-025_교복AS계획서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</si>
  <si>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</si>
  <si>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</si>
  <si>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</si>
  <si>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</si>
  <si>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</si>
  <si>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</si>
  <si>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</si>
  <si>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</si>
  <si>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</si>
  <si>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</si>
  <si>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</si>
  <si>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</si>
  <si>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</si>
  <si>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</si>
  <si>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F-032_제안서접수결과</t>
  </si>
  <si>
    <t>F-033</t>
  </si>
  <si>
    <t>제안서 접수대장</t>
  </si>
  <si>
    <t>F-033_제안서접수대장</t>
  </si>
  <si>
    <t>F-034</t>
  </si>
  <si>
    <t>제안서 평가위원회 개최</t>
  </si>
  <si>
    <t>F-034_평가위원회개최</t>
  </si>
  <si>
    <t>F-035</t>
  </si>
  <si>
    <t>제안서 정량평가 결과</t>
  </si>
  <si>
    <t>F-035_정량평가결과</t>
  </si>
  <si>
    <t>F-036</t>
  </si>
  <si>
    <t>제안서 평가 결과</t>
  </si>
  <si>
    <t>F-036_제안서평가결과</t>
  </si>
  <si>
    <t>F-037</t>
  </si>
  <si>
    <t>평가위원회 참석 등록부</t>
  </si>
  <si>
    <t>F-037_평가위원회참석등록부</t>
  </si>
  <si>
    <t>F-038</t>
  </si>
  <si>
    <t>업체 참가 등록부</t>
  </si>
  <si>
    <t>F-038_업체참가등록부</t>
  </si>
  <si>
    <t>F-039</t>
  </si>
  <si>
    <t>업체별 제안서 평가표</t>
  </si>
  <si>
    <t>F-039_업체별제안서평가표</t>
  </si>
  <si>
    <t>F-040</t>
  </si>
  <si>
    <t>F-040_위원청렴보안서약서</t>
  </si>
  <si>
    <t>F-041</t>
  </si>
  <si>
    <t>낙찰자 결정</t>
  </si>
  <si>
    <t>계약</t>
  </si>
  <si>
    <t>F-041_낙찰자결정</t>
  </si>
  <si>
    <t>F-042</t>
  </si>
  <si>
    <t>낙찰자 결정 통보</t>
  </si>
  <si>
    <t>F-042_낙찰자결정통보</t>
  </si>
  <si>
    <t>F-043</t>
  </si>
  <si>
    <t>계약체결</t>
  </si>
  <si>
    <t>F-043_계약체결</t>
  </si>
  <si>
    <t>F-044</t>
  </si>
  <si>
    <t>사전 안내 가정통신문 안내</t>
  </si>
  <si>
    <t>구매</t>
  </si>
  <si>
    <t>F-044_사전안내가정통신문안내</t>
  </si>
  <si>
    <t>F-045</t>
  </si>
  <si>
    <t>교복구매 사전 안내 가정통신문</t>
  </si>
  <si>
    <t>F-045_사전안내가정통신문</t>
  </si>
  <si>
    <t>F-046</t>
  </si>
  <si>
    <t>수요조사 가정통신문 안내</t>
  </si>
  <si>
    <t>F-046_수요조사가정통신문안내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</si>
  <si>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</si>
  <si>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</si>
  <si>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</si>
  <si>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</si>
  <si>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</si>
  <si>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</si>
  <si>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</si>
  <si>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</si>
  <si>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</si>
  <si>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</si>
  <si>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</si>
  <si>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</si>
  <si>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</si>
  <si>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</si>
  <si>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</si>
  <si>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</si>
  <si>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</si>
  <si>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</si>
  <si>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</si>
  <si>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</si>
  <si>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</si>
  <si>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</si>
  <si>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</si>
  <si>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</si>
  <si>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</si>
  <si>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</si>
  <si>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</si>
  <si>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</si>
  <si>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</si>
  <si>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</si>
  <si>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</si>
  <si>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</si>
  <si>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</si>
  <si>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</si>
  <si>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</si>
  <si>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</si>
  <si>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</si>
  <si>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</si>
  <si>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</si>
  <si>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</si>
  <si>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</si>
  <si>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</si>
  <si>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</si>
  <si>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</si>
  <si>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</si>
  <si>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</si>
  <si>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</si>
  <si>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[검토중 — 담당자 최종 확인 후 사용] 원본 HWPX [9-3]의 예시안 구조를 대조하여 구성함</t>
  </si>
  <si>
    <t>[붙임 3] 제안서 평가항목 및 배점기준</t>
  </si>
  <si>
    <t>(예시안)</t>
  </si>
  <si>
    <t>평가 총점</t>
  </si>
  <si>
    <t>※ 제안서 평가기준은 예시안으로 학교 실정에 맞게 변경하여 사용합니다. 출력 전 담당자가 평가구분·배점기준·가감점 적용 여부를 최종 확인하십시오.</t>
  </si>
  <si>
    <t>구분</t>
  </si>
  <si>
    <t>배점기준</t>
  </si>
  <si>
    <t>평가점수</t>
  </si>
  <si>
    <t>학교별 평가기준 확인</t>
  </si>
  <si>
    <t>합 계</t>
  </si>
  <si>
    <t>K-03</t>
  </si>
  <si>
    <t>■ 평가기준에 대한 상세 설명</t>
  </si>
  <si>
    <t>• 원본 예시안은 정량적 평가와 정성적 평가를 각 50점으로 구분하고, 수행경험·품질인증·거리·상한가격 및 재질·완성도·A/S·하자보상 항목을 제시합니다.</t>
  </si>
  <si>
    <t>• 현재 출력은 기초자료입력의 평가항목·배점·점수를 반영합니다. 학교별 배점기준, 가점·감점 및 평가구분은 원본 예시안과 최신 지침을 확인하여 확정하십시오.</t>
  </si>
  <si>
    <t>■ 평가 시 유의사항: 객관적인 자료와 제출된 제품의 품질을 기준으로 공정하게 평가하며, 최종 출력 전 평가기준과 점수의 사실관계를 확인하십시오.</t>
  </si>
  <si>
    <t>[검토중 — 담당자 최종 확인 후 사용] 원본 HWPX [9-4]의 고정 배점표를 대조하여 구성함</t>
  </si>
  <si>
    <t>선택 업체 순번(자동, 인쇄 전용)</t>
  </si>
  <si>
    <t>[9-4] [붙임 3_1] [1단계] 정량적 평가</t>
  </si>
  <si>
    <t>[1단계] 정량적 평가(50점): 사업담당 또는 계약부서에서 평가</t>
  </si>
  <si>
    <t>평가 대상 업체</t>
  </si>
  <si>
    <t>※ 평가항목은 학교별 상황에 따라 자율적으로 변경 적용 가능함</t>
  </si>
  <si>
    <t>정량적 평가
(50점)</t>
  </si>
  <si>
    <t>1. 수행경험 (10)
- 입찰공고일 기준 최근 3년간 학교 주관구매 교복 납품실적(해당학교 실적 증명서 첨부)</t>
  </si>
  <si>
    <t>5건 이상</t>
  </si>
  <si>
    <t>3건 이상</t>
  </si>
  <si>
    <t>1건 이상 또는 해당연도 신규업체</t>
  </si>
  <si>
    <t>실적없음</t>
  </si>
  <si>
    <t>2. 공인인증(시험)기관의 품질인증 여부(10)
[한국의류시험연구원, FITI시험연구원, KOLAS기관의 시험성적서 등]
※ Q 마크 등 검사 인증</t>
  </si>
  <si>
    <t>교복 전품목 인증</t>
  </si>
  <si>
    <t>일부 품목 인증</t>
  </si>
  <si>
    <t>전품목 미인증</t>
  </si>
  <si>
    <t>3. 거리적 접근성(15)
- 학교와 교복업체(매장)와의 거리(사업자등록증의 사업장주소지 확인 및, 실제 매장 운영여부 반드시 현장 확인)</t>
  </si>
  <si>
    <t>이동거리 5km 이내</t>
  </si>
  <si>
    <t>이동거리 5km이상~10km미만</t>
  </si>
  <si>
    <t>이동거리 10km이상~15km미만</t>
  </si>
  <si>
    <t>이동거리 15km이상</t>
  </si>
  <si>
    <t>4. 품목별 상한가격(15)</t>
  </si>
  <si>
    <t>전품목 상한가격 기준 충족</t>
  </si>
  <si>
    <t>기준 미충족 품목이 있을 시</t>
  </si>
  <si>
    <t>50점 만점</t>
  </si>
  <si>
    <t>○○학교 사업담당자(계약담당자) (인 또는 서명)</t>
  </si>
  <si>
    <t>[검토중 — 담당자 최종 확인 후 사용] 원본 HWPX [9-5]의 고정 배점표를 대조하여 구성함</t>
  </si>
  <si>
    <t>[9-5] [붙임 3_2] [2단계] 정성적 평가</t>
  </si>
  <si>
    <t>[2단계] 정성적 평가(50점): 교복선정위원회에서 평가</t>
  </si>
  <si>
    <t>대상 업체</t>
  </si>
  <si>
    <t>정성적 평가
(50점)</t>
  </si>
  <si>
    <t>재질(15점)</t>
  </si>
  <si>
    <t>1. 옷감의 촉감과 질감의 상태(10)
2. 섬유조직의 세밀함과 부드러움(10)
탁월15·우수12·보통9·미흡6·불량3</t>
  </si>
  <si>
    <t>완성도(10점)</t>
  </si>
  <si>
    <t>1. 바느질의 꼼꼼함
2. 단추·지퍼의 견고함
3. 마감처리의 완성도
4. 여유단의 정도
탁월10·우수8·보통6·미흡4·불량2</t>
  </si>
  <si>
    <t>A/S(15점)</t>
  </si>
  <si>
    <t>1. 무상 A/S 의무기간
2. A/S의 편의성(신속성)
3. 출장 A/S 가능 여부
4. A/S 내용(바느질·단추·지퍼 등)
탁월15·우수12·보통9·미흡6·불량3</t>
  </si>
  <si>
    <t>하자보상(10점)</t>
  </si>
  <si>
    <t>1. 제품하자에 대한 교환 등 하자 보상 및 소비자 불만 사항 처리 방안의 적정성
탁월10·우수8·보통6·미흡4·불량2</t>
  </si>
  <si>
    <t>가점 및 감점 요인</t>
  </si>
  <si>
    <t>· 최근 1년 공정거래위원회 담합 행정처분: -10
· 최근 3년 교복 만족도 조사: 80점 이상 +5 / 75점 이상 +2 / 65점 이상 0 / 60점 이상 -2 / 55점 미만 -5</t>
  </si>
  <si>
    <t>-15~+5</t>
  </si>
  <si>
    <t>○○학교 교복선정위원회 평가위원 (인 또는 서명)</t>
  </si>
  <si>
    <t>[검토중 — 담당자 최종 확인 후 사용] 원본 HWPX [9-6] 대조. 대표자·연락처·대리인 정보는 자동 반영하지 않음</t>
  </si>
  <si>
    <t>※ 업체명만 기초자료의 반복행에서 반영합니다. 대표자·연락처·대리인 정보는 제출자가 작성하는 빈 칸으로 유지합니다.</t>
  </si>
  <si>
    <t>대표자</t>
  </si>
  <si>
    <t>연락처</t>
  </si>
  <si>
    <t>위임자(대리인 제출 시): 직위·이름·전화번호</t>
  </si>
  <si>
    <t>제출서류</t>
  </si>
  <si>
    <t>제출여부
(○,✕)</t>
  </si>
  <si>
    <t>비고
(서류 확인 사항)</t>
  </si>
  <si>
    <t>정량적 평가 자기 평점표[서식 1_1]</t>
  </si>
  <si>
    <t>1부</t>
  </si>
  <si>
    <t>입찰참가 신청서[서식 2]</t>
  </si>
  <si>
    <t>입찰 참가 신고서[서식 3]</t>
  </si>
  <si>
    <t>위임장[서식 10]</t>
  </si>
  <si>
    <t>대리인 재직증명서, 4대보험 가입증명서</t>
  </si>
  <si>
    <t>서약서[서식 11]</t>
  </si>
  <si>
    <t>개인정보제공 동의서[서식 12]</t>
  </si>
  <si>
    <t>청렴계약 이행서약서[서식 13]</t>
  </si>
  <si>
    <t>사업자등록증 사본</t>
  </si>
  <si>
    <t>중소기업확인서</t>
  </si>
  <si>
    <t>공정거래위원회 법위반사실확인서</t>
  </si>
  <si>
    <t>교복 납품 실적 증명서</t>
  </si>
  <si>
    <t>기타 평가기준에 따른 증명서류</t>
  </si>
  <si>
    <t>제안평가 반영 시 제출</t>
  </si>
  <si>
    <t>교복(동복·하복) 납품 제안서[서식 4]</t>
  </si>
  <si>
    <t>원본 1부, 사본 ○부</t>
  </si>
  <si>
    <t>사본 블라인드 처리</t>
  </si>
  <si>
    <t>교복 납품 실적표[서식 5]</t>
  </si>
  <si>
    <t>교복 제조 사양서[서식 6]</t>
  </si>
  <si>
    <t>품목별 단가 비율표[서식 7]</t>
  </si>
  <si>
    <t>교복 A/S 계획서[서식 8]</t>
  </si>
  <si>
    <t>소비자 불만 사항에 대한 처리방안[서식 9]</t>
  </si>
  <si>
    <t>교복 제조 및 판매 시설 현황서</t>
  </si>
  <si>
    <t>교복 샘플</t>
  </si>
  <si>
    <t>샘플 1부</t>
  </si>
  <si>
    <t>블라인드 처리</t>
  </si>
  <si>
    <t>[검토중 — 담당자 최종 확인 후 사용] 원본 HWPX [9-7] 대조. F-015 학교평가와 분리된 업체 자기평점이며 작성자·대표자·서명은 자동 반영하지 않음</t>
  </si>
  <si>
    <t>[9-7] [서식 1_1] 정량적 평가 자기 평점표</t>
  </si>
  <si>
    <t>※ 업체 자기평점표입니다. 학교의 F-015 정량적 평가 점수와 별도로 입력·보관하며, 사실관계와 증빙은 제출자가 최종 확인합니다.</t>
  </si>
  <si>
    <t>자기 평점</t>
  </si>
  <si>
    <t>1. 수행경험 (10)
최근 3년간 학교 주관구매 교복 납품실적</t>
  </si>
  <si>
    <t>1건 이상 또는 신규업체</t>
  </si>
  <si>
    <t>2. 공인인증(시험)기관의 품질인증 여부(10)</t>
  </si>
  <si>
    <t>3. 거리적 접근성(15)
학교와 교복업체(매장)와의 거리</t>
  </si>
  <si>
    <t>5km 이상~10km 미만</t>
  </si>
  <si>
    <t>10km 이상~15km 미만</t>
  </si>
  <si>
    <t>15km 이상</t>
  </si>
  <si>
    <t>업체명은 기초자료의 업체 반복행에서만 반영합니다. 작성자·대표자·서명은 제출자가 직접 작성하는 빈 칸으로 유지합니다.</t>
  </si>
  <si>
    <t>[검토중 — 담당자 최종 확인 후 사용] 원본 HWPX [9-7] [서식 2] 대조. 민감정보와 날인란은 자동 반영하지 않습니다.</t>
  </si>
  <si>
    <t>입 찰 참 가 신 청 서
※ 아래 사항 중 해당되는 경우에만 기재하시기 바랍니다.</t>
  </si>
  <si>
    <t>처리기간
즉 시</t>
  </si>
  <si>
    <t>신
청
인</t>
  </si>
  <si>
    <t>상호 또는
법인명칭</t>
  </si>
  <si>
    <t>법인등록번호</t>
  </si>
  <si>
    <t>주 소</t>
  </si>
  <si>
    <t>전화번호</t>
  </si>
  <si>
    <t>주민등록번호</t>
  </si>
  <si>
    <t>입찰
개요</t>
  </si>
  <si>
    <t>입찰공고
(지명)번호</t>
  </si>
  <si>
    <t>입찰일자</t>
  </si>
  <si>
    <t>입찰건명</t>
  </si>
  <si>
    <t>입찰보증금</t>
  </si>
  <si>
    <t>귀 교에서 시행하는 위 건명에 대해 입찰보증금 납부를 면제받고자 하며, 낙찰자 결정 통지를 받은 후 10일 이내에 계약을 체결하지 않을 시 입찰금액의 5/100에 해당하는 입찰보증금을 납부할 것을 확약합니다.</t>
  </si>
  <si>
    <t>대리인·
사용인감</t>
  </si>
  <si>
    <t>본 입찰에 관한 일체의 권한을 다음의 자에게 위임합니다.
성 명 :
주민등록번호 :</t>
  </si>
  <si>
    <t>본 입찰에 사용할 인감을 다음과 같이 신고합니다.
(사용인감 날인)</t>
  </si>
  <si>
    <t>붙임서류 : 공고에 정한 서류</t>
  </si>
  <si>
    <t>[검토중 — 담당자 최종 확인 후 사용] 원본 HWPX [9-8] [서식 3] 대조. 사업자 번호·대표자 성명·직인은 자동 반영하지 않습니다.</t>
  </si>
  <si>
    <t>교복 학교주관구매 입찰 참가 신고서</t>
  </si>
  <si>
    <t>※ 사업자 상호(업체명)만 기초자료의 반복행에서 반영합니다. 사업자 번호·대표자 성명·직인은 사업자가 직접 작성하는 빈 칸으로 유지합니다.</t>
  </si>
  <si>
    <t>사업자 상호</t>
  </si>
  <si>
    <t>사업자 번호</t>
  </si>
  <si>
    <t>사업자 대표</t>
  </si>
  <si>
    <t>※ 위 신고 사업자는 해당 학교의 ‘학교주관구매’를 저해하는 행위를 하는 경우, 향후 입찰에서 제외되는 등 불이익을 받을 수 있음을 확인하였습니다.</t>
  </si>
  <si>
    <t>위 신고인 사업자 대표 성명 ○○○ 사업자 직인</t>
  </si>
  <si>
    <t>[검토용] 원본 HWPX [9-9] [서식 4] 대조. 업체명만 자동 반영하며 대표자·주소·연락처·서명은 직접 작성합니다.</t>
  </si>
  <si>
    <t>※ 업체명만 기초자료의 반복행에서 반영합니다. 일반현황·연혁·제안자 성명은 직접 작성하십시오.</t>
  </si>
  <si>
    <t>1. 일반현황 및 연혁</t>
  </si>
  <si>
    <t>회사명</t>
  </si>
  <si>
    <t>사업분야</t>
  </si>
  <si>
    <t>회사설립년도</t>
  </si>
  <si>
    <t>직원현황</t>
  </si>
  <si>
    <t>해당부문 사업기간</t>
  </si>
  <si>
    <t>전화:                         FAX:</t>
  </si>
  <si>
    <t>＜주요연혁＞</t>
  </si>
  <si>
    <t>2. 제안(제출)서류</t>
  </si>
  <si>
    <t>① 교복 납품 실적표(F-022)_x000D_
② 교복 제조 사양서(F-023)_x000D_
③ 품목별 단가 비율표(F-024)_x000D_
④ 교복 A/S 계획서(F-025)_x000D_
⑤ 소비자 불만 처리 계획(F-026)_x000D_
⑥ 위임장(F-027), 서약서(F-028), 개인정보 동의서(F-029)_x000D_
⑦ 품질인증·시험성적 등 제안요청서에서 정한 증빙서류</t>
  </si>
  <si>
    <t>제안자 성명                         (서명 또는 날인)</t>
  </si>
  <si>
    <t>[검토용] 원본 HWPX [9-10] [서식 5] 대조. 업체명만 자동 반영하며 실적행은 업체별 증명서와 대조하여 직접 작성합니다.</t>
  </si>
  <si>
    <t>교복 납품 실적(입찰공고일 기준 최근 3년 이내 실적)</t>
  </si>
  <si>
    <t>사업명</t>
  </si>
  <si>
    <t>사업기간</t>
  </si>
  <si>
    <t>계약금액
(천원)</t>
  </si>
  <si>
    <t>발주처</t>
  </si>
  <si>
    <t>붙임  실적증명서 각 1부.</t>
  </si>
  <si>
    <t>위와 같이 납품실적을 제출합니다.</t>
  </si>
  <si>
    <t>제안자 성 명                         (서명 또는 날인)</t>
  </si>
  <si>
    <t>[검토용] 원본 HWPX [9-11] [서식 6] 대조. 업체명만 자동 반영하며 재질·설명 내용은 직접 작성합니다.</t>
  </si>
  <si>
    <t>납품 교복 제조 사양서</t>
  </si>
  <si>
    <t>*서식은 입찰 업체 상황에 맞게 변경 사용 가능(사진 등 첨부 가능)</t>
  </si>
  <si>
    <t>생활형 교복</t>
  </si>
  <si>
    <t>견본 품목</t>
  </si>
  <si>
    <t>재질</t>
  </si>
  <si>
    <t>설명 내용</t>
  </si>
  <si>
    <t>후드 점퍼</t>
  </si>
  <si>
    <t>집업티</t>
  </si>
  <si>
    <t>맨투맨티</t>
  </si>
  <si>
    <t>긴바지</t>
  </si>
  <si>
    <t>반팔티</t>
  </si>
  <si>
    <t>반바지</t>
  </si>
  <si>
    <t>※ 국산섬유원단 사용 여부(한국섬유산업연합회 인증마크 획득) 등 상세히 기재</t>
  </si>
  <si>
    <t>[검토용] 원본 HWPX [9-14] [서식 8] 대조. 원문에 업체명 표시 자리가 없어 반영하지 않으며 A/S 계획 전 항목은 직접 작성합니다.</t>
  </si>
  <si>
    <t>1. A/S 기간</t>
  </si>
  <si>
    <t>가. 무상 A/S 기간 (                부터                까지 )</t>
  </si>
  <si>
    <t>2. A/S 편의성</t>
  </si>
  <si>
    <t>가. 사업장 소재지 :</t>
  </si>
  <si>
    <t>나. 신속성 : A/S 완료까지 소요되는 기간 (                일)</t>
  </si>
  <si>
    <t>다. 출장 A/S 가능여부 : 가능한 경우 출장 A/S 최소 학생 수 기재 (                명)</t>
  </si>
  <si>
    <t>라. 택배 A/S 가능여부 : 가능한 경우 택배비용 무상/유상 기재 (                )</t>
  </si>
  <si>
    <t>3. A/S지정업체 (A/S지정업체가 별도 있을 경우 교복업체와 관계를 입증할 계약서 등 첨부)</t>
  </si>
  <si>
    <t>가. 주 소 :</t>
  </si>
  <si>
    <t>나. 연락처 :</t>
  </si>
  <si>
    <t>다. 거리접근성 : 학교와 A/S 수선점과의 거리 기재 (                km)</t>
  </si>
  <si>
    <t>4. A/S 내용</t>
  </si>
  <si>
    <t>가. 시설현황 : A/S관련 시설 및 수량 기재(재단기, 오버로크 등)</t>
  </si>
  <si>
    <t>나. 무상A/S 세부내용</t>
  </si>
  <si>
    <t>- 바지/치마 기장수선  - 품·허리수선  - 헤진부위수선  - 단추  - 지퍼  - 바느질 등 세부적 사항 기재</t>
  </si>
  <si>
    <t>다. 유상A/S 세부내용</t>
  </si>
  <si>
    <t>-</t>
  </si>
  <si>
    <t>[검토중 — 담당자 최종 확인 후 사용] 원본 HWPX 3쪽 [1] 대조. 위원 성명은 개인정보이므로 마스킹 식별표시만 반영함</t>
  </si>
  <si>
    <t>교복선정위원회 구성(안)</t>
  </si>
  <si>
    <t>내부결재</t>
  </si>
  <si>
    <t>가. 위원회명：교복선정위원회</t>
  </si>
  <si>
    <t>나. 구성인원：7인 이상(교원위원 3인, 학부모위원 2인, 학생위원 2인)</t>
  </si>
  <si>
    <t>※ 교장 및 행정실장은 위원에서 제외, 교원을 제외한 위원이 1/2 이상 포함되도록 구성</t>
  </si>
  <si>
    <t>다. 역 할</t>
  </si>
  <si>
    <t>1) 교복 디자인 및 사양 선정</t>
  </si>
  <si>
    <t>2) 교복 품질심사기준 설정 및 심사</t>
  </si>
  <si>
    <t>3) 교복 제작 감독</t>
  </si>
  <si>
    <t>4) 구매결과 평가 실시</t>
  </si>
  <si>
    <t>라. 위원 명단</t>
  </si>
  <si>
    <t>순</t>
  </si>
  <si>
    <t>직급(직위)</t>
  </si>
  <si>
    <t>성명</t>
  </si>
  <si>
    <t>붙임 1. 교복선정위원회 위원 수락 및 확인서 1부.</t>
  </si>
  <si>
    <t xml:space="preserve">      2. 교복선정위원회 위원 청렴 및 보안 서약서 1부.  끝.</t>
  </si>
  <si>
    <t>[검토중 — 담당자 최종 확인 후 사용] 원본 HWPX 4쪽 [1-1] 대조. 위원이 자필로 작성·서명하는 빈 양식이며 학교 공통정보만 반영함</t>
  </si>
  <si>
    <t>교복선정위원회 위원 수락 및 확인서</t>
  </si>
  <si>
    <t>업체와의 관련이 있는 것으로 판명될 경우, 즉시 위원직을 사퇴할 것이며, 추후 어떠한 이의도 제기하지 않을 것을 서약합니다.</t>
  </si>
  <si>
    <t>주      소 :</t>
  </si>
  <si>
    <t>성      명 :</t>
  </si>
  <si>
    <t>서      명 :                              (인)</t>
  </si>
  <si>
    <t>[검토중 — 담당자 최종 확인 후 사용] 원본 HWPX 5쪽 [1-2] 대조. 위원이 자필로 작성·서명하는 빈 양식이며 학교 공통정보만 반영함</t>
  </si>
  <si>
    <t>청렴 및 보안 서약서</t>
  </si>
  <si>
    <t>[검토중 — 담당자 최종 확인 후 사용] 원본 HWPX 6쪽 [2] 대조</t>
  </si>
  <si>
    <t>교복 학교주관구매 추진 계획 수립(안)</t>
  </si>
  <si>
    <t>[검토중 — 담당자 최종 확인 후 사용] 원본 HWPX 7~12쪽 [2-1] 대조. 원문이 6개 물리 페이지 분량이라 이 서식만 예외적으로 다중 페이지 자연 출력을 허용함(강제 압축 없음)</t>
  </si>
  <si>
    <t>❍ 근 거：학교안전과-○○(20○○. ○○. ○○.) 「교복 학교주관구매 운영 요령」</t>
  </si>
  <si>
    <t>❍ 목 적：교복 학교주관구매 지원을 통한 학부모의 경제적 부담 경감</t>
  </si>
  <si>
    <t>❍ 시 기：20○○. ○○월 ~ 20○○. ○○월</t>
  </si>
  <si>
    <t>❍ 대 상：해당 학년도 모든 신입생</t>
  </si>
  <si>
    <t>❍ 학교장이 업체와 계약 체결 후 교복을 일괄 구매하는 학교주관구매 실시</t>
  </si>
  <si>
    <t>❍ 교복의 품질과 가격을 종합적으로 심사할 수 있는 2단계 입찰로 투명성·공정성·가격 경쟁력 확보</t>
  </si>
  <si>
    <t>❍ 교원, 학생대표, 학부모 대표 등으로 「교복선정위원회」를 구성·운영하여 명확하고 합리적인 심사기준 설정</t>
  </si>
  <si>
    <t>단계 및 시기</t>
  </si>
  <si>
    <t>주요 추진 사항</t>
  </si>
  <si>
    <t>교복 구매 계획 수립 [4월]</t>
  </si>
  <si>
    <t>교복 구매 계획 수립(추진일정, 디자인, 품질기준, 상한가격, 계약방식 등 포함)</t>
  </si>
  <si>
    <t>사업부서</t>
  </si>
  <si>
    <t>학교운영위원회 심의 [4월~5월]</t>
  </si>
  <si>
    <t>교복 구매 계획 학교운영위원회 심의</t>
  </si>
  <si>
    <t>입찰 공고 [6월~7월]</t>
  </si>
  <si>
    <t>구매물량 확정 단서 명시, A/S·반품·교환 요청사항 포함, 납품기한 명시</t>
  </si>
  <si>
    <t>계약부서</t>
  </si>
  <si>
    <t>1단계 품질심사(제안서 평가)</t>
  </si>
  <si>
    <t>교복선정위원회 품질(제안서) 심사</t>
  </si>
  <si>
    <t>사업부서(계약부서)</t>
  </si>
  <si>
    <t>2단계 가격 경쟁</t>
  </si>
  <si>
    <t>품질 적격업체 대상 가격 입찰</t>
  </si>
  <si>
    <t>사업자 선정·계약 체결 [7월~8월]</t>
  </si>
  <si>
    <t>낙찰통지 후 계약서 작성(단가계약 체결)</t>
  </si>
  <si>
    <t>학교주관구매 홍보 [12월~다음연도 1월]</t>
  </si>
  <si>
    <t>신입생 배정·합격자 통지 시 구매 방법 안내</t>
  </si>
  <si>
    <t>구성 인원 확정 및 치수 측정 [다음연도 1~2월]</t>
  </si>
  <si>
    <t>물량 확정 후 40일의 납품기한 보장</t>
  </si>
  <si>
    <t>교복 구매/납품 [다음연도 2월]</t>
  </si>
  <si>
    <t>교내 또는 업체 매장에서 검사·검수 실시</t>
  </si>
  <si>
    <t>대금 지급 [다음연도 3월]</t>
  </si>
  <si>
    <t>학교회계 절차에 따라 세입·세출 처리</t>
  </si>
  <si>
    <t>검사·검수 및 평가·환류 [다음연도 2~3월]</t>
  </si>
  <si>
    <t>계약 내용 확인 후 검수, 교복 만족도 조사</t>
  </si>
  <si>
    <t>❍ 교복디자인 선정·공개</t>
  </si>
  <si>
    <t>1) 신입생 교복은 원칙적으로 전년도 교복 디자인으로 한다.</t>
  </si>
  <si>
    <t>2) 교복 형태에 관한 사항을 학생 생활규정으로 명문화하고, 사양서와 사진, 규정 등을 학교 규정집과 학교 누리집 공지사항 등을 통해 공개한다.</t>
  </si>
  <si>
    <t>※ 교복 디자인 변경 시 도교육청 누리집 등을 통해 공개(최소 입찰공고 1개월 전까지)</t>
  </si>
  <si>
    <t>❍ 교복선정위원회 구성 및 역할</t>
  </si>
  <si>
    <t>1) 교복선정위원회 구성 현황(위원 성명은 개인정보이므로 마스킹 식별표시만 표시함)</t>
  </si>
  <si>
    <t>2) 역할：(제안서 심사) 디자인 적합성·재질·바느질 상태·A/S(의무기간 1년)·하자 이행 등 품질심사 기준 설정 및 제안서 평가·적격업체 선정 / (제작 감독) 계약 체결 후 제작 상황 확인(샘플검사·원단검사 등) / (검수) 납품 시 수량·사양서 등 계약 내용 확인 후 검수, 품질검사 실시 / (평가) 착용 이후 학생·학부모 의견수렴을 거쳐 구매 결과 평가 실시</t>
  </si>
  <si>
    <t>※ 교복 업계 이해관계자는 위촉 불가, 위원 후보자로부터 확인서·서약서 징구. 필요시 교복 제조·판매 시설 실사 실시</t>
  </si>
  <si>
    <t>❍ 교복 구매 기준</t>
  </si>
  <si>
    <t>1) 교복 구매 시 품질기준, 디자인, 상한 가격, 구매절차 및 입찰방법, 참가자 신청 일정 및 비용 납부, A/S 방안 등에 관한 사항을 포함한다.</t>
  </si>
  <si>
    <t>2) 신입생 3월 동복 착용 시 교복 제작 일정을 감안하여 8월까지 사업자를 선정하여 추진한다.</t>
  </si>
  <si>
    <t>❍ 입찰 공고</t>
  </si>
  <si>
    <t>1) 교복 구매 사업자 선정을 위한 입찰공고문을 작성하여 교복사양서와 함께 학교 누리집 및 지정 정보처리장치 등에 게재한다.</t>
  </si>
  <si>
    <t>2) 입찰에 부치는 사항, 입찰·개찰의 장소 및 일시, 참가자격, 낙찰자 결정방법, 계약 방법, 이행예정 기간 등을 명시하되, 구매물량은 「학생 인원에 따라 구매 물량 확정」이라는 단서를 반드시 명시한다.</t>
  </si>
  <si>
    <t>3) 물량변동 분쟁을 방지하도록 단가계약을 체결하되, 전입생 등 추가 구매가 가능하도록 충분한 수량을 확보한다.</t>
  </si>
  <si>
    <t>4) 입찰 참가 사업자는 학교에 입찰 참가 신청서를 제출한다.</t>
  </si>
  <si>
    <t>5) 기초가격은 교육청 상한 가격을 넘지 않는 선에서 교복사양(디자인·원단 등)을 고려한 거래실례가격·견적가격 등을 감안해 산출한다.</t>
  </si>
  <si>
    <t>6) 입찰 공고 등에 관한 사항은 관련 법령과 규정을 준수하여 진행한다.</t>
  </si>
  <si>
    <t>❍ 교복 납품 사업자 선정</t>
  </si>
  <si>
    <t>1) 교복선정위원회가 응찰 사업자를 대상으로 2단계 입찰(품질 → 가격)을 심사한다.</t>
  </si>
  <si>
    <t>2) 품질 심사：가격 심사 참가를 위한 최소 품질기준 합격 여부를 심사하며, 명확한 기준에 따라 엄격히 심사하고 Q-MARK 검사 기준 등을 적극 활용한다.</t>
  </si>
  <si>
    <t>3) 가격 경쟁：품질 합격 업체를 대상으로 입찰 관련 법령을 준수해 가격 경쟁을 실시하며, 상한 가격 초과·지역제한 미충족 업체는 탈락시킨다.</t>
  </si>
  <si>
    <t>4) 사업자 선정：최종 낙찰자를 사업자로 선정하고 공급 단가만 계약하되 「구매물량은 신청 학생 인원에 따라 확정」이라는 단서를 반드시 명시한다(단가계약 체결).</t>
  </si>
  <si>
    <t>※ 계약 시 확인 사항：무상 A/S 기한(1년 의무기간)·처리과정, 납품 기일 설정 및 계약이행지급각서 등 제출, 원단 검사 시 의류 시험성적서 제출, 납품 시점 하자이행보증보험증권 제출, 계약 특수조건(전입생 추가 구매 물량 확보) 명시</t>
  </si>
  <si>
    <t>❍ 규모 확정 및 학교회계 처리</t>
  </si>
  <si>
    <t>1) 3월 입학 동복 착용의 경우 예비소집일 등을 통해 신속히 참여 규모를 확정하고 회계처리한다.</t>
  </si>
  <si>
    <t>※ 신청 시 희망 치수와 실제측정 치수를 함께 조사한다.</t>
  </si>
  <si>
    <t>❍ 검수 및 평가·환류</t>
  </si>
  <si>
    <t>1) 계약 체결 후 원단 구입 전 샘플 검사(1차), 원단 검사(2차) 등 제작 상황을 수시로 확인한다.</t>
  </si>
  <si>
    <t>2) 물품 검수 시 수량·사양서 등 계약내용 및 제조 연월 표시 여부(라벨 불량·품질 표시 등)를 철저히 확인 후 검수한다.</t>
  </si>
  <si>
    <t>3) 교복 품질 검사 실시 후 검수한다.</t>
  </si>
  <si>
    <t>4) 착용 이후 학생·학부모 의견 수렴을 거쳐 「교복선정위원회」에서 구매 결과 평가를 실시한다.</t>
  </si>
  <si>
    <t>❍ 공정하고 투명한 입찰 방법을 통하여 저렴하고 높은 품질의 교복을 확보하고, 학교회계 관련 법령 및 절차에 따른 진행으로 교복구매의 합리성을 도모한다.</t>
  </si>
  <si>
    <t>붙임  교복 사양서 1부.  끝.</t>
  </si>
  <si>
    <t>[검토중 — 담당자 최종 확인 후 사용] 원본 HWPX 13쪽 [3] 대조. 참고 서식이며 학교운영위원회 자체 서식 사용을 권장함(원문 안내문 그대로 반영)</t>
  </si>
  <si>
    <t>안건번호</t>
  </si>
  <si>
    <t>제출일자</t>
  </si>
  <si>
    <t>제 안 자</t>
  </si>
  <si>
    <t>제안설명자</t>
  </si>
  <si>
    <t>1. 제안 이유</t>
  </si>
  <si>
    <t>❍ 근 거：「초·중등교육법」 제30조의2, 제32조 제1항</t>
  </si>
  <si>
    <t>2. 주요 내용</t>
  </si>
  <si>
    <t>가. 목적</t>
  </si>
  <si>
    <t>❍ 투명하고 공정한 선정 절차로 우수한 품질과 가격 경쟁력 확보</t>
  </si>
  <si>
    <t>❍ 학부모 교육비 부담을 경감하여 교복 가격 안정화 도모</t>
  </si>
  <si>
    <t>나. 교복 납품 사업자 선정 방법</t>
  </si>
  <si>
    <t>❍ 교복선정위원회를 구성하여 교복에 대한 2단계 경쟁(품질 → 가격)을 심사</t>
  </si>
  <si>
    <t>다. 교복구매 상한가격</t>
  </si>
  <si>
    <t>라. 협의사항</t>
  </si>
  <si>
    <t>❍ 교복선정위원회 구성</t>
  </si>
  <si>
    <t>직위</t>
  </si>
  <si>
    <t>❍ 기타 의견 수렴</t>
  </si>
  <si>
    <t>※ 참고 서식이니 해당학교의 학교운영위원회 서식을 사용할 것</t>
  </si>
  <si>
    <t>[검토중 — 담당자 최종 확인 후 사용] 원본 HWPX 70쪽 [14] 대조. 낙찰 업체는 I3 순번으로 1곳만 선택 반영하며 대표자·비고(주소)는 수기 작성함</t>
  </si>
  <si>
    <t>낙찰 업체 선택 순번(자동, 인쇄 전용)</t>
  </si>
  <si>
    <t>교복 학교주관구매 낙찰자 결정(안)</t>
  </si>
  <si>
    <t>가. 건  명：</t>
  </si>
  <si>
    <t>나. 기초금액：</t>
  </si>
  <si>
    <t>다. 예정가격：</t>
  </si>
  <si>
    <t>라. 낙찰자</t>
  </si>
  <si>
    <t>순위</t>
  </si>
  <si>
    <t>투찰금액(원)</t>
  </si>
  <si>
    <t>낙찰률(%)</t>
  </si>
  <si>
    <t>비고(주소)</t>
  </si>
  <si>
    <t>마. 근거：「지방자치단체를 당사자로 하는 계약에 관한 법률 시행령」 제42조.  끝.</t>
  </si>
  <si>
    <t>[검토중 — 담당자 최종 확인 후 사용] 원본 HWPX 71쪽 [15] 대조. 수신·업체명은 I3 순번으로 선택한 낙찰 업체를 반영하며 대표자·비고는 수기 작성함</t>
  </si>
  <si>
    <t>교복 학교주관구매 낙찰자 결정 통보</t>
  </si>
  <si>
    <t>1. 귀사의 무궁한 발전을 기원합니다.</t>
  </si>
  <si>
    <t>가. 낙찰자</t>
  </si>
  <si>
    <t>계약체결금액(원)</t>
  </si>
  <si>
    <t>나. 제출서류</t>
  </si>
  <si>
    <t>1) 품목별 산출내역서 1부.</t>
  </si>
  <si>
    <t>2) 원단 의류 시험성적서 1부.</t>
  </si>
  <si>
    <t>3) 사용인장계(조달등록 인장 아닌 경우) 1부.</t>
  </si>
  <si>
    <t>4) 법인 등기사항증명서(법인) 또는 주민등록등본(개인) 1부.  끝.</t>
  </si>
  <si>
    <t>[검토중 — 담당자 최종 확인 후 사용] 원본 HWPX 72쪽 [16] 대조. 계약상대자 업체명은 I3 순번으로 선택 반영하며 소재지·대표자·전화번호는 수기 작성함. 납품기한은 기초자료입력의 단일 값만 반영(원문 동복/하복 구분 한계)</t>
  </si>
  <si>
    <t>계약상대자 선택 순번(자동, 인쇄 전용)</t>
  </si>
  <si>
    <t>교복 학교주관구매 계약 체결(안)</t>
  </si>
  <si>
    <t>가. 계약명：</t>
  </si>
  <si>
    <t>단가(원) 입력：</t>
  </si>
  <si>
    <t>(담당자가 계약 단가를 직접 입력함 — 기초자료입력 미연동, K-01)</t>
  </si>
  <si>
    <t>나. 계약금액：</t>
  </si>
  <si>
    <t>※ 최종구매수량은 희망 학생 수에 따라 증감될 수 있음.</t>
  </si>
  <si>
    <t>3. 계약상대자</t>
  </si>
  <si>
    <t>소재지</t>
  </si>
  <si>
    <t>4. 계약보증금：교복단가에 예정 수량을 곱한 금액의 10%(보증서 전자 접수)</t>
  </si>
  <si>
    <t>6. 계약방법：나라장터(G2B)를 통한 전자계약</t>
  </si>
  <si>
    <t>붙임 1. 계약서(초안) 1부.</t>
  </si>
  <si>
    <t xml:space="preserve">      2. 교복 사양서 1부.</t>
  </si>
  <si>
    <t xml:space="preserve">      3. 교복 구매계약 특수조건 1부.</t>
  </si>
  <si>
    <t xml:space="preserve">      4. 입찰가격산출내역서(품목별 단가표) 1부.</t>
  </si>
  <si>
    <t xml:space="preserve">      5. 기타서류(별첨).  끝.</t>
  </si>
  <si>
    <t>[검토중 — 담당자 최종 확인 후 사용] 원본 HWPX 73쪽 [17] 대조. 학교·학년도 공통값만 반영하며 학생·학부모 개인정보는 입력·저장·출력하지 않음</t>
  </si>
  <si>
    <t>신입생 교복구매 사전 안내 가정통신문 발송</t>
  </si>
  <si>
    <t>내부결재(사업부서)</t>
  </si>
  <si>
    <t>1. 관련: 전북특별자치도교육청 학교안전과-0000(20○○.) 학교주관공동구매 요령</t>
  </si>
  <si>
    <t>2. 상급학교 진학 이전에 교복 구매에 대한 사전 안내를 실시하기 위하여 붙임과 같이 가정통신문을 발송하고자 합니다.</t>
  </si>
  <si>
    <t>가. 대상:</t>
  </si>
  <si>
    <t>나. 내용:</t>
  </si>
  <si>
    <t>붙임 교복구매 사전 안내 가정통신문 1부. 끝.</t>
  </si>
  <si>
    <t>[검토중 — 담당자 최종 확인 후 사용] 원본 HWPX 74쪽 [17-1] 대조. 학생·학부모 개인정보와 개별 신청값은 입력·저장·출력하지 않음</t>
  </si>
  <si>
    <t>안녕하십니까? 졸업과 함께 상급학교로 진학함을 축하드립니다.</t>
  </si>
  <si>
    <t>정부의「교복 가격 안정화 방안」(2013.7.9)에 따라, 학교는 ‘학교주관구매’를 실시하고 있으며, 전북 도내 교복을 착용하는 대부분의 중·고등학교는 ‘교복 학교주관구매 제도’를 실시하고 있습니다.</t>
  </si>
  <si>
    <t>교복은 ‘학교주관구매’의 권고 상한가인 동복 000원, 하복 000원 이하로 지원하게 됩니다. 학교별 자체 구매계획에 따라 업체를 선정하며, 학생들은 진학하는 중학교(고등학교)에서 교복을 현물로 지원 받습니다.</t>
  </si>
  <si>
    <t>기타 교복 착용 여부와 구매 일정, 착용 시기 등 세부사항은 신입생 배정 발표 이후에 해당 학교의 안내를 통해 반드시 확인하시고, 학교의 안내 없이 교복을 개별적으로 구매하여 착오가 생기는 일이 없도록 유의하시기 바랍니다.</t>
  </si>
  <si>
    <t>감사합니다.</t>
  </si>
  <si>
    <t>[검토중 — 담당자 최종 확인 후 사용] 원본 HWPX 75쪽 [18] 대조. 학교·학년도·구매명 공통값만 반영하며 학생·학부모 개인정보는 입력·저장·출력하지 않음</t>
  </si>
  <si>
    <t>신입생 예비소집일 교복구매 수요조사 가정통신문 발송</t>
  </si>
  <si>
    <t>2. 정확한 교복 물량 파악을 위한 학교주관구매 수요조사를 위해 붙임과 같이 가정통신문을 발송하고자 합니다.</t>
  </si>
  <si>
    <t>붙임 교복구매 수요조사 가정통신문 1부. 끝.</t>
  </si>
  <si>
    <t>[검토중 — 담당자 최종 확인 후 사용] 원본 HWPX 61쪽 [10] 대조. 업체명만 자동 반영하며 접수일자·대표자는 수기 작성함</t>
  </si>
  <si>
    <t>□ 제안서 접수 결과 □</t>
  </si>
  <si>
    <t>접수번호</t>
  </si>
  <si>
    <t>접수일자</t>
  </si>
  <si>
    <t>업체현황</t>
  </si>
  <si>
    <t>[검토중 — 담당자 최종 확인 후 사용] 원본 HWPX 62쪽 [10-1] 대조. 업체명 외 대표자·연락처·대리인·수령인은 수기 공란임</t>
  </si>
  <si>
    <t>접수_x000D_
일자</t>
  </si>
  <si>
    <t>접수_x000D_
번호</t>
  </si>
  <si>
    <t>회사현황</t>
  </si>
  <si>
    <t>접수인(대리인)현황</t>
  </si>
  <si>
    <t>샘플 반환</t>
  </si>
  <si>
    <t xml:space="preserve">_x000D_
</t>
  </si>
  <si>
    <t>번호</t>
  </si>
  <si>
    <t>접수인</t>
  </si>
  <si>
    <t>일자</t>
  </si>
  <si>
    <t>수령인</t>
  </si>
  <si>
    <t>※ 샘플은 낙찰업체를 제외하고, 낙찰자 결정 이후 7일 이내 업체에서 수거</t>
  </si>
  <si>
    <t>(탈락업체에서 샘플 미수거 시 폐기처분 할 수 있음)</t>
  </si>
  <si>
    <t>[검토중 — 담당자 최종 확인 후 사용] 원본 HWPX 63쪽 [11] 대조. 위원 성명은 마스킹 식별표시만 반영하며 일시·장소는 수기 작성함</t>
  </si>
  <si>
    <t>가. 일시：</t>
  </si>
  <si>
    <t>나. 장소：</t>
  </si>
  <si>
    <t>다. 대상：</t>
  </si>
  <si>
    <t>라. 안내방법：개별통지. 끝.</t>
  </si>
  <si>
    <t>[검토중 — 담당자 최종 확인 후 사용] 원본 HWPX 64쪽 [12] 대조. 업체별 점수는 F-015 학교 정량평가 입력값(기초자료입력 C:F열)을 재조회함</t>
  </si>
  <si>
    <t>□ 정량평가 □</t>
  </si>
  <si>
    <t>수행경험</t>
  </si>
  <si>
    <t>품질인증</t>
  </si>
  <si>
    <t>접근성</t>
  </si>
  <si>
    <t>상한가격</t>
  </si>
  <si>
    <t>붙임  1. 정량 평가표 각 1부.  2. 업체별 실적, 품질 인증, 상한 가격 자료(별첨) 각 1부.  끝.</t>
  </si>
  <si>
    <t>[검토중 — 담당자 최종 확인 후 사용] 원본 HWPX 65쪽 [13] 대조. 원문 표 헤더가 "성 명"이나 실제 값은 적격/부적격 판정이라 "적부 판정"으로 표시함(매핑표 미수정, 기록만)</t>
  </si>
  <si>
    <t>규격 평가(제안서 평가)</t>
  </si>
  <si>
    <t>정량평가</t>
  </si>
  <si>
    <t>정성평가</t>
  </si>
  <si>
    <t>적부 판정</t>
  </si>
  <si>
    <t>비 고</t>
  </si>
  <si>
    <t>※ 적격 여부 판정 점수：합계 80점 이상</t>
  </si>
  <si>
    <t>붙임  1. 제안서 평가위원 등록부 1부.  2. 제안서 설명 업체 참가자 등록부 1부.  3. 제안서 평가의결서 및 집계표 각 1부.  4. 업체별 평가표 00부.  5. 평가위원 청렴 및 보안각서 각 1부.  끝.</t>
  </si>
  <si>
    <t>[검토중 — 담당자 최종 확인 후 사용] 원본 HWPX 66쪽 [13-1] 대조. 참석자 성명·서명은 자필 작성 공란임</t>
  </si>
  <si>
    <t>1. 일시：</t>
  </si>
  <si>
    <t>2. 장소：</t>
  </si>
  <si>
    <t>회의실</t>
  </si>
  <si>
    <t>3. 참석자 현황</t>
  </si>
  <si>
    <t>서명</t>
  </si>
  <si>
    <t>[검토중 — 담당자 최종 확인 후 사용] 원본 HWPX 67쪽 [13-2] 대조. 업체명 외 개인정보·연락처·대리인 정보는 수기 공란임</t>
  </si>
  <si>
    <t>제안서 설명 업체 참가 등록부</t>
  </si>
  <si>
    <t>회사</t>
  </si>
  <si>
    <t>제안자</t>
  </si>
  <si>
    <t>제안심사_x000D_
관리번호</t>
  </si>
  <si>
    <t>※ 제안 심사 관리 번호</t>
  </si>
  <si>
    <t>○ 제안서 블라인드 평가를 위한 관리번호</t>
  </si>
  <si>
    <t>○ 접수 완료 후 제안평가 심사 실시(30분 이상 확보) 전 추첨하여 관리번호 부여</t>
  </si>
  <si>
    <t>- 관리번호는 교복 샘플과 평가위원용 제안서에 표기하여 관리한다.</t>
  </si>
  <si>
    <t>[검토중 — 담당자 최종 확인 후 사용] 원본 HWPX 68쪽 [13-3] 대조. 위원명은 자필 공란이며 옷감·완성도·A/S·하자 점수만 입력함(이 문서 전용 입력칸)</t>
  </si>
  <si>
    <t>위원명</t>
  </si>
  <si>
    <t>옷감의재질
(15점)</t>
  </si>
  <si>
    <t>교복의완성도
(10점)</t>
  </si>
  <si>
    <t>A/S
(15점)</t>
  </si>
  <si>
    <t>하자
(10점)</t>
  </si>
  <si>
    <t>점수합계
(50점)</t>
  </si>
  <si>
    <t>위원별 평가 점수 중
최고점 및 최저점을 제외</t>
  </si>
  <si>
    <t>총계</t>
  </si>
  <si>
    <t>평균</t>
  </si>
  <si>
    <t>※ 학교의 제안서 평가항목에 맞게 변경 가능</t>
  </si>
  <si>
    <t>[검토중 — 담당자 최종 확인 후 사용] 원본 HWPX 69쪽 [13-4] 대조. 서약자 성명·서명은 자필 작성 공란임</t>
  </si>
  <si>
    <t>교복선정위원회 위원 청렴 및 보안 서약서</t>
  </si>
  <si>
    <t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t>
  </si>
  <si>
    <t>3. 업무상 취득한 비밀을 준수하고 보안관계 규정 및 지침을 성실히 수행하겠습니다.</t>
  </si>
  <si>
    <t>4. 평가와 관련하여 알게 된 업무상 비밀을 타인에게 누설하지 않겠으며, 업무상 취득한 비밀을 누설할 때에는 관계법규에 따라 처벌을 받는 것에 이의를 제기하지 않겠습니다.</t>
  </si>
  <si>
    <t>20 년 월 일</t>
  </si>
  <si>
    <t>서 약 자  성 명 :                         (인)</t>
  </si>
  <si>
    <t>지역</t>
  </si>
  <si>
    <t>급별</t>
  </si>
  <si>
    <t>설립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</si>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</sst>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.mm\.dd\."/>
    <numFmt numFmtId="177" formatCode="yyyy\.mm\.dd\.\ hh:mm"/>
    <numFmt numFmtId="178" formatCode="0.0"/>
  </numFmts>
  <fonts count="19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7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7"/>
      <color rgb="FFFF0000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29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1" fontId="0" fillId="0" borderId="0" xfId="0" applyNumberForma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2" fontId="13" fillId="0" borderId="1" xfId="0" applyNumberFormat="1" applyFont="1" applyBorder="1" applyAlignment="1">
      <alignment horizontal="center" vertical="center"/>
    </xf>
    <xf numFmtId="2" fontId="12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13" fillId="0" borderId="1" xfId="0" applyFont="1" applyBorder="1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5" fillId="0" borderId="1" xfId="0" applyFont="1" applyBorder="1" applyAlignment="1">
      <alignment horizontal="center" vertical="center" wrapText="1"/>
    </xf>
    <xf numFmtId="0" fontId="16" fillId="0" borderId="1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1" xfId="0" applyFont="1" applyBorder="1" applyAlignment="1">
      <alignment vertical="center" shrinkToFit="1"/>
    </xf>
    <xf numFmtId="0" fontId="16" fillId="0" borderId="1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0" fillId="0" borderId="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12" fillId="0" borderId="0" xfId="0" applyFont="1">
      <alignment vertical="center"/>
    </xf>
    <xf numFmtId="0" fontId="12" fillId="0" borderId="1" xfId="0" applyFont="1" applyBorder="1">
      <alignment vertical="center"/>
    </xf>
    <xf numFmtId="0" fontId="18" fillId="0" borderId="0" xfId="0" applyFont="1" applyAlignment="1">
      <alignment vertical="center"/>
    </xf>
    <xf numFmtId="0" fontId="18" fillId="0" borderId="1" xfId="0" applyFont="1" applyBorder="1" applyAlignment="1">
      <alignment vertical="center"/>
    </xf>
    <xf numFmtId="0" fontId="13" fillId="0" borderId="4" xfId="0" applyFont="1" applyBorder="1">
      <alignment vertical="center"/>
    </xf>
    <xf numFmtId="3" fontId="13" fillId="2" borderId="1" xfId="0" applyNumberFormat="1" applyFont="1" applyFill="1" applyBorder="1">
      <alignment vertical="center"/>
    </xf>
    <xf numFmtId="2" fontId="13" fillId="2" borderId="1" xfId="0" applyNumberFormat="1" applyFont="1" applyFill="1" applyBorder="1">
      <alignment vertical="center"/>
    </xf>
    <xf numFmtId="0" fontId="15" fillId="0" borderId="1" xfId="0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3" borderId="1" xfId="0" applyFont="1" applyFill="1" applyBorder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178" fontId="13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2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1" xfId="0" applyFont="1" applyBorder="1">
      <alignment vertical="center"/>
    </xf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3" fillId="2" borderId="0" xfId="0" applyFont="1" applyFill="1">
      <alignment vertical="center"/>
    </xf>
    <xf numFmtId="0" fontId="3" fillId="0" borderId="0" xfId="0" applyFont="1" applyAlignment="1">
      <alignment horizontal="center" vertical="center"/>
    </xf>
    <xf numFmtId="0" fontId="12" fillId="0" borderId="0" xfId="0" applyFont="1" applyAlignment="1">
      <alignment vertical="center" wrapText="1"/>
    </xf>
    <xf numFmtId="3" fontId="13" fillId="2" borderId="0" xfId="0" applyNumberFormat="1" applyFont="1" applyFill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>
      <alignment vertical="center"/>
    </xf>
    <xf numFmtId="0" fontId="12" fillId="0" borderId="2" xfId="0" applyFont="1" applyBorder="1">
      <alignment vertical="center"/>
    </xf>
    <xf numFmtId="0" fontId="13" fillId="0" borderId="3" xfId="0" applyFont="1" applyBorder="1" applyAlignment="1">
      <alignment vertical="center" wrapText="1"/>
    </xf>
    <xf numFmtId="0" fontId="13" fillId="0" borderId="4" xfId="0" applyFont="1" applyBorder="1">
      <alignment vertical="center"/>
    </xf>
    <xf numFmtId="0" fontId="13" fillId="0" borderId="1" xfId="0" applyFont="1" applyBorder="1" applyAlignment="1">
      <alignment vertical="center" wrapText="1"/>
    </xf>
    <xf numFmtId="0" fontId="18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vertical="center" wrapText="1"/>
    </xf>
    <xf numFmtId="0" fontId="12" fillId="0" borderId="1" xfId="0" applyFont="1" applyBorder="1" applyAlignment="1">
      <alignment vertical="center" wrapText="1"/>
    </xf>
    <xf numFmtId="0" fontId="9" fillId="0" borderId="1" xfId="0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17" fillId="0" borderId="0" xfId="0" applyFont="1" applyAlignment="1">
      <alignment vertical="center"/>
    </xf>
    <xf numFmtId="0" fontId="0" fillId="0" borderId="0" xfId="0" applyAlignment="1">
      <alignment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3" fillId="0" borderId="0" xfId="0" applyFont="1" applyAlignment="1">
      <alignment vertic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2049" name="btn계약방법반영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F44431B-7525-4B8B-80DB-2A5F3C76F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3073" name="btn관련FormID이동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54032BF6-1DF2-463D-BADA-538D71B76A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4097" name="btn학교검색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035A39B-4F29-4D0B-AAB3-59FEE58CB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4098" name="btn선택학교반영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1D301EC1-955C-4F77-9C2D-67B030E940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40961" name="btn인쇄미리보기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17204939-1542-40B3-A27E-7F510E136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40962" name="btnPDF저장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DCF438C9-DBBC-4B96-82DB-23F2612682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50177" name="btn초기화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B18F05CF-54E7-4278-80AE-9B2A36938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50178" name="btn저장하기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56FC580A-55C8-4B53-908E-1026CA7CC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50179" name="btn수정하기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929157B2-24A9-4835-B67B-C4C1E50761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50180" name="btn불러오기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9A8E1EF3-D79D-438B-8668-34AD53A0F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79985-144E-4EB1-933C-CF317D3172DD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6" t="s">
        <v>1135</v>
      </c>
    </row>
    <row r="2" spans="1:5" ht="42" customHeight="1" x14ac:dyDescent="0.4">
      <c r="A2" s="71" t="s">
        <v>1136</v>
      </c>
      <c r="B2" s="71"/>
      <c r="C2" s="71"/>
      <c r="D2" s="71"/>
      <c r="E2" s="71"/>
    </row>
    <row r="4" spans="1:5" x14ac:dyDescent="0.4">
      <c r="A4" s="62" t="s">
        <v>1137</v>
      </c>
      <c r="B4" s="62" t="s">
        <v>1138</v>
      </c>
      <c r="C4" s="62" t="s">
        <v>1139</v>
      </c>
    </row>
    <row r="5" spans="1:5" x14ac:dyDescent="0.4">
      <c r="A5" s="68" t="s">
        <v>1140</v>
      </c>
      <c r="B5" s="70"/>
      <c r="C5" s="69" t="s">
        <v>1143</v>
      </c>
    </row>
    <row r="6" spans="1:5" x14ac:dyDescent="0.4">
      <c r="A6" s="68" t="s">
        <v>1141</v>
      </c>
      <c r="B6" s="70"/>
      <c r="C6" s="69" t="s">
        <v>1144</v>
      </c>
    </row>
    <row r="7" spans="1:5" x14ac:dyDescent="0.4">
      <c r="A7" s="68" t="s">
        <v>1142</v>
      </c>
      <c r="B7" s="68" t="str">
        <f>IF(AND(B5="예",B6="예"),"2단계 입찰(규격·가격 동시)","")</f>
        <v/>
      </c>
      <c r="C7" s="69" t="s">
        <v>1145</v>
      </c>
    </row>
    <row r="9" spans="1:5" x14ac:dyDescent="0.4">
      <c r="A9" s="3" t="s">
        <v>1146</v>
      </c>
    </row>
    <row r="10" spans="1:5" ht="36" customHeight="1" x14ac:dyDescent="0.4">
      <c r="A10" s="71" t="s">
        <v>1147</v>
      </c>
      <c r="B10" s="71"/>
      <c r="C10" s="71"/>
      <c r="D10" s="71"/>
      <c r="E10" s="71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F0DD2D8A-4B4C-464C-A7C7-C57ABDAF6A8E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11BC5-6D6F-4B26-A7FE-C6891BCE4CB5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6" t="s">
        <v>1104</v>
      </c>
    </row>
    <row r="2" spans="1:4" x14ac:dyDescent="0.4">
      <c r="A2" t="s">
        <v>1105</v>
      </c>
    </row>
    <row r="4" spans="1:4" x14ac:dyDescent="0.4">
      <c r="A4" s="17" t="s">
        <v>1106</v>
      </c>
      <c r="B4" s="17" t="s">
        <v>1107</v>
      </c>
      <c r="C4" s="17" t="s">
        <v>1108</v>
      </c>
      <c r="D4" s="17" t="s">
        <v>1109</v>
      </c>
    </row>
    <row r="5" spans="1:4" x14ac:dyDescent="0.4">
      <c r="A5" s="67" t="s">
        <v>1110</v>
      </c>
      <c r="B5" s="69" t="s">
        <v>1111</v>
      </c>
      <c r="C5" s="69" t="s">
        <v>1112</v>
      </c>
      <c r="D5" s="67" t="s">
        <v>126</v>
      </c>
    </row>
    <row r="6" spans="1:4" x14ac:dyDescent="0.4">
      <c r="A6" s="67" t="s">
        <v>1113</v>
      </c>
      <c r="B6" s="69" t="s">
        <v>1114</v>
      </c>
      <c r="C6" s="69" t="s">
        <v>143</v>
      </c>
      <c r="D6" s="67" t="s">
        <v>143</v>
      </c>
    </row>
    <row r="7" spans="1:4" x14ac:dyDescent="0.4">
      <c r="A7" s="67" t="s">
        <v>1115</v>
      </c>
      <c r="B7" s="69" t="s">
        <v>1116</v>
      </c>
      <c r="C7" s="69" t="s">
        <v>1117</v>
      </c>
      <c r="D7" s="67" t="s">
        <v>146</v>
      </c>
    </row>
    <row r="8" spans="1:4" x14ac:dyDescent="0.4">
      <c r="A8" s="67" t="s">
        <v>1118</v>
      </c>
      <c r="B8" s="69" t="s">
        <v>1119</v>
      </c>
      <c r="C8" s="69" t="s">
        <v>1120</v>
      </c>
      <c r="D8" s="67" t="s">
        <v>157</v>
      </c>
    </row>
    <row r="9" spans="1:4" x14ac:dyDescent="0.4">
      <c r="A9" s="67" t="s">
        <v>1121</v>
      </c>
      <c r="B9" s="69" t="s">
        <v>1122</v>
      </c>
      <c r="C9" s="69" t="s">
        <v>1123</v>
      </c>
      <c r="D9" s="67" t="s">
        <v>175</v>
      </c>
    </row>
    <row r="10" spans="1:4" x14ac:dyDescent="0.4">
      <c r="A10" s="67" t="s">
        <v>1124</v>
      </c>
      <c r="B10" s="69" t="s">
        <v>1125</v>
      </c>
      <c r="C10" s="69" t="s">
        <v>1126</v>
      </c>
      <c r="D10" s="67" t="s">
        <v>165</v>
      </c>
    </row>
    <row r="11" spans="1:4" x14ac:dyDescent="0.4">
      <c r="A11" s="67" t="s">
        <v>1127</v>
      </c>
      <c r="B11" s="69" t="s">
        <v>1128</v>
      </c>
      <c r="C11" s="69" t="s">
        <v>1129</v>
      </c>
      <c r="D11" s="67" t="s">
        <v>240</v>
      </c>
    </row>
    <row r="12" spans="1:4" x14ac:dyDescent="0.4">
      <c r="A12" s="67" t="s">
        <v>1130</v>
      </c>
      <c r="B12" s="69" t="s">
        <v>1131</v>
      </c>
      <c r="C12" s="69" t="s">
        <v>247</v>
      </c>
      <c r="D12" s="67" t="s">
        <v>247</v>
      </c>
    </row>
    <row r="13" spans="1:4" x14ac:dyDescent="0.4">
      <c r="A13" s="67" t="s">
        <v>1132</v>
      </c>
      <c r="B13" s="69" t="s">
        <v>1133</v>
      </c>
      <c r="C13" s="69" t="s">
        <v>1134</v>
      </c>
      <c r="D13" s="67" t="s">
        <v>250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6BE60-024E-402F-BBF2-653D1825CD24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6" t="s">
        <v>1102</v>
      </c>
    </row>
    <row r="2" spans="1:6" x14ac:dyDescent="0.4">
      <c r="A2" t="s">
        <v>1103</v>
      </c>
    </row>
    <row r="3" spans="1:6" x14ac:dyDescent="0.4">
      <c r="A3" t="s">
        <v>87</v>
      </c>
      <c r="B3" s="9"/>
      <c r="C3" t="s">
        <v>736</v>
      </c>
      <c r="D3" s="9"/>
      <c r="E3" t="s">
        <v>737</v>
      </c>
      <c r="F3" s="9"/>
    </row>
    <row r="6" spans="1:6" x14ac:dyDescent="0.4">
      <c r="A6" s="62" t="s">
        <v>677</v>
      </c>
      <c r="B6" s="62" t="s">
        <v>736</v>
      </c>
      <c r="C6" s="62" t="s">
        <v>737</v>
      </c>
      <c r="D6" s="62" t="s">
        <v>87</v>
      </c>
      <c r="E6" s="62" t="s">
        <v>293</v>
      </c>
      <c r="F6" s="62" t="s">
        <v>368</v>
      </c>
    </row>
    <row r="7" spans="1:6" x14ac:dyDescent="0.4">
      <c r="A7" s="18"/>
      <c r="B7" s="18"/>
      <c r="C7" s="18"/>
      <c r="D7" s="18"/>
      <c r="E7" s="18"/>
      <c r="F7" s="18"/>
    </row>
    <row r="8" spans="1:6" x14ac:dyDescent="0.4">
      <c r="A8" s="18"/>
      <c r="B8" s="18"/>
      <c r="C8" s="18"/>
      <c r="D8" s="18"/>
      <c r="E8" s="18"/>
      <c r="F8" s="18"/>
    </row>
    <row r="9" spans="1:6" x14ac:dyDescent="0.4">
      <c r="A9" s="18"/>
      <c r="B9" s="18"/>
      <c r="C9" s="18"/>
      <c r="D9" s="18"/>
      <c r="E9" s="18"/>
      <c r="F9" s="18"/>
    </row>
    <row r="10" spans="1:6" x14ac:dyDescent="0.4">
      <c r="A10" s="18"/>
      <c r="B10" s="18"/>
      <c r="C10" s="18"/>
      <c r="D10" s="18"/>
      <c r="E10" s="18"/>
      <c r="F10" s="18"/>
    </row>
    <row r="11" spans="1:6" x14ac:dyDescent="0.4">
      <c r="A11" s="18"/>
      <c r="B11" s="18"/>
      <c r="C11" s="18"/>
      <c r="D11" s="18"/>
      <c r="E11" s="18"/>
      <c r="F11" s="18"/>
    </row>
    <row r="12" spans="1:6" x14ac:dyDescent="0.4">
      <c r="A12" s="18"/>
      <c r="B12" s="18"/>
      <c r="C12" s="18"/>
      <c r="D12" s="18"/>
      <c r="E12" s="18"/>
      <c r="F12" s="18"/>
    </row>
    <row r="13" spans="1:6" x14ac:dyDescent="0.4">
      <c r="A13" s="18"/>
      <c r="B13" s="18"/>
      <c r="C13" s="18"/>
      <c r="D13" s="18"/>
      <c r="E13" s="18"/>
      <c r="F13" s="18"/>
    </row>
    <row r="14" spans="1:6" x14ac:dyDescent="0.4">
      <c r="A14" s="18"/>
      <c r="B14" s="18"/>
      <c r="C14" s="18"/>
      <c r="D14" s="18"/>
      <c r="E14" s="18"/>
      <c r="F14" s="18"/>
    </row>
    <row r="15" spans="1:6" x14ac:dyDescent="0.4">
      <c r="A15" s="18"/>
      <c r="B15" s="18"/>
      <c r="C15" s="18"/>
      <c r="D15" s="18"/>
      <c r="E15" s="18"/>
      <c r="F15" s="18"/>
    </row>
    <row r="16" spans="1:6" x14ac:dyDescent="0.4">
      <c r="A16" s="18"/>
      <c r="B16" s="18"/>
      <c r="C16" s="18"/>
      <c r="D16" s="18"/>
      <c r="E16" s="18"/>
      <c r="F16" s="18"/>
    </row>
    <row r="17" spans="1:6" x14ac:dyDescent="0.4">
      <c r="A17" s="18"/>
      <c r="B17" s="18"/>
      <c r="C17" s="18"/>
      <c r="D17" s="18"/>
      <c r="E17" s="18"/>
      <c r="F17" s="18"/>
    </row>
    <row r="18" spans="1:6" x14ac:dyDescent="0.4">
      <c r="A18" s="18"/>
      <c r="B18" s="18"/>
      <c r="C18" s="18"/>
      <c r="D18" s="18"/>
      <c r="E18" s="18"/>
      <c r="F18" s="18"/>
    </row>
    <row r="19" spans="1:6" x14ac:dyDescent="0.4">
      <c r="A19" s="18"/>
      <c r="B19" s="18"/>
      <c r="C19" s="18"/>
      <c r="D19" s="18"/>
      <c r="E19" s="18"/>
      <c r="F19" s="18"/>
    </row>
    <row r="20" spans="1:6" x14ac:dyDescent="0.4">
      <c r="A20" s="18"/>
      <c r="B20" s="18"/>
      <c r="C20" s="18"/>
      <c r="D20" s="18"/>
      <c r="E20" s="18"/>
      <c r="F20" s="18"/>
    </row>
    <row r="21" spans="1:6" x14ac:dyDescent="0.4">
      <c r="A21" s="18"/>
      <c r="B21" s="18"/>
      <c r="C21" s="18"/>
      <c r="D21" s="18"/>
      <c r="E21" s="18"/>
      <c r="F21" s="18"/>
    </row>
    <row r="22" spans="1:6" x14ac:dyDescent="0.4">
      <c r="A22" s="18"/>
      <c r="B22" s="18"/>
      <c r="C22" s="18"/>
      <c r="D22" s="18"/>
      <c r="E22" s="18"/>
      <c r="F22" s="18"/>
    </row>
    <row r="23" spans="1:6" x14ac:dyDescent="0.4">
      <c r="A23" s="18"/>
      <c r="B23" s="18"/>
      <c r="C23" s="18"/>
      <c r="D23" s="18"/>
      <c r="E23" s="18"/>
      <c r="F23" s="18"/>
    </row>
    <row r="24" spans="1:6" x14ac:dyDescent="0.4">
      <c r="A24" s="18"/>
      <c r="B24" s="18"/>
      <c r="C24" s="18"/>
      <c r="D24" s="18"/>
      <c r="E24" s="18"/>
      <c r="F24" s="18"/>
    </row>
    <row r="25" spans="1:6" x14ac:dyDescent="0.4">
      <c r="A25" s="18"/>
      <c r="B25" s="18"/>
      <c r="C25" s="18"/>
      <c r="D25" s="18"/>
      <c r="E25" s="18"/>
      <c r="F25" s="18"/>
    </row>
    <row r="26" spans="1:6" x14ac:dyDescent="0.4">
      <c r="A26" s="18"/>
      <c r="B26" s="18"/>
      <c r="C26" s="18"/>
      <c r="D26" s="18"/>
      <c r="E26" s="18"/>
      <c r="F26" s="18"/>
    </row>
    <row r="27" spans="1:6" x14ac:dyDescent="0.4">
      <c r="A27" s="18"/>
      <c r="B27" s="18"/>
      <c r="C27" s="18"/>
      <c r="D27" s="18"/>
      <c r="E27" s="18"/>
      <c r="F27" s="18"/>
    </row>
    <row r="28" spans="1:6" x14ac:dyDescent="0.4">
      <c r="A28" s="18"/>
      <c r="B28" s="18"/>
      <c r="C28" s="18"/>
      <c r="D28" s="18"/>
      <c r="E28" s="18"/>
      <c r="F28" s="18"/>
    </row>
    <row r="29" spans="1:6" x14ac:dyDescent="0.4">
      <c r="A29" s="18"/>
      <c r="B29" s="18"/>
      <c r="C29" s="18"/>
      <c r="D29" s="18"/>
      <c r="E29" s="18"/>
      <c r="F29" s="18"/>
    </row>
    <row r="30" spans="1:6" x14ac:dyDescent="0.4">
      <c r="A30" s="18"/>
      <c r="B30" s="18"/>
      <c r="C30" s="18"/>
      <c r="D30" s="18"/>
      <c r="E30" s="18"/>
      <c r="F30" s="18"/>
    </row>
    <row r="31" spans="1:6" x14ac:dyDescent="0.4">
      <c r="A31" s="18"/>
      <c r="B31" s="18"/>
      <c r="C31" s="18"/>
      <c r="D31" s="18"/>
      <c r="E31" s="18"/>
      <c r="F31" s="18"/>
    </row>
    <row r="32" spans="1:6" x14ac:dyDescent="0.4">
      <c r="A32" s="18"/>
      <c r="B32" s="18"/>
      <c r="C32" s="18"/>
      <c r="D32" s="18"/>
      <c r="E32" s="18"/>
      <c r="F32" s="18"/>
    </row>
    <row r="33" spans="1:6" x14ac:dyDescent="0.4">
      <c r="A33" s="18"/>
      <c r="B33" s="18"/>
      <c r="C33" s="18"/>
      <c r="D33" s="18"/>
      <c r="E33" s="18"/>
      <c r="F33" s="18"/>
    </row>
    <row r="34" spans="1:6" x14ac:dyDescent="0.4">
      <c r="A34" s="18"/>
      <c r="B34" s="18"/>
      <c r="C34" s="18"/>
      <c r="D34" s="18"/>
      <c r="E34" s="18"/>
      <c r="F34" s="18"/>
    </row>
    <row r="35" spans="1:6" x14ac:dyDescent="0.4">
      <c r="A35" s="18"/>
      <c r="B35" s="18"/>
      <c r="C35" s="18"/>
      <c r="D35" s="18"/>
      <c r="E35" s="18"/>
      <c r="F35" s="18"/>
    </row>
    <row r="36" spans="1:6" x14ac:dyDescent="0.4">
      <c r="A36" s="18"/>
      <c r="B36" s="18"/>
      <c r="C36" s="18"/>
      <c r="D36" s="18"/>
      <c r="E36" s="18"/>
      <c r="F36" s="18"/>
    </row>
    <row r="37" spans="1:6" x14ac:dyDescent="0.4">
      <c r="A37" s="18"/>
      <c r="B37" s="18"/>
      <c r="C37" s="18"/>
      <c r="D37" s="18"/>
      <c r="E37" s="18"/>
      <c r="F37" s="18"/>
    </row>
    <row r="38" spans="1:6" x14ac:dyDescent="0.4">
      <c r="A38" s="18"/>
      <c r="B38" s="18"/>
      <c r="C38" s="18"/>
      <c r="D38" s="18"/>
      <c r="E38" s="18"/>
      <c r="F38" s="18"/>
    </row>
    <row r="39" spans="1:6" x14ac:dyDescent="0.4">
      <c r="A39" s="18"/>
      <c r="B39" s="18"/>
      <c r="C39" s="18"/>
      <c r="D39" s="18"/>
      <c r="E39" s="18"/>
      <c r="F39" s="18"/>
    </row>
    <row r="40" spans="1:6" x14ac:dyDescent="0.4">
      <c r="A40" s="18"/>
      <c r="B40" s="18"/>
      <c r="C40" s="18"/>
      <c r="D40" s="18"/>
      <c r="E40" s="18"/>
      <c r="F40" s="18"/>
    </row>
    <row r="41" spans="1:6" x14ac:dyDescent="0.4">
      <c r="A41" s="18"/>
      <c r="B41" s="18"/>
      <c r="C41" s="18"/>
      <c r="D41" s="18"/>
      <c r="E41" s="18"/>
      <c r="F41" s="18"/>
    </row>
    <row r="42" spans="1:6" x14ac:dyDescent="0.4">
      <c r="A42" s="18"/>
      <c r="B42" s="18"/>
      <c r="C42" s="18"/>
      <c r="D42" s="18"/>
      <c r="E42" s="18"/>
      <c r="F42" s="18"/>
    </row>
    <row r="43" spans="1:6" x14ac:dyDescent="0.4">
      <c r="A43" s="18"/>
      <c r="B43" s="18"/>
      <c r="C43" s="18"/>
      <c r="D43" s="18"/>
      <c r="E43" s="18"/>
      <c r="F43" s="18"/>
    </row>
    <row r="44" spans="1:6" x14ac:dyDescent="0.4">
      <c r="A44" s="18"/>
      <c r="B44" s="18"/>
      <c r="C44" s="18"/>
      <c r="D44" s="18"/>
      <c r="E44" s="18"/>
      <c r="F44" s="18"/>
    </row>
    <row r="45" spans="1:6" x14ac:dyDescent="0.4">
      <c r="A45" s="18"/>
      <c r="B45" s="18"/>
      <c r="C45" s="18"/>
      <c r="D45" s="18"/>
      <c r="E45" s="18"/>
      <c r="F45" s="18"/>
    </row>
    <row r="46" spans="1:6" x14ac:dyDescent="0.4">
      <c r="A46" s="18"/>
      <c r="B46" s="18"/>
      <c r="C46" s="18"/>
      <c r="D46" s="18"/>
      <c r="E46" s="18"/>
      <c r="F46" s="18"/>
    </row>
    <row r="47" spans="1:6" x14ac:dyDescent="0.4">
      <c r="A47" s="18"/>
      <c r="B47" s="18"/>
      <c r="C47" s="18"/>
      <c r="D47" s="18"/>
      <c r="E47" s="18"/>
      <c r="F47" s="18"/>
    </row>
    <row r="48" spans="1:6" x14ac:dyDescent="0.4">
      <c r="A48" s="18"/>
      <c r="B48" s="18"/>
      <c r="C48" s="18"/>
      <c r="D48" s="18"/>
      <c r="E48" s="18"/>
      <c r="F48" s="18"/>
    </row>
    <row r="49" spans="1:6" x14ac:dyDescent="0.4">
      <c r="A49" s="18"/>
      <c r="B49" s="18"/>
      <c r="C49" s="18"/>
      <c r="D49" s="18"/>
      <c r="E49" s="18"/>
      <c r="F49" s="18"/>
    </row>
    <row r="50" spans="1:6" x14ac:dyDescent="0.4">
      <c r="A50" s="18"/>
      <c r="B50" s="18"/>
      <c r="C50" s="18"/>
      <c r="D50" s="18"/>
      <c r="E50" s="18"/>
      <c r="F50" s="18"/>
    </row>
    <row r="51" spans="1:6" x14ac:dyDescent="0.4">
      <c r="A51" s="18"/>
      <c r="B51" s="18"/>
      <c r="C51" s="18"/>
      <c r="D51" s="18"/>
      <c r="E51" s="18"/>
      <c r="F51" s="18"/>
    </row>
    <row r="52" spans="1:6" x14ac:dyDescent="0.4">
      <c r="A52" s="18"/>
      <c r="B52" s="18"/>
      <c r="C52" s="18"/>
      <c r="D52" s="18"/>
      <c r="E52" s="18"/>
      <c r="F52" s="18"/>
    </row>
    <row r="53" spans="1:6" x14ac:dyDescent="0.4">
      <c r="A53" s="18"/>
      <c r="B53" s="18"/>
      <c r="C53" s="18"/>
      <c r="D53" s="18"/>
      <c r="E53" s="18"/>
      <c r="F53" s="18"/>
    </row>
    <row r="54" spans="1:6" x14ac:dyDescent="0.4">
      <c r="A54" s="18"/>
      <c r="B54" s="18"/>
      <c r="C54" s="18"/>
      <c r="D54" s="18"/>
      <c r="E54" s="18"/>
      <c r="F54" s="18"/>
    </row>
    <row r="55" spans="1:6" x14ac:dyDescent="0.4">
      <c r="A55" s="18"/>
      <c r="B55" s="18"/>
      <c r="C55" s="18"/>
      <c r="D55" s="18"/>
      <c r="E55" s="18"/>
      <c r="F55" s="18"/>
    </row>
    <row r="56" spans="1:6" x14ac:dyDescent="0.4">
      <c r="A56" s="18"/>
      <c r="B56" s="18"/>
      <c r="C56" s="18"/>
      <c r="D56" s="18"/>
      <c r="E56" s="18"/>
      <c r="F56" s="18"/>
    </row>
    <row r="57" spans="1:6" x14ac:dyDescent="0.4">
      <c r="A57" s="18"/>
      <c r="B57" s="18"/>
      <c r="C57" s="18"/>
      <c r="D57" s="18"/>
      <c r="E57" s="18"/>
      <c r="F57" s="18"/>
    </row>
    <row r="58" spans="1:6" x14ac:dyDescent="0.4">
      <c r="A58" s="18"/>
      <c r="B58" s="18"/>
      <c r="C58" s="18"/>
      <c r="D58" s="18"/>
      <c r="E58" s="18"/>
      <c r="F58" s="18"/>
    </row>
    <row r="59" spans="1:6" x14ac:dyDescent="0.4">
      <c r="A59" s="18"/>
      <c r="B59" s="18"/>
      <c r="C59" s="18"/>
      <c r="D59" s="18"/>
      <c r="E59" s="18"/>
      <c r="F59" s="18"/>
    </row>
    <row r="60" spans="1:6" x14ac:dyDescent="0.4">
      <c r="A60" s="18"/>
      <c r="B60" s="18"/>
      <c r="C60" s="18"/>
      <c r="D60" s="18"/>
      <c r="E60" s="18"/>
      <c r="F60" s="18"/>
    </row>
    <row r="61" spans="1:6" x14ac:dyDescent="0.4">
      <c r="A61" s="18"/>
      <c r="B61" s="18"/>
      <c r="C61" s="18"/>
      <c r="D61" s="18"/>
      <c r="E61" s="18"/>
      <c r="F61" s="18"/>
    </row>
    <row r="62" spans="1:6" x14ac:dyDescent="0.4">
      <c r="A62" s="18"/>
      <c r="B62" s="18"/>
      <c r="C62" s="18"/>
      <c r="D62" s="18"/>
      <c r="E62" s="18"/>
      <c r="F62" s="18"/>
    </row>
    <row r="63" spans="1:6" x14ac:dyDescent="0.4">
      <c r="A63" s="18"/>
      <c r="B63" s="18"/>
      <c r="C63" s="18"/>
      <c r="D63" s="18"/>
      <c r="E63" s="18"/>
      <c r="F63" s="18"/>
    </row>
    <row r="64" spans="1:6" x14ac:dyDescent="0.4">
      <c r="A64" s="18"/>
      <c r="B64" s="18"/>
      <c r="C64" s="18"/>
      <c r="D64" s="18"/>
      <c r="E64" s="18"/>
      <c r="F64" s="18"/>
    </row>
    <row r="65" spans="1:6" x14ac:dyDescent="0.4">
      <c r="A65" s="18"/>
      <c r="B65" s="18"/>
      <c r="C65" s="18"/>
      <c r="D65" s="18"/>
      <c r="E65" s="18"/>
      <c r="F65" s="18"/>
    </row>
    <row r="66" spans="1:6" x14ac:dyDescent="0.4">
      <c r="A66" s="18"/>
      <c r="B66" s="18"/>
      <c r="C66" s="18"/>
      <c r="D66" s="18"/>
      <c r="E66" s="18"/>
      <c r="F66" s="18"/>
    </row>
    <row r="67" spans="1:6" x14ac:dyDescent="0.4">
      <c r="A67" s="18"/>
      <c r="B67" s="18"/>
      <c r="C67" s="18"/>
      <c r="D67" s="18"/>
      <c r="E67" s="18"/>
      <c r="F67" s="18"/>
    </row>
    <row r="68" spans="1:6" x14ac:dyDescent="0.4">
      <c r="A68" s="18"/>
      <c r="B68" s="18"/>
      <c r="C68" s="18"/>
      <c r="D68" s="18"/>
      <c r="E68" s="18"/>
      <c r="F68" s="18"/>
    </row>
    <row r="69" spans="1:6" x14ac:dyDescent="0.4">
      <c r="A69" s="18"/>
      <c r="B69" s="18"/>
      <c r="C69" s="18"/>
      <c r="D69" s="18"/>
      <c r="E69" s="18"/>
      <c r="F69" s="18"/>
    </row>
    <row r="70" spans="1:6" x14ac:dyDescent="0.4">
      <c r="A70" s="18"/>
      <c r="B70" s="18"/>
      <c r="C70" s="18"/>
      <c r="D70" s="18"/>
      <c r="E70" s="18"/>
      <c r="F70" s="18"/>
    </row>
    <row r="71" spans="1:6" x14ac:dyDescent="0.4">
      <c r="A71" s="18"/>
      <c r="B71" s="18"/>
      <c r="C71" s="18"/>
      <c r="D71" s="18"/>
      <c r="E71" s="18"/>
      <c r="F71" s="18"/>
    </row>
    <row r="72" spans="1:6" x14ac:dyDescent="0.4">
      <c r="A72" s="18"/>
      <c r="B72" s="18"/>
      <c r="C72" s="18"/>
      <c r="D72" s="18"/>
      <c r="E72" s="18"/>
      <c r="F72" s="18"/>
    </row>
    <row r="73" spans="1:6" x14ac:dyDescent="0.4">
      <c r="A73" s="18"/>
      <c r="B73" s="18"/>
      <c r="C73" s="18"/>
      <c r="D73" s="18"/>
      <c r="E73" s="18"/>
      <c r="F73" s="18"/>
    </row>
    <row r="74" spans="1:6" x14ac:dyDescent="0.4">
      <c r="A74" s="18"/>
      <c r="B74" s="18"/>
      <c r="C74" s="18"/>
      <c r="D74" s="18"/>
      <c r="E74" s="18"/>
      <c r="F74" s="18"/>
    </row>
    <row r="75" spans="1:6" x14ac:dyDescent="0.4">
      <c r="A75" s="18"/>
      <c r="B75" s="18"/>
      <c r="C75" s="18"/>
      <c r="D75" s="18"/>
      <c r="E75" s="18"/>
      <c r="F75" s="18"/>
    </row>
    <row r="76" spans="1:6" x14ac:dyDescent="0.4">
      <c r="A76" s="18"/>
      <c r="B76" s="18"/>
      <c r="C76" s="18"/>
      <c r="D76" s="18"/>
      <c r="E76" s="18"/>
      <c r="F76" s="18"/>
    </row>
    <row r="77" spans="1:6" x14ac:dyDescent="0.4">
      <c r="A77" s="18"/>
      <c r="B77" s="18"/>
      <c r="C77" s="18"/>
      <c r="D77" s="18"/>
      <c r="E77" s="18"/>
      <c r="F77" s="18"/>
    </row>
    <row r="78" spans="1:6" x14ac:dyDescent="0.4">
      <c r="A78" s="18"/>
      <c r="B78" s="18"/>
      <c r="C78" s="18"/>
      <c r="D78" s="18"/>
      <c r="E78" s="18"/>
      <c r="F78" s="18"/>
    </row>
    <row r="79" spans="1:6" x14ac:dyDescent="0.4">
      <c r="A79" s="18"/>
      <c r="B79" s="18"/>
      <c r="C79" s="18"/>
      <c r="D79" s="18"/>
      <c r="E79" s="18"/>
      <c r="F79" s="18"/>
    </row>
    <row r="80" spans="1:6" x14ac:dyDescent="0.4">
      <c r="A80" s="18"/>
      <c r="B80" s="18"/>
      <c r="C80" s="18"/>
      <c r="D80" s="18"/>
      <c r="E80" s="18"/>
      <c r="F80" s="18"/>
    </row>
    <row r="81" spans="1:6" x14ac:dyDescent="0.4">
      <c r="A81" s="18"/>
      <c r="B81" s="18"/>
      <c r="C81" s="18"/>
      <c r="D81" s="18"/>
      <c r="E81" s="18"/>
      <c r="F81" s="18"/>
    </row>
    <row r="82" spans="1:6" x14ac:dyDescent="0.4">
      <c r="A82" s="18"/>
      <c r="B82" s="18"/>
      <c r="C82" s="18"/>
      <c r="D82" s="18"/>
      <c r="E82" s="18"/>
      <c r="F82" s="18"/>
    </row>
    <row r="83" spans="1:6" x14ac:dyDescent="0.4">
      <c r="A83" s="18"/>
      <c r="B83" s="18"/>
      <c r="C83" s="18"/>
      <c r="D83" s="18"/>
      <c r="E83" s="18"/>
      <c r="F83" s="18"/>
    </row>
    <row r="84" spans="1:6" x14ac:dyDescent="0.4">
      <c r="A84" s="18"/>
      <c r="B84" s="18"/>
      <c r="C84" s="18"/>
      <c r="D84" s="18"/>
      <c r="E84" s="18"/>
      <c r="F84" s="18"/>
    </row>
    <row r="85" spans="1:6" x14ac:dyDescent="0.4">
      <c r="A85" s="18"/>
      <c r="B85" s="18"/>
      <c r="C85" s="18"/>
      <c r="D85" s="18"/>
      <c r="E85" s="18"/>
      <c r="F85" s="18"/>
    </row>
    <row r="86" spans="1:6" x14ac:dyDescent="0.4">
      <c r="A86" s="18"/>
      <c r="B86" s="18"/>
      <c r="C86" s="18"/>
      <c r="D86" s="18"/>
      <c r="E86" s="18"/>
      <c r="F86" s="18"/>
    </row>
    <row r="87" spans="1:6" x14ac:dyDescent="0.4">
      <c r="A87" s="18"/>
      <c r="B87" s="18"/>
      <c r="C87" s="18"/>
      <c r="D87" s="18"/>
      <c r="E87" s="18"/>
      <c r="F87" s="18"/>
    </row>
    <row r="88" spans="1:6" x14ac:dyDescent="0.4">
      <c r="A88" s="18"/>
      <c r="B88" s="18"/>
      <c r="C88" s="18"/>
      <c r="D88" s="18"/>
      <c r="E88" s="18"/>
      <c r="F88" s="18"/>
    </row>
    <row r="89" spans="1:6" x14ac:dyDescent="0.4">
      <c r="A89" s="18"/>
      <c r="B89" s="18"/>
      <c r="C89" s="18"/>
      <c r="D89" s="18"/>
      <c r="E89" s="18"/>
      <c r="F89" s="18"/>
    </row>
    <row r="90" spans="1:6" x14ac:dyDescent="0.4">
      <c r="A90" s="18"/>
      <c r="B90" s="18"/>
      <c r="C90" s="18"/>
      <c r="D90" s="18"/>
      <c r="E90" s="18"/>
      <c r="F90" s="18"/>
    </row>
    <row r="91" spans="1:6" x14ac:dyDescent="0.4">
      <c r="A91" s="18"/>
      <c r="B91" s="18"/>
      <c r="C91" s="18"/>
      <c r="D91" s="18"/>
      <c r="E91" s="18"/>
      <c r="F91" s="18"/>
    </row>
    <row r="92" spans="1:6" x14ac:dyDescent="0.4">
      <c r="A92" s="18"/>
      <c r="B92" s="18"/>
      <c r="C92" s="18"/>
      <c r="D92" s="18"/>
      <c r="E92" s="18"/>
      <c r="F92" s="18"/>
    </row>
    <row r="93" spans="1:6" x14ac:dyDescent="0.4">
      <c r="A93" s="18"/>
      <c r="B93" s="18"/>
      <c r="C93" s="18"/>
      <c r="D93" s="18"/>
      <c r="E93" s="18"/>
      <c r="F93" s="18"/>
    </row>
    <row r="94" spans="1:6" x14ac:dyDescent="0.4">
      <c r="A94" s="18"/>
      <c r="B94" s="18"/>
      <c r="C94" s="18"/>
      <c r="D94" s="18"/>
      <c r="E94" s="18"/>
      <c r="F94" s="18"/>
    </row>
    <row r="95" spans="1:6" x14ac:dyDescent="0.4">
      <c r="A95" s="18"/>
      <c r="B95" s="18"/>
      <c r="C95" s="18"/>
      <c r="D95" s="18"/>
      <c r="E95" s="18"/>
      <c r="F95" s="18"/>
    </row>
    <row r="96" spans="1:6" x14ac:dyDescent="0.4">
      <c r="A96" s="18"/>
      <c r="B96" s="18"/>
      <c r="C96" s="18"/>
      <c r="D96" s="18"/>
      <c r="E96" s="18"/>
      <c r="F96" s="18"/>
    </row>
    <row r="97" spans="1:6" x14ac:dyDescent="0.4">
      <c r="A97" s="18"/>
      <c r="B97" s="18"/>
      <c r="C97" s="18"/>
      <c r="D97" s="18"/>
      <c r="E97" s="18"/>
      <c r="F97" s="18"/>
    </row>
    <row r="98" spans="1:6" x14ac:dyDescent="0.4">
      <c r="A98" s="18"/>
      <c r="B98" s="18"/>
      <c r="C98" s="18"/>
      <c r="D98" s="18"/>
      <c r="E98" s="18"/>
      <c r="F98" s="18"/>
    </row>
    <row r="99" spans="1:6" x14ac:dyDescent="0.4">
      <c r="A99" s="18"/>
      <c r="B99" s="18"/>
      <c r="C99" s="18"/>
      <c r="D99" s="18"/>
      <c r="E99" s="18"/>
      <c r="F99" s="18"/>
    </row>
    <row r="100" spans="1:6" x14ac:dyDescent="0.4">
      <c r="A100" s="18"/>
      <c r="B100" s="18"/>
      <c r="C100" s="18"/>
      <c r="D100" s="18"/>
      <c r="E100" s="18"/>
      <c r="F100" s="18"/>
    </row>
    <row r="101" spans="1:6" x14ac:dyDescent="0.4">
      <c r="A101" s="18"/>
      <c r="B101" s="18"/>
      <c r="C101" s="18"/>
      <c r="D101" s="18"/>
      <c r="E101" s="18"/>
      <c r="F101" s="18"/>
    </row>
    <row r="102" spans="1:6" x14ac:dyDescent="0.4">
      <c r="A102" s="18"/>
      <c r="B102" s="18"/>
      <c r="C102" s="18"/>
      <c r="D102" s="18"/>
      <c r="E102" s="18"/>
      <c r="F102" s="18"/>
    </row>
    <row r="103" spans="1:6" x14ac:dyDescent="0.4">
      <c r="A103" s="18"/>
      <c r="B103" s="18"/>
      <c r="C103" s="18"/>
      <c r="D103" s="18"/>
      <c r="E103" s="18"/>
      <c r="F103" s="18"/>
    </row>
    <row r="104" spans="1:6" x14ac:dyDescent="0.4">
      <c r="A104" s="18"/>
      <c r="B104" s="18"/>
      <c r="C104" s="18"/>
      <c r="D104" s="18"/>
      <c r="E104" s="18"/>
      <c r="F104" s="18"/>
    </row>
    <row r="105" spans="1:6" x14ac:dyDescent="0.4">
      <c r="A105" s="18"/>
      <c r="B105" s="18"/>
      <c r="C105" s="18"/>
      <c r="D105" s="18"/>
      <c r="E105" s="18"/>
      <c r="F105" s="18"/>
    </row>
    <row r="106" spans="1:6" x14ac:dyDescent="0.4">
      <c r="A106" s="18"/>
      <c r="B106" s="18"/>
      <c r="C106" s="18"/>
      <c r="D106" s="18"/>
      <c r="E106" s="18"/>
      <c r="F106" s="18"/>
    </row>
    <row r="107" spans="1:6" x14ac:dyDescent="0.4">
      <c r="A107" s="18"/>
      <c r="B107" s="18"/>
      <c r="C107" s="18"/>
      <c r="D107" s="18"/>
      <c r="E107" s="18"/>
      <c r="F107" s="18"/>
    </row>
    <row r="108" spans="1:6" x14ac:dyDescent="0.4">
      <c r="A108" s="18"/>
      <c r="B108" s="18"/>
      <c r="C108" s="18"/>
      <c r="D108" s="18"/>
      <c r="E108" s="18"/>
      <c r="F108" s="18"/>
    </row>
    <row r="109" spans="1:6" x14ac:dyDescent="0.4">
      <c r="A109" s="18"/>
      <c r="B109" s="18"/>
      <c r="C109" s="18"/>
      <c r="D109" s="18"/>
      <c r="E109" s="18"/>
      <c r="F109" s="18"/>
    </row>
    <row r="110" spans="1:6" x14ac:dyDescent="0.4">
      <c r="A110" s="18"/>
      <c r="B110" s="18"/>
      <c r="C110" s="18"/>
      <c r="D110" s="18"/>
      <c r="E110" s="18"/>
      <c r="F110" s="18"/>
    </row>
    <row r="111" spans="1:6" x14ac:dyDescent="0.4">
      <c r="A111" s="18"/>
      <c r="B111" s="18"/>
      <c r="C111" s="18"/>
      <c r="D111" s="18"/>
      <c r="E111" s="18"/>
      <c r="F111" s="18"/>
    </row>
    <row r="112" spans="1:6" x14ac:dyDescent="0.4">
      <c r="A112" s="18"/>
      <c r="B112" s="18"/>
      <c r="C112" s="18"/>
      <c r="D112" s="18"/>
      <c r="E112" s="18"/>
      <c r="F112" s="18"/>
    </row>
    <row r="113" spans="1:6" x14ac:dyDescent="0.4">
      <c r="A113" s="18"/>
      <c r="B113" s="18"/>
      <c r="C113" s="18"/>
      <c r="D113" s="18"/>
      <c r="E113" s="18"/>
      <c r="F113" s="18"/>
    </row>
    <row r="114" spans="1:6" x14ac:dyDescent="0.4">
      <c r="A114" s="18"/>
      <c r="B114" s="18"/>
      <c r="C114" s="18"/>
      <c r="D114" s="18"/>
      <c r="E114" s="18"/>
      <c r="F114" s="18"/>
    </row>
    <row r="115" spans="1:6" x14ac:dyDescent="0.4">
      <c r="A115" s="18"/>
      <c r="B115" s="18"/>
      <c r="C115" s="18"/>
      <c r="D115" s="18"/>
      <c r="E115" s="18"/>
      <c r="F115" s="18"/>
    </row>
    <row r="116" spans="1:6" x14ac:dyDescent="0.4">
      <c r="A116" s="18"/>
      <c r="B116" s="18"/>
      <c r="C116" s="18"/>
      <c r="D116" s="18"/>
      <c r="E116" s="18"/>
      <c r="F116" s="18"/>
    </row>
    <row r="117" spans="1:6" x14ac:dyDescent="0.4">
      <c r="A117" s="18"/>
      <c r="B117" s="18"/>
      <c r="C117" s="18"/>
      <c r="D117" s="18"/>
      <c r="E117" s="18"/>
      <c r="F117" s="18"/>
    </row>
    <row r="118" spans="1:6" x14ac:dyDescent="0.4">
      <c r="A118" s="18"/>
      <c r="B118" s="18"/>
      <c r="C118" s="18"/>
      <c r="D118" s="18"/>
      <c r="E118" s="18"/>
      <c r="F118" s="18"/>
    </row>
    <row r="119" spans="1:6" x14ac:dyDescent="0.4">
      <c r="A119" s="18"/>
      <c r="B119" s="18"/>
      <c r="C119" s="18"/>
      <c r="D119" s="18"/>
      <c r="E119" s="18"/>
      <c r="F119" s="18"/>
    </row>
    <row r="120" spans="1:6" x14ac:dyDescent="0.4">
      <c r="A120" s="18"/>
      <c r="B120" s="18"/>
      <c r="C120" s="18"/>
      <c r="D120" s="18"/>
      <c r="E120" s="18"/>
      <c r="F120" s="18"/>
    </row>
    <row r="121" spans="1:6" x14ac:dyDescent="0.4">
      <c r="A121" s="18"/>
      <c r="B121" s="18"/>
      <c r="C121" s="18"/>
      <c r="D121" s="18"/>
      <c r="E121" s="18"/>
      <c r="F121" s="18"/>
    </row>
    <row r="122" spans="1:6" x14ac:dyDescent="0.4">
      <c r="A122" s="18"/>
      <c r="B122" s="18"/>
      <c r="C122" s="18"/>
      <c r="D122" s="18"/>
      <c r="E122" s="18"/>
      <c r="F122" s="18"/>
    </row>
    <row r="123" spans="1:6" x14ac:dyDescent="0.4">
      <c r="A123" s="18"/>
      <c r="B123" s="18"/>
      <c r="C123" s="18"/>
      <c r="D123" s="18"/>
      <c r="E123" s="18"/>
      <c r="F123" s="18"/>
    </row>
    <row r="124" spans="1:6" x14ac:dyDescent="0.4">
      <c r="A124" s="18"/>
      <c r="B124" s="18"/>
      <c r="C124" s="18"/>
      <c r="D124" s="18"/>
      <c r="E124" s="18"/>
      <c r="F124" s="18"/>
    </row>
    <row r="125" spans="1:6" x14ac:dyDescent="0.4">
      <c r="A125" s="18"/>
      <c r="B125" s="18"/>
      <c r="C125" s="18"/>
      <c r="D125" s="18"/>
      <c r="E125" s="18"/>
      <c r="F125" s="18"/>
    </row>
    <row r="126" spans="1:6" x14ac:dyDescent="0.4">
      <c r="A126" s="18"/>
      <c r="B126" s="18"/>
      <c r="C126" s="18"/>
      <c r="D126" s="18"/>
      <c r="E126" s="18"/>
      <c r="F12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180A6-0587-4A6F-9A57-F60E98300749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677</v>
      </c>
      <c r="B1" s="3" t="s">
        <v>736</v>
      </c>
      <c r="C1" s="3" t="s">
        <v>737</v>
      </c>
      <c r="D1" s="3" t="s">
        <v>738</v>
      </c>
      <c r="E1" s="3" t="s">
        <v>87</v>
      </c>
      <c r="F1" s="3" t="s">
        <v>293</v>
      </c>
      <c r="G1" s="3" t="s">
        <v>368</v>
      </c>
    </row>
    <row r="2" spans="1:7" x14ac:dyDescent="0.4">
      <c r="A2">
        <v>808</v>
      </c>
      <c r="B2" t="s">
        <v>739</v>
      </c>
      <c r="C2" t="s">
        <v>740</v>
      </c>
      <c r="D2" t="s">
        <v>741</v>
      </c>
      <c r="E2" t="s">
        <v>742</v>
      </c>
      <c r="F2" t="s">
        <v>743</v>
      </c>
      <c r="G2" t="s">
        <v>744</v>
      </c>
    </row>
    <row r="3" spans="1:7" x14ac:dyDescent="0.4">
      <c r="A3">
        <v>807</v>
      </c>
      <c r="B3" t="s">
        <v>739</v>
      </c>
      <c r="C3" t="s">
        <v>745</v>
      </c>
      <c r="D3" t="s">
        <v>746</v>
      </c>
      <c r="E3" t="s">
        <v>747</v>
      </c>
      <c r="F3" t="s">
        <v>748</v>
      </c>
      <c r="G3" t="s">
        <v>749</v>
      </c>
    </row>
    <row r="4" spans="1:7" x14ac:dyDescent="0.4">
      <c r="A4">
        <v>806</v>
      </c>
      <c r="B4" t="s">
        <v>739</v>
      </c>
      <c r="C4" t="s">
        <v>740</v>
      </c>
      <c r="D4" t="s">
        <v>746</v>
      </c>
      <c r="E4" t="s">
        <v>750</v>
      </c>
      <c r="F4" t="s">
        <v>751</v>
      </c>
      <c r="G4" t="s">
        <v>752</v>
      </c>
    </row>
    <row r="5" spans="1:7" x14ac:dyDescent="0.4">
      <c r="A5">
        <v>805</v>
      </c>
      <c r="B5" t="s">
        <v>739</v>
      </c>
      <c r="C5" t="s">
        <v>740</v>
      </c>
      <c r="D5" t="s">
        <v>741</v>
      </c>
      <c r="E5" t="s">
        <v>753</v>
      </c>
      <c r="F5" t="s">
        <v>754</v>
      </c>
      <c r="G5" t="s">
        <v>755</v>
      </c>
    </row>
    <row r="6" spans="1:7" x14ac:dyDescent="0.4">
      <c r="A6">
        <v>804</v>
      </c>
      <c r="B6" t="s">
        <v>739</v>
      </c>
      <c r="C6" t="s">
        <v>740</v>
      </c>
      <c r="D6" t="s">
        <v>741</v>
      </c>
      <c r="E6" t="s">
        <v>756</v>
      </c>
      <c r="F6" t="s">
        <v>757</v>
      </c>
      <c r="G6" t="s">
        <v>758</v>
      </c>
    </row>
    <row r="7" spans="1:7" x14ac:dyDescent="0.4">
      <c r="A7">
        <v>803</v>
      </c>
      <c r="B7" t="s">
        <v>739</v>
      </c>
      <c r="C7" t="s">
        <v>745</v>
      </c>
      <c r="D7" t="s">
        <v>741</v>
      </c>
      <c r="E7" t="s">
        <v>759</v>
      </c>
      <c r="F7" t="s">
        <v>757</v>
      </c>
      <c r="G7" t="s">
        <v>760</v>
      </c>
    </row>
    <row r="8" spans="1:7" x14ac:dyDescent="0.4">
      <c r="A8">
        <v>802</v>
      </c>
      <c r="B8" t="s">
        <v>739</v>
      </c>
      <c r="C8" t="s">
        <v>740</v>
      </c>
      <c r="D8" t="s">
        <v>741</v>
      </c>
      <c r="E8" t="s">
        <v>761</v>
      </c>
      <c r="F8" t="s">
        <v>762</v>
      </c>
      <c r="G8" t="s">
        <v>763</v>
      </c>
    </row>
    <row r="9" spans="1:7" x14ac:dyDescent="0.4">
      <c r="A9">
        <v>801</v>
      </c>
      <c r="B9" t="s">
        <v>739</v>
      </c>
      <c r="C9" t="s">
        <v>740</v>
      </c>
      <c r="D9" t="s">
        <v>741</v>
      </c>
      <c r="E9" t="s">
        <v>764</v>
      </c>
      <c r="F9" t="s">
        <v>765</v>
      </c>
      <c r="G9" t="s">
        <v>766</v>
      </c>
    </row>
    <row r="10" spans="1:7" x14ac:dyDescent="0.4">
      <c r="A10">
        <v>800</v>
      </c>
      <c r="B10" t="s">
        <v>739</v>
      </c>
      <c r="C10" t="s">
        <v>740</v>
      </c>
      <c r="D10" t="s">
        <v>746</v>
      </c>
      <c r="E10" t="s">
        <v>767</v>
      </c>
      <c r="F10" t="s">
        <v>768</v>
      </c>
      <c r="G10" t="s">
        <v>769</v>
      </c>
    </row>
    <row r="11" spans="1:7" x14ac:dyDescent="0.4">
      <c r="A11">
        <v>799</v>
      </c>
      <c r="B11" t="s">
        <v>739</v>
      </c>
      <c r="C11" t="s">
        <v>745</v>
      </c>
      <c r="D11" t="s">
        <v>746</v>
      </c>
      <c r="E11" t="s">
        <v>770</v>
      </c>
      <c r="F11" t="s">
        <v>771</v>
      </c>
      <c r="G11" t="s">
        <v>772</v>
      </c>
    </row>
    <row r="12" spans="1:7" x14ac:dyDescent="0.4">
      <c r="A12">
        <v>798</v>
      </c>
      <c r="B12" t="s">
        <v>739</v>
      </c>
      <c r="C12" t="s">
        <v>740</v>
      </c>
      <c r="D12" t="s">
        <v>773</v>
      </c>
      <c r="E12" t="s">
        <v>774</v>
      </c>
      <c r="F12" t="s">
        <v>775</v>
      </c>
      <c r="G12" t="s">
        <v>776</v>
      </c>
    </row>
    <row r="13" spans="1:7" x14ac:dyDescent="0.4">
      <c r="A13">
        <v>797</v>
      </c>
      <c r="B13" t="s">
        <v>739</v>
      </c>
      <c r="C13" t="s">
        <v>740</v>
      </c>
      <c r="D13" t="s">
        <v>741</v>
      </c>
      <c r="E13" t="s">
        <v>777</v>
      </c>
      <c r="F13" t="s">
        <v>778</v>
      </c>
      <c r="G13" t="s">
        <v>779</v>
      </c>
    </row>
    <row r="14" spans="1:7" x14ac:dyDescent="0.4">
      <c r="A14">
        <v>796</v>
      </c>
      <c r="B14" t="s">
        <v>739</v>
      </c>
      <c r="C14" t="s">
        <v>745</v>
      </c>
      <c r="D14" t="s">
        <v>741</v>
      </c>
      <c r="E14" t="s">
        <v>780</v>
      </c>
      <c r="F14" t="s">
        <v>762</v>
      </c>
      <c r="G14" t="s">
        <v>781</v>
      </c>
    </row>
    <row r="15" spans="1:7" x14ac:dyDescent="0.4">
      <c r="A15">
        <v>795</v>
      </c>
      <c r="B15" t="s">
        <v>739</v>
      </c>
      <c r="C15" t="s">
        <v>740</v>
      </c>
      <c r="D15" t="s">
        <v>741</v>
      </c>
      <c r="E15" t="s">
        <v>782</v>
      </c>
      <c r="F15" t="s">
        <v>783</v>
      </c>
      <c r="G15" t="s">
        <v>784</v>
      </c>
    </row>
    <row r="16" spans="1:7" x14ac:dyDescent="0.4">
      <c r="A16">
        <v>794</v>
      </c>
      <c r="B16" t="s">
        <v>739</v>
      </c>
      <c r="C16" t="s">
        <v>745</v>
      </c>
      <c r="D16" t="s">
        <v>746</v>
      </c>
      <c r="E16" t="s">
        <v>785</v>
      </c>
      <c r="F16" t="s">
        <v>786</v>
      </c>
      <c r="G16" t="s">
        <v>787</v>
      </c>
    </row>
    <row r="17" spans="1:7" x14ac:dyDescent="0.4">
      <c r="A17">
        <v>793</v>
      </c>
      <c r="B17" t="s">
        <v>739</v>
      </c>
      <c r="C17" t="s">
        <v>740</v>
      </c>
      <c r="D17" t="s">
        <v>746</v>
      </c>
      <c r="E17" t="s">
        <v>788</v>
      </c>
      <c r="F17" t="s">
        <v>789</v>
      </c>
      <c r="G17" t="s">
        <v>790</v>
      </c>
    </row>
    <row r="18" spans="1:7" x14ac:dyDescent="0.4">
      <c r="A18">
        <v>792</v>
      </c>
      <c r="B18" t="s">
        <v>739</v>
      </c>
      <c r="C18" t="s">
        <v>745</v>
      </c>
      <c r="D18" t="s">
        <v>746</v>
      </c>
      <c r="E18" t="s">
        <v>791</v>
      </c>
      <c r="F18" t="s">
        <v>792</v>
      </c>
      <c r="G18" t="s">
        <v>793</v>
      </c>
    </row>
    <row r="19" spans="1:7" x14ac:dyDescent="0.4">
      <c r="A19">
        <v>791</v>
      </c>
      <c r="B19" t="s">
        <v>739</v>
      </c>
      <c r="C19" t="s">
        <v>740</v>
      </c>
      <c r="D19" t="s">
        <v>746</v>
      </c>
      <c r="E19" t="s">
        <v>794</v>
      </c>
      <c r="F19" t="s">
        <v>795</v>
      </c>
      <c r="G19" t="s">
        <v>796</v>
      </c>
    </row>
    <row r="20" spans="1:7" x14ac:dyDescent="0.4">
      <c r="A20">
        <v>790</v>
      </c>
      <c r="B20" t="s">
        <v>739</v>
      </c>
      <c r="C20" t="s">
        <v>797</v>
      </c>
      <c r="D20" t="s">
        <v>773</v>
      </c>
      <c r="E20" t="s">
        <v>798</v>
      </c>
      <c r="F20" t="s">
        <v>799</v>
      </c>
      <c r="G20" t="s">
        <v>800</v>
      </c>
    </row>
    <row r="21" spans="1:7" x14ac:dyDescent="0.4">
      <c r="A21">
        <v>789</v>
      </c>
      <c r="B21" t="s">
        <v>739</v>
      </c>
      <c r="C21" t="s">
        <v>740</v>
      </c>
      <c r="D21" t="s">
        <v>741</v>
      </c>
      <c r="E21" t="s">
        <v>801</v>
      </c>
      <c r="F21" t="s">
        <v>802</v>
      </c>
      <c r="G21" t="s">
        <v>803</v>
      </c>
    </row>
    <row r="22" spans="1:7" x14ac:dyDescent="0.4">
      <c r="A22">
        <v>788</v>
      </c>
      <c r="B22" t="s">
        <v>739</v>
      </c>
      <c r="C22" t="s">
        <v>745</v>
      </c>
      <c r="D22" t="s">
        <v>741</v>
      </c>
      <c r="E22" t="s">
        <v>804</v>
      </c>
      <c r="F22" t="s">
        <v>802</v>
      </c>
      <c r="G22" t="s">
        <v>805</v>
      </c>
    </row>
    <row r="23" spans="1:7" x14ac:dyDescent="0.4">
      <c r="A23">
        <v>787</v>
      </c>
      <c r="B23" t="s">
        <v>739</v>
      </c>
      <c r="C23" t="s">
        <v>797</v>
      </c>
      <c r="D23" t="s">
        <v>746</v>
      </c>
      <c r="E23" t="s">
        <v>806</v>
      </c>
      <c r="F23" t="s">
        <v>807</v>
      </c>
      <c r="G23" t="s">
        <v>808</v>
      </c>
    </row>
    <row r="24" spans="1:7" x14ac:dyDescent="0.4">
      <c r="A24">
        <v>786</v>
      </c>
      <c r="B24" t="s">
        <v>739</v>
      </c>
      <c r="C24" t="s">
        <v>797</v>
      </c>
      <c r="D24" t="s">
        <v>746</v>
      </c>
      <c r="E24" t="s">
        <v>809</v>
      </c>
      <c r="F24" t="s">
        <v>810</v>
      </c>
      <c r="G24" t="s">
        <v>811</v>
      </c>
    </row>
    <row r="25" spans="1:7" x14ac:dyDescent="0.4">
      <c r="A25">
        <v>785</v>
      </c>
      <c r="B25" t="s">
        <v>739</v>
      </c>
      <c r="C25" t="s">
        <v>745</v>
      </c>
      <c r="D25" t="s">
        <v>746</v>
      </c>
      <c r="E25" t="s">
        <v>812</v>
      </c>
      <c r="F25" t="s">
        <v>813</v>
      </c>
      <c r="G25" t="s">
        <v>814</v>
      </c>
    </row>
    <row r="26" spans="1:7" x14ac:dyDescent="0.4">
      <c r="A26">
        <v>784</v>
      </c>
      <c r="B26" t="s">
        <v>739</v>
      </c>
      <c r="C26" t="s">
        <v>797</v>
      </c>
      <c r="D26" t="s">
        <v>746</v>
      </c>
      <c r="E26" t="s">
        <v>815</v>
      </c>
      <c r="F26" t="s">
        <v>816</v>
      </c>
      <c r="G26" t="s">
        <v>817</v>
      </c>
    </row>
    <row r="27" spans="1:7" x14ac:dyDescent="0.4">
      <c r="A27">
        <v>783</v>
      </c>
      <c r="B27" t="s">
        <v>739</v>
      </c>
      <c r="C27" t="s">
        <v>740</v>
      </c>
      <c r="D27" t="s">
        <v>741</v>
      </c>
      <c r="E27" t="s">
        <v>818</v>
      </c>
      <c r="F27" t="s">
        <v>819</v>
      </c>
      <c r="G27" t="s">
        <v>820</v>
      </c>
    </row>
    <row r="28" spans="1:7" x14ac:dyDescent="0.4">
      <c r="A28">
        <v>782</v>
      </c>
      <c r="B28" t="s">
        <v>739</v>
      </c>
      <c r="C28" t="s">
        <v>745</v>
      </c>
      <c r="D28" t="s">
        <v>741</v>
      </c>
      <c r="E28" t="s">
        <v>821</v>
      </c>
      <c r="F28" t="s">
        <v>819</v>
      </c>
      <c r="G28" t="s">
        <v>822</v>
      </c>
    </row>
    <row r="29" spans="1:7" x14ac:dyDescent="0.4">
      <c r="A29">
        <v>781</v>
      </c>
      <c r="B29" t="s">
        <v>739</v>
      </c>
      <c r="C29" t="s">
        <v>745</v>
      </c>
      <c r="D29" t="s">
        <v>746</v>
      </c>
      <c r="E29" t="s">
        <v>823</v>
      </c>
      <c r="F29" t="s">
        <v>824</v>
      </c>
      <c r="G29" t="s">
        <v>825</v>
      </c>
    </row>
    <row r="30" spans="1:7" x14ac:dyDescent="0.4">
      <c r="A30">
        <v>780</v>
      </c>
      <c r="B30" t="s">
        <v>739</v>
      </c>
      <c r="C30" t="s">
        <v>797</v>
      </c>
      <c r="D30" t="s">
        <v>746</v>
      </c>
      <c r="E30" t="s">
        <v>826</v>
      </c>
      <c r="F30" t="s">
        <v>827</v>
      </c>
      <c r="G30" t="s">
        <v>828</v>
      </c>
    </row>
    <row r="31" spans="1:7" x14ac:dyDescent="0.4">
      <c r="A31">
        <v>779</v>
      </c>
      <c r="B31" t="s">
        <v>739</v>
      </c>
      <c r="C31" t="s">
        <v>797</v>
      </c>
      <c r="D31" t="s">
        <v>746</v>
      </c>
      <c r="E31" t="s">
        <v>829</v>
      </c>
      <c r="F31" t="s">
        <v>830</v>
      </c>
      <c r="G31" t="s">
        <v>831</v>
      </c>
    </row>
    <row r="32" spans="1:7" x14ac:dyDescent="0.4">
      <c r="A32">
        <v>778</v>
      </c>
      <c r="B32" t="s">
        <v>739</v>
      </c>
      <c r="C32" t="s">
        <v>797</v>
      </c>
      <c r="D32" t="s">
        <v>746</v>
      </c>
      <c r="E32" t="s">
        <v>832</v>
      </c>
      <c r="F32" t="s">
        <v>833</v>
      </c>
      <c r="G32" t="s">
        <v>834</v>
      </c>
    </row>
    <row r="33" spans="1:7" x14ac:dyDescent="0.4">
      <c r="A33">
        <v>777</v>
      </c>
      <c r="B33" t="s">
        <v>739</v>
      </c>
      <c r="C33" t="s">
        <v>740</v>
      </c>
      <c r="D33" t="s">
        <v>741</v>
      </c>
      <c r="E33" t="s">
        <v>835</v>
      </c>
      <c r="F33" t="s">
        <v>836</v>
      </c>
      <c r="G33" t="s">
        <v>837</v>
      </c>
    </row>
    <row r="34" spans="1:7" x14ac:dyDescent="0.4">
      <c r="A34">
        <v>776</v>
      </c>
      <c r="B34" t="s">
        <v>739</v>
      </c>
      <c r="C34" t="s">
        <v>745</v>
      </c>
      <c r="D34" t="s">
        <v>746</v>
      </c>
      <c r="E34" t="s">
        <v>838</v>
      </c>
      <c r="F34" t="s">
        <v>839</v>
      </c>
      <c r="G34" t="s">
        <v>840</v>
      </c>
    </row>
    <row r="35" spans="1:7" x14ac:dyDescent="0.4">
      <c r="A35">
        <v>775</v>
      </c>
      <c r="B35" t="s">
        <v>739</v>
      </c>
      <c r="C35" t="s">
        <v>797</v>
      </c>
      <c r="D35" t="s">
        <v>746</v>
      </c>
      <c r="E35" t="s">
        <v>841</v>
      </c>
      <c r="F35" t="s">
        <v>842</v>
      </c>
      <c r="G35" t="s">
        <v>843</v>
      </c>
    </row>
    <row r="36" spans="1:7" x14ac:dyDescent="0.4">
      <c r="A36">
        <v>774</v>
      </c>
      <c r="B36" t="s">
        <v>739</v>
      </c>
      <c r="C36" t="s">
        <v>745</v>
      </c>
      <c r="D36" t="s">
        <v>741</v>
      </c>
      <c r="E36" t="s">
        <v>844</v>
      </c>
      <c r="F36" t="s">
        <v>845</v>
      </c>
      <c r="G36" t="s">
        <v>846</v>
      </c>
    </row>
    <row r="37" spans="1:7" x14ac:dyDescent="0.4">
      <c r="A37">
        <v>773</v>
      </c>
      <c r="B37" t="s">
        <v>739</v>
      </c>
      <c r="C37" t="s">
        <v>797</v>
      </c>
      <c r="D37" t="s">
        <v>746</v>
      </c>
      <c r="E37" t="s">
        <v>847</v>
      </c>
      <c r="F37" t="s">
        <v>848</v>
      </c>
      <c r="G37" t="s">
        <v>849</v>
      </c>
    </row>
    <row r="38" spans="1:7" x14ac:dyDescent="0.4">
      <c r="A38">
        <v>772</v>
      </c>
      <c r="B38" t="s">
        <v>739</v>
      </c>
      <c r="C38" t="s">
        <v>797</v>
      </c>
      <c r="D38" t="s">
        <v>746</v>
      </c>
      <c r="E38" t="s">
        <v>850</v>
      </c>
      <c r="F38" t="s">
        <v>851</v>
      </c>
      <c r="G38" t="s">
        <v>852</v>
      </c>
    </row>
    <row r="39" spans="1:7" x14ac:dyDescent="0.4">
      <c r="A39">
        <v>771</v>
      </c>
      <c r="B39" t="s">
        <v>739</v>
      </c>
      <c r="C39" t="s">
        <v>797</v>
      </c>
      <c r="D39" t="s">
        <v>746</v>
      </c>
      <c r="E39" t="s">
        <v>853</v>
      </c>
      <c r="F39" t="s">
        <v>854</v>
      </c>
      <c r="G39" t="s">
        <v>855</v>
      </c>
    </row>
    <row r="40" spans="1:7" x14ac:dyDescent="0.4">
      <c r="A40">
        <v>770</v>
      </c>
      <c r="B40" t="s">
        <v>739</v>
      </c>
      <c r="C40" t="s">
        <v>745</v>
      </c>
      <c r="D40" t="s">
        <v>746</v>
      </c>
      <c r="E40" t="s">
        <v>856</v>
      </c>
      <c r="F40" t="s">
        <v>857</v>
      </c>
      <c r="G40" t="s">
        <v>858</v>
      </c>
    </row>
    <row r="41" spans="1:7" x14ac:dyDescent="0.4">
      <c r="A41">
        <v>769</v>
      </c>
      <c r="B41" t="s">
        <v>739</v>
      </c>
      <c r="C41" t="s">
        <v>797</v>
      </c>
      <c r="D41" t="s">
        <v>746</v>
      </c>
      <c r="E41" t="s">
        <v>859</v>
      </c>
      <c r="F41" t="s">
        <v>860</v>
      </c>
      <c r="G41" t="s">
        <v>861</v>
      </c>
    </row>
    <row r="42" spans="1:7" x14ac:dyDescent="0.4">
      <c r="A42">
        <v>768</v>
      </c>
      <c r="B42" t="s">
        <v>739</v>
      </c>
      <c r="C42" t="s">
        <v>745</v>
      </c>
      <c r="D42" t="s">
        <v>746</v>
      </c>
      <c r="E42" t="s">
        <v>862</v>
      </c>
      <c r="F42" t="s">
        <v>863</v>
      </c>
      <c r="G42" t="s">
        <v>864</v>
      </c>
    </row>
    <row r="43" spans="1:7" x14ac:dyDescent="0.4">
      <c r="A43">
        <v>767</v>
      </c>
      <c r="B43" t="s">
        <v>739</v>
      </c>
      <c r="C43" t="s">
        <v>797</v>
      </c>
      <c r="D43" t="s">
        <v>746</v>
      </c>
      <c r="E43" t="s">
        <v>865</v>
      </c>
      <c r="F43" t="s">
        <v>866</v>
      </c>
      <c r="G43" t="s">
        <v>867</v>
      </c>
    </row>
    <row r="44" spans="1:7" x14ac:dyDescent="0.4">
      <c r="A44">
        <v>766</v>
      </c>
      <c r="B44" t="s">
        <v>739</v>
      </c>
      <c r="C44" t="s">
        <v>797</v>
      </c>
      <c r="D44" t="s">
        <v>746</v>
      </c>
      <c r="E44" t="s">
        <v>868</v>
      </c>
      <c r="F44" t="s">
        <v>869</v>
      </c>
      <c r="G44" t="s">
        <v>870</v>
      </c>
    </row>
    <row r="45" spans="1:7" x14ac:dyDescent="0.4">
      <c r="A45">
        <v>765</v>
      </c>
      <c r="B45" t="s">
        <v>739</v>
      </c>
      <c r="C45" t="s">
        <v>797</v>
      </c>
      <c r="D45" t="s">
        <v>746</v>
      </c>
      <c r="E45" t="s">
        <v>871</v>
      </c>
      <c r="F45" t="s">
        <v>872</v>
      </c>
      <c r="G45" t="s">
        <v>873</v>
      </c>
    </row>
    <row r="46" spans="1:7" x14ac:dyDescent="0.4">
      <c r="A46">
        <v>764</v>
      </c>
      <c r="B46" t="s">
        <v>739</v>
      </c>
      <c r="C46" t="s">
        <v>797</v>
      </c>
      <c r="D46" t="s">
        <v>746</v>
      </c>
      <c r="E46" t="s">
        <v>874</v>
      </c>
      <c r="F46" t="s">
        <v>875</v>
      </c>
      <c r="G46" t="s">
        <v>876</v>
      </c>
    </row>
    <row r="47" spans="1:7" x14ac:dyDescent="0.4">
      <c r="A47">
        <v>763</v>
      </c>
      <c r="B47" t="s">
        <v>739</v>
      </c>
      <c r="C47" t="s">
        <v>797</v>
      </c>
      <c r="D47" t="s">
        <v>746</v>
      </c>
      <c r="E47" t="s">
        <v>877</v>
      </c>
      <c r="F47" t="s">
        <v>878</v>
      </c>
      <c r="G47" t="s">
        <v>879</v>
      </c>
    </row>
    <row r="48" spans="1:7" x14ac:dyDescent="0.4">
      <c r="A48">
        <v>762</v>
      </c>
      <c r="B48" t="s">
        <v>739</v>
      </c>
      <c r="C48" t="s">
        <v>797</v>
      </c>
      <c r="D48" t="s">
        <v>746</v>
      </c>
      <c r="E48" t="s">
        <v>880</v>
      </c>
      <c r="F48" t="s">
        <v>881</v>
      </c>
      <c r="G48" t="s">
        <v>882</v>
      </c>
    </row>
    <row r="49" spans="1:7" x14ac:dyDescent="0.4">
      <c r="A49">
        <v>761</v>
      </c>
      <c r="B49" t="s">
        <v>739</v>
      </c>
      <c r="C49" t="s">
        <v>797</v>
      </c>
      <c r="D49" t="s">
        <v>746</v>
      </c>
      <c r="E49" t="s">
        <v>883</v>
      </c>
      <c r="F49" t="s">
        <v>884</v>
      </c>
      <c r="G49" t="s">
        <v>885</v>
      </c>
    </row>
    <row r="50" spans="1:7" x14ac:dyDescent="0.4">
      <c r="A50">
        <v>760</v>
      </c>
      <c r="B50" t="s">
        <v>739</v>
      </c>
      <c r="C50" t="s">
        <v>797</v>
      </c>
      <c r="D50" t="s">
        <v>746</v>
      </c>
      <c r="E50" t="s">
        <v>886</v>
      </c>
      <c r="F50" t="s">
        <v>887</v>
      </c>
      <c r="G50" t="s">
        <v>888</v>
      </c>
    </row>
    <row r="51" spans="1:7" x14ac:dyDescent="0.4">
      <c r="A51">
        <v>759</v>
      </c>
      <c r="B51" t="s">
        <v>739</v>
      </c>
      <c r="C51" t="s">
        <v>797</v>
      </c>
      <c r="D51" t="s">
        <v>746</v>
      </c>
      <c r="E51" t="s">
        <v>889</v>
      </c>
      <c r="F51" t="s">
        <v>890</v>
      </c>
      <c r="G51" t="s">
        <v>891</v>
      </c>
    </row>
    <row r="52" spans="1:7" x14ac:dyDescent="0.4">
      <c r="A52">
        <v>758</v>
      </c>
      <c r="B52" t="s">
        <v>739</v>
      </c>
      <c r="C52" t="s">
        <v>797</v>
      </c>
      <c r="D52" t="s">
        <v>746</v>
      </c>
      <c r="E52" t="s">
        <v>892</v>
      </c>
      <c r="F52" t="s">
        <v>893</v>
      </c>
      <c r="G52" t="s">
        <v>894</v>
      </c>
    </row>
    <row r="53" spans="1:7" x14ac:dyDescent="0.4">
      <c r="A53">
        <v>757</v>
      </c>
      <c r="B53" t="s">
        <v>739</v>
      </c>
      <c r="C53" t="s">
        <v>740</v>
      </c>
      <c r="D53" t="s">
        <v>746</v>
      </c>
      <c r="E53" t="s">
        <v>895</v>
      </c>
      <c r="F53" t="s">
        <v>896</v>
      </c>
      <c r="G53" t="s">
        <v>897</v>
      </c>
    </row>
    <row r="54" spans="1:7" x14ac:dyDescent="0.4">
      <c r="A54">
        <v>756</v>
      </c>
      <c r="B54" t="s">
        <v>739</v>
      </c>
      <c r="C54" t="s">
        <v>898</v>
      </c>
      <c r="D54" t="s">
        <v>746</v>
      </c>
      <c r="E54" t="s">
        <v>899</v>
      </c>
      <c r="F54" t="s">
        <v>900</v>
      </c>
      <c r="G54" t="s">
        <v>901</v>
      </c>
    </row>
    <row r="55" spans="1:7" x14ac:dyDescent="0.4">
      <c r="A55">
        <v>755</v>
      </c>
      <c r="B55" t="s">
        <v>739</v>
      </c>
      <c r="C55" t="s">
        <v>898</v>
      </c>
      <c r="D55" t="s">
        <v>746</v>
      </c>
      <c r="E55" t="s">
        <v>902</v>
      </c>
      <c r="F55" t="s">
        <v>903</v>
      </c>
      <c r="G55" t="s">
        <v>904</v>
      </c>
    </row>
    <row r="56" spans="1:7" x14ac:dyDescent="0.4">
      <c r="A56">
        <v>754</v>
      </c>
      <c r="B56" t="s">
        <v>739</v>
      </c>
      <c r="C56" t="s">
        <v>797</v>
      </c>
      <c r="D56" t="s">
        <v>746</v>
      </c>
      <c r="E56" t="s">
        <v>905</v>
      </c>
      <c r="F56" t="s">
        <v>906</v>
      </c>
      <c r="G56" t="s">
        <v>907</v>
      </c>
    </row>
    <row r="57" spans="1:7" x14ac:dyDescent="0.4">
      <c r="A57">
        <v>753</v>
      </c>
      <c r="B57" t="s">
        <v>739</v>
      </c>
      <c r="C57" t="s">
        <v>740</v>
      </c>
      <c r="D57" t="s">
        <v>746</v>
      </c>
      <c r="E57" t="s">
        <v>908</v>
      </c>
      <c r="F57" t="s">
        <v>909</v>
      </c>
      <c r="G57" t="s">
        <v>910</v>
      </c>
    </row>
    <row r="58" spans="1:7" x14ac:dyDescent="0.4">
      <c r="A58">
        <v>752</v>
      </c>
      <c r="B58" t="s">
        <v>739</v>
      </c>
      <c r="C58" t="s">
        <v>745</v>
      </c>
      <c r="D58" t="s">
        <v>746</v>
      </c>
      <c r="E58" t="s">
        <v>911</v>
      </c>
      <c r="F58" t="s">
        <v>912</v>
      </c>
      <c r="G58" t="s">
        <v>913</v>
      </c>
    </row>
    <row r="59" spans="1:7" x14ac:dyDescent="0.4">
      <c r="A59">
        <v>751</v>
      </c>
      <c r="B59" t="s">
        <v>739</v>
      </c>
      <c r="C59" t="s">
        <v>797</v>
      </c>
      <c r="D59" t="s">
        <v>746</v>
      </c>
      <c r="E59" t="s">
        <v>914</v>
      </c>
      <c r="F59" t="s">
        <v>915</v>
      </c>
      <c r="G59" t="s">
        <v>916</v>
      </c>
    </row>
    <row r="60" spans="1:7" x14ac:dyDescent="0.4">
      <c r="A60">
        <v>750</v>
      </c>
      <c r="B60" t="s">
        <v>739</v>
      </c>
      <c r="C60" t="s">
        <v>797</v>
      </c>
      <c r="D60" t="s">
        <v>746</v>
      </c>
      <c r="E60" t="s">
        <v>917</v>
      </c>
      <c r="F60" t="s">
        <v>918</v>
      </c>
      <c r="G60" t="s">
        <v>919</v>
      </c>
    </row>
    <row r="61" spans="1:7" x14ac:dyDescent="0.4">
      <c r="A61">
        <v>749</v>
      </c>
      <c r="B61" t="s">
        <v>739</v>
      </c>
      <c r="C61" t="s">
        <v>745</v>
      </c>
      <c r="D61" t="s">
        <v>746</v>
      </c>
      <c r="E61" t="s">
        <v>920</v>
      </c>
      <c r="F61" t="s">
        <v>921</v>
      </c>
      <c r="G61" t="s">
        <v>922</v>
      </c>
    </row>
    <row r="62" spans="1:7" x14ac:dyDescent="0.4">
      <c r="A62">
        <v>748</v>
      </c>
      <c r="B62" t="s">
        <v>739</v>
      </c>
      <c r="C62" t="s">
        <v>797</v>
      </c>
      <c r="D62" t="s">
        <v>746</v>
      </c>
      <c r="E62" t="s">
        <v>923</v>
      </c>
      <c r="F62" t="s">
        <v>924</v>
      </c>
      <c r="G62" t="s">
        <v>925</v>
      </c>
    </row>
    <row r="63" spans="1:7" x14ac:dyDescent="0.4">
      <c r="A63">
        <v>747</v>
      </c>
      <c r="B63" t="s">
        <v>739</v>
      </c>
      <c r="C63" t="s">
        <v>797</v>
      </c>
      <c r="D63" t="s">
        <v>746</v>
      </c>
      <c r="E63" t="s">
        <v>926</v>
      </c>
      <c r="F63" t="s">
        <v>927</v>
      </c>
      <c r="G63" t="s">
        <v>928</v>
      </c>
    </row>
    <row r="64" spans="1:7" x14ac:dyDescent="0.4">
      <c r="A64">
        <v>746</v>
      </c>
      <c r="B64" t="s">
        <v>739</v>
      </c>
      <c r="C64" t="s">
        <v>797</v>
      </c>
      <c r="D64" t="s">
        <v>746</v>
      </c>
      <c r="E64" t="s">
        <v>929</v>
      </c>
      <c r="F64" t="s">
        <v>930</v>
      </c>
      <c r="G64" t="s">
        <v>931</v>
      </c>
    </row>
    <row r="65" spans="1:7" x14ac:dyDescent="0.4">
      <c r="A65">
        <v>745</v>
      </c>
      <c r="B65" t="s">
        <v>739</v>
      </c>
      <c r="C65" t="s">
        <v>745</v>
      </c>
      <c r="D65" t="s">
        <v>746</v>
      </c>
      <c r="E65" t="s">
        <v>932</v>
      </c>
      <c r="F65" t="s">
        <v>933</v>
      </c>
      <c r="G65" t="s">
        <v>934</v>
      </c>
    </row>
    <row r="66" spans="1:7" x14ac:dyDescent="0.4">
      <c r="A66">
        <v>744</v>
      </c>
      <c r="B66" t="s">
        <v>739</v>
      </c>
      <c r="C66" t="s">
        <v>797</v>
      </c>
      <c r="D66" t="s">
        <v>746</v>
      </c>
      <c r="E66" t="s">
        <v>935</v>
      </c>
      <c r="F66" t="s">
        <v>936</v>
      </c>
      <c r="G66" t="s">
        <v>937</v>
      </c>
    </row>
    <row r="67" spans="1:7" x14ac:dyDescent="0.4">
      <c r="A67">
        <v>743</v>
      </c>
      <c r="B67" t="s">
        <v>739</v>
      </c>
      <c r="C67" t="s">
        <v>938</v>
      </c>
      <c r="D67" t="s">
        <v>746</v>
      </c>
      <c r="E67" t="s">
        <v>939</v>
      </c>
      <c r="F67" t="s">
        <v>940</v>
      </c>
      <c r="G67" t="s">
        <v>941</v>
      </c>
    </row>
    <row r="68" spans="1:7" x14ac:dyDescent="0.4">
      <c r="A68">
        <v>742</v>
      </c>
      <c r="B68" t="s">
        <v>739</v>
      </c>
      <c r="C68" t="s">
        <v>740</v>
      </c>
      <c r="D68" t="s">
        <v>741</v>
      </c>
      <c r="E68" t="s">
        <v>942</v>
      </c>
      <c r="F68" t="s">
        <v>943</v>
      </c>
      <c r="G68" t="s">
        <v>944</v>
      </c>
    </row>
    <row r="69" spans="1:7" x14ac:dyDescent="0.4">
      <c r="A69">
        <v>741</v>
      </c>
      <c r="B69" t="s">
        <v>739</v>
      </c>
      <c r="C69" t="s">
        <v>745</v>
      </c>
      <c r="D69" t="s">
        <v>741</v>
      </c>
      <c r="E69" t="s">
        <v>945</v>
      </c>
      <c r="F69" t="s">
        <v>943</v>
      </c>
      <c r="G69" t="s">
        <v>946</v>
      </c>
    </row>
    <row r="70" spans="1:7" x14ac:dyDescent="0.4">
      <c r="A70">
        <v>740</v>
      </c>
      <c r="B70" t="s">
        <v>739</v>
      </c>
      <c r="C70" t="s">
        <v>898</v>
      </c>
      <c r="D70" t="s">
        <v>746</v>
      </c>
      <c r="E70" t="s">
        <v>947</v>
      </c>
      <c r="F70" t="s">
        <v>948</v>
      </c>
      <c r="G70" t="s">
        <v>949</v>
      </c>
    </row>
    <row r="71" spans="1:7" x14ac:dyDescent="0.4">
      <c r="A71">
        <v>739</v>
      </c>
      <c r="B71" t="s">
        <v>739</v>
      </c>
      <c r="C71" t="s">
        <v>740</v>
      </c>
      <c r="D71" t="s">
        <v>746</v>
      </c>
      <c r="E71" t="s">
        <v>950</v>
      </c>
      <c r="F71" t="s">
        <v>951</v>
      </c>
      <c r="G71" t="s">
        <v>952</v>
      </c>
    </row>
    <row r="72" spans="1:7" x14ac:dyDescent="0.4">
      <c r="A72">
        <v>738</v>
      </c>
      <c r="B72" t="s">
        <v>739</v>
      </c>
      <c r="C72" t="s">
        <v>745</v>
      </c>
      <c r="D72" t="s">
        <v>746</v>
      </c>
      <c r="E72" t="s">
        <v>953</v>
      </c>
      <c r="F72" t="s">
        <v>954</v>
      </c>
      <c r="G72" t="s">
        <v>955</v>
      </c>
    </row>
    <row r="73" spans="1:7" x14ac:dyDescent="0.4">
      <c r="A73">
        <v>737</v>
      </c>
      <c r="B73" t="s">
        <v>739</v>
      </c>
      <c r="C73" t="s">
        <v>797</v>
      </c>
      <c r="D73" t="s">
        <v>746</v>
      </c>
      <c r="E73" t="s">
        <v>956</v>
      </c>
      <c r="F73" t="s">
        <v>957</v>
      </c>
      <c r="G73" t="s">
        <v>958</v>
      </c>
    </row>
    <row r="74" spans="1:7" x14ac:dyDescent="0.4">
      <c r="A74">
        <v>736</v>
      </c>
      <c r="B74" t="s">
        <v>739</v>
      </c>
      <c r="C74" t="s">
        <v>797</v>
      </c>
      <c r="D74" t="s">
        <v>746</v>
      </c>
      <c r="E74" t="s">
        <v>959</v>
      </c>
      <c r="F74" t="s">
        <v>960</v>
      </c>
      <c r="G74" t="s">
        <v>961</v>
      </c>
    </row>
    <row r="75" spans="1:7" x14ac:dyDescent="0.4">
      <c r="A75">
        <v>735</v>
      </c>
      <c r="B75" t="s">
        <v>739</v>
      </c>
      <c r="C75" t="s">
        <v>797</v>
      </c>
      <c r="D75" t="s">
        <v>746</v>
      </c>
      <c r="E75" t="s">
        <v>962</v>
      </c>
      <c r="F75" t="s">
        <v>963</v>
      </c>
      <c r="G75" t="s">
        <v>964</v>
      </c>
    </row>
    <row r="76" spans="1:7" x14ac:dyDescent="0.4">
      <c r="A76">
        <v>734</v>
      </c>
      <c r="B76" t="s">
        <v>739</v>
      </c>
      <c r="C76" t="s">
        <v>797</v>
      </c>
      <c r="D76" t="s">
        <v>746</v>
      </c>
      <c r="E76" t="s">
        <v>965</v>
      </c>
      <c r="F76" t="s">
        <v>966</v>
      </c>
      <c r="G76" t="s">
        <v>967</v>
      </c>
    </row>
    <row r="77" spans="1:7" x14ac:dyDescent="0.4">
      <c r="A77">
        <v>733</v>
      </c>
      <c r="B77" t="s">
        <v>739</v>
      </c>
      <c r="C77" t="s">
        <v>797</v>
      </c>
      <c r="D77" t="s">
        <v>746</v>
      </c>
      <c r="E77" t="s">
        <v>968</v>
      </c>
      <c r="F77" t="s">
        <v>969</v>
      </c>
      <c r="G77" t="s">
        <v>970</v>
      </c>
    </row>
    <row r="78" spans="1:7" x14ac:dyDescent="0.4">
      <c r="A78">
        <v>732</v>
      </c>
      <c r="B78" t="s">
        <v>739</v>
      </c>
      <c r="C78" t="s">
        <v>745</v>
      </c>
      <c r="D78" t="s">
        <v>746</v>
      </c>
      <c r="E78" t="s">
        <v>971</v>
      </c>
      <c r="F78" t="s">
        <v>972</v>
      </c>
      <c r="G78" t="s">
        <v>973</v>
      </c>
    </row>
    <row r="79" spans="1:7" x14ac:dyDescent="0.4">
      <c r="A79">
        <v>731</v>
      </c>
      <c r="B79" t="s">
        <v>739</v>
      </c>
      <c r="C79" t="s">
        <v>740</v>
      </c>
      <c r="D79" t="s">
        <v>741</v>
      </c>
      <c r="E79" t="s">
        <v>974</v>
      </c>
      <c r="F79" t="s">
        <v>975</v>
      </c>
      <c r="G79" t="s">
        <v>976</v>
      </c>
    </row>
    <row r="80" spans="1:7" x14ac:dyDescent="0.4">
      <c r="A80">
        <v>730</v>
      </c>
      <c r="B80" t="s">
        <v>739</v>
      </c>
      <c r="C80" t="s">
        <v>745</v>
      </c>
      <c r="D80" t="s">
        <v>741</v>
      </c>
      <c r="E80" t="s">
        <v>977</v>
      </c>
      <c r="F80" t="s">
        <v>975</v>
      </c>
      <c r="G80" t="s">
        <v>978</v>
      </c>
    </row>
    <row r="81" spans="1:7" x14ac:dyDescent="0.4">
      <c r="A81">
        <v>729</v>
      </c>
      <c r="B81" t="s">
        <v>739</v>
      </c>
      <c r="C81" t="s">
        <v>898</v>
      </c>
      <c r="D81" t="s">
        <v>746</v>
      </c>
      <c r="E81" t="s">
        <v>979</v>
      </c>
      <c r="F81" t="s">
        <v>980</v>
      </c>
      <c r="G81" t="s">
        <v>981</v>
      </c>
    </row>
    <row r="82" spans="1:7" x14ac:dyDescent="0.4">
      <c r="A82">
        <v>728</v>
      </c>
      <c r="B82" t="s">
        <v>739</v>
      </c>
      <c r="C82" t="s">
        <v>745</v>
      </c>
      <c r="D82" t="s">
        <v>746</v>
      </c>
      <c r="E82" t="s">
        <v>982</v>
      </c>
      <c r="F82" t="s">
        <v>983</v>
      </c>
      <c r="G82" t="s">
        <v>984</v>
      </c>
    </row>
    <row r="83" spans="1:7" x14ac:dyDescent="0.4">
      <c r="A83">
        <v>727</v>
      </c>
      <c r="B83" t="s">
        <v>739</v>
      </c>
      <c r="C83" t="s">
        <v>797</v>
      </c>
      <c r="D83" t="s">
        <v>746</v>
      </c>
      <c r="E83" t="s">
        <v>985</v>
      </c>
      <c r="F83" t="s">
        <v>986</v>
      </c>
      <c r="G83" t="s">
        <v>987</v>
      </c>
    </row>
    <row r="84" spans="1:7" x14ac:dyDescent="0.4">
      <c r="A84">
        <v>726</v>
      </c>
      <c r="B84" t="s">
        <v>739</v>
      </c>
      <c r="C84" t="s">
        <v>745</v>
      </c>
      <c r="D84" t="s">
        <v>746</v>
      </c>
      <c r="E84" t="s">
        <v>988</v>
      </c>
      <c r="F84" t="s">
        <v>989</v>
      </c>
      <c r="G84" t="s">
        <v>990</v>
      </c>
    </row>
    <row r="85" spans="1:7" x14ac:dyDescent="0.4">
      <c r="A85">
        <v>725</v>
      </c>
      <c r="B85" t="s">
        <v>739</v>
      </c>
      <c r="C85" t="s">
        <v>797</v>
      </c>
      <c r="D85" t="s">
        <v>746</v>
      </c>
      <c r="E85" t="s">
        <v>991</v>
      </c>
      <c r="F85" t="s">
        <v>992</v>
      </c>
      <c r="G85" t="s">
        <v>993</v>
      </c>
    </row>
    <row r="86" spans="1:7" x14ac:dyDescent="0.4">
      <c r="A86">
        <v>724</v>
      </c>
      <c r="B86" t="s">
        <v>739</v>
      </c>
      <c r="C86" t="s">
        <v>745</v>
      </c>
      <c r="D86" t="s">
        <v>746</v>
      </c>
      <c r="E86" t="s">
        <v>994</v>
      </c>
      <c r="F86" t="s">
        <v>995</v>
      </c>
      <c r="G86" t="s">
        <v>996</v>
      </c>
    </row>
    <row r="87" spans="1:7" x14ac:dyDescent="0.4">
      <c r="A87">
        <v>723</v>
      </c>
      <c r="B87" t="s">
        <v>739</v>
      </c>
      <c r="C87" t="s">
        <v>797</v>
      </c>
      <c r="D87" t="s">
        <v>746</v>
      </c>
      <c r="E87" t="s">
        <v>997</v>
      </c>
      <c r="F87" t="s">
        <v>998</v>
      </c>
      <c r="G87" t="s">
        <v>999</v>
      </c>
    </row>
    <row r="88" spans="1:7" x14ac:dyDescent="0.4">
      <c r="A88">
        <v>722</v>
      </c>
      <c r="B88" t="s">
        <v>739</v>
      </c>
      <c r="C88" t="s">
        <v>797</v>
      </c>
      <c r="D88" t="s">
        <v>746</v>
      </c>
      <c r="E88" t="s">
        <v>1000</v>
      </c>
      <c r="F88" t="s">
        <v>1001</v>
      </c>
      <c r="G88" t="s">
        <v>1002</v>
      </c>
    </row>
    <row r="89" spans="1:7" x14ac:dyDescent="0.4">
      <c r="A89">
        <v>721</v>
      </c>
      <c r="B89" t="s">
        <v>739</v>
      </c>
      <c r="C89" t="s">
        <v>740</v>
      </c>
      <c r="D89" t="s">
        <v>746</v>
      </c>
      <c r="E89" t="s">
        <v>1003</v>
      </c>
      <c r="F89" t="s">
        <v>1004</v>
      </c>
      <c r="G89" t="s">
        <v>1005</v>
      </c>
    </row>
    <row r="90" spans="1:7" x14ac:dyDescent="0.4">
      <c r="A90">
        <v>720</v>
      </c>
      <c r="B90" t="s">
        <v>739</v>
      </c>
      <c r="C90" t="s">
        <v>740</v>
      </c>
      <c r="D90" t="s">
        <v>741</v>
      </c>
      <c r="E90" t="s">
        <v>1006</v>
      </c>
      <c r="F90" t="s">
        <v>1007</v>
      </c>
      <c r="G90" t="s">
        <v>1008</v>
      </c>
    </row>
    <row r="91" spans="1:7" x14ac:dyDescent="0.4">
      <c r="A91">
        <v>719</v>
      </c>
      <c r="B91" t="s">
        <v>739</v>
      </c>
      <c r="C91" t="s">
        <v>745</v>
      </c>
      <c r="D91" t="s">
        <v>746</v>
      </c>
      <c r="E91" t="s">
        <v>1009</v>
      </c>
      <c r="F91" t="s">
        <v>1010</v>
      </c>
      <c r="G91" t="s">
        <v>1011</v>
      </c>
    </row>
    <row r="92" spans="1:7" x14ac:dyDescent="0.4">
      <c r="A92">
        <v>718</v>
      </c>
      <c r="B92" t="s">
        <v>739</v>
      </c>
      <c r="C92" t="s">
        <v>797</v>
      </c>
      <c r="D92" t="s">
        <v>746</v>
      </c>
      <c r="E92" t="s">
        <v>1012</v>
      </c>
      <c r="F92" t="s">
        <v>1013</v>
      </c>
      <c r="G92" t="s">
        <v>1014</v>
      </c>
    </row>
    <row r="93" spans="1:7" x14ac:dyDescent="0.4">
      <c r="A93">
        <v>717</v>
      </c>
      <c r="B93" t="s">
        <v>739</v>
      </c>
      <c r="C93" t="s">
        <v>745</v>
      </c>
      <c r="D93" t="s">
        <v>746</v>
      </c>
      <c r="E93" t="s">
        <v>1015</v>
      </c>
      <c r="F93" t="s">
        <v>1016</v>
      </c>
      <c r="G93" t="s">
        <v>1017</v>
      </c>
    </row>
    <row r="94" spans="1:7" x14ac:dyDescent="0.4">
      <c r="A94">
        <v>716</v>
      </c>
      <c r="B94" t="s">
        <v>739</v>
      </c>
      <c r="C94" t="s">
        <v>745</v>
      </c>
      <c r="D94" t="s">
        <v>746</v>
      </c>
      <c r="E94" t="s">
        <v>1018</v>
      </c>
      <c r="F94" t="s">
        <v>1019</v>
      </c>
      <c r="G94" t="s">
        <v>1020</v>
      </c>
    </row>
    <row r="95" spans="1:7" x14ac:dyDescent="0.4">
      <c r="A95">
        <v>715</v>
      </c>
      <c r="B95" t="s">
        <v>739</v>
      </c>
      <c r="C95" t="s">
        <v>797</v>
      </c>
      <c r="D95" t="s">
        <v>746</v>
      </c>
      <c r="E95" t="s">
        <v>1021</v>
      </c>
      <c r="F95" t="s">
        <v>1022</v>
      </c>
      <c r="G95" t="s">
        <v>1023</v>
      </c>
    </row>
    <row r="96" spans="1:7" x14ac:dyDescent="0.4">
      <c r="A96">
        <v>714</v>
      </c>
      <c r="B96" t="s">
        <v>739</v>
      </c>
      <c r="C96" t="s">
        <v>898</v>
      </c>
      <c r="D96" t="s">
        <v>746</v>
      </c>
      <c r="E96" t="s">
        <v>1024</v>
      </c>
      <c r="F96" t="s">
        <v>1025</v>
      </c>
      <c r="G96" t="s">
        <v>1026</v>
      </c>
    </row>
    <row r="97" spans="1:7" x14ac:dyDescent="0.4">
      <c r="A97">
        <v>713</v>
      </c>
      <c r="B97" t="s">
        <v>739</v>
      </c>
      <c r="C97" t="s">
        <v>797</v>
      </c>
      <c r="D97" t="s">
        <v>746</v>
      </c>
      <c r="E97" t="s">
        <v>1027</v>
      </c>
      <c r="F97" t="s">
        <v>1028</v>
      </c>
      <c r="G97" t="s">
        <v>1029</v>
      </c>
    </row>
    <row r="98" spans="1:7" x14ac:dyDescent="0.4">
      <c r="A98">
        <v>712</v>
      </c>
      <c r="B98" t="s">
        <v>739</v>
      </c>
      <c r="C98" t="s">
        <v>797</v>
      </c>
      <c r="D98" t="s">
        <v>746</v>
      </c>
      <c r="E98" t="s">
        <v>1030</v>
      </c>
      <c r="F98" t="s">
        <v>792</v>
      </c>
      <c r="G98" t="s">
        <v>1031</v>
      </c>
    </row>
    <row r="99" spans="1:7" x14ac:dyDescent="0.4">
      <c r="A99">
        <v>711</v>
      </c>
      <c r="B99" t="s">
        <v>739</v>
      </c>
      <c r="C99" t="s">
        <v>797</v>
      </c>
      <c r="D99" t="s">
        <v>746</v>
      </c>
      <c r="E99" t="s">
        <v>1032</v>
      </c>
      <c r="F99" t="s">
        <v>1033</v>
      </c>
      <c r="G99" t="s">
        <v>1034</v>
      </c>
    </row>
    <row r="100" spans="1:7" x14ac:dyDescent="0.4">
      <c r="A100">
        <v>710</v>
      </c>
      <c r="B100" t="s">
        <v>739</v>
      </c>
      <c r="C100" t="s">
        <v>745</v>
      </c>
      <c r="D100" t="s">
        <v>746</v>
      </c>
      <c r="E100" t="s">
        <v>1035</v>
      </c>
      <c r="F100" t="s">
        <v>1036</v>
      </c>
      <c r="G100" t="s">
        <v>1037</v>
      </c>
    </row>
    <row r="101" spans="1:7" x14ac:dyDescent="0.4">
      <c r="A101">
        <v>709</v>
      </c>
      <c r="B101" t="s">
        <v>739</v>
      </c>
      <c r="C101" t="s">
        <v>797</v>
      </c>
      <c r="D101" t="s">
        <v>746</v>
      </c>
      <c r="E101" t="s">
        <v>1038</v>
      </c>
      <c r="F101" t="s">
        <v>1039</v>
      </c>
      <c r="G101" t="s">
        <v>1040</v>
      </c>
    </row>
    <row r="102" spans="1:7" x14ac:dyDescent="0.4">
      <c r="A102">
        <v>708</v>
      </c>
      <c r="B102" t="s">
        <v>739</v>
      </c>
      <c r="C102" t="s">
        <v>797</v>
      </c>
      <c r="D102" t="s">
        <v>746</v>
      </c>
      <c r="E102" t="s">
        <v>1041</v>
      </c>
      <c r="F102" t="s">
        <v>1042</v>
      </c>
      <c r="G102" t="s">
        <v>1043</v>
      </c>
    </row>
    <row r="103" spans="1:7" x14ac:dyDescent="0.4">
      <c r="A103">
        <v>707</v>
      </c>
      <c r="B103" t="s">
        <v>739</v>
      </c>
      <c r="C103" t="s">
        <v>745</v>
      </c>
      <c r="D103" t="s">
        <v>746</v>
      </c>
      <c r="E103" t="s">
        <v>1044</v>
      </c>
      <c r="F103" t="s">
        <v>1045</v>
      </c>
      <c r="G103" t="s">
        <v>1046</v>
      </c>
    </row>
    <row r="104" spans="1:7" x14ac:dyDescent="0.4">
      <c r="A104">
        <v>706</v>
      </c>
      <c r="B104" t="s">
        <v>739</v>
      </c>
      <c r="C104" t="s">
        <v>797</v>
      </c>
      <c r="D104" t="s">
        <v>746</v>
      </c>
      <c r="E104" t="s">
        <v>1047</v>
      </c>
      <c r="F104" t="s">
        <v>1048</v>
      </c>
      <c r="G104" t="s">
        <v>1049</v>
      </c>
    </row>
    <row r="105" spans="1:7" x14ac:dyDescent="0.4">
      <c r="A105">
        <v>705</v>
      </c>
      <c r="B105" t="s">
        <v>739</v>
      </c>
      <c r="C105" t="s">
        <v>745</v>
      </c>
      <c r="D105" t="s">
        <v>746</v>
      </c>
      <c r="E105" t="s">
        <v>1050</v>
      </c>
      <c r="F105" t="s">
        <v>1051</v>
      </c>
      <c r="G105" t="s">
        <v>1052</v>
      </c>
    </row>
    <row r="106" spans="1:7" x14ac:dyDescent="0.4">
      <c r="A106">
        <v>704</v>
      </c>
      <c r="B106" t="s">
        <v>739</v>
      </c>
      <c r="C106" t="s">
        <v>797</v>
      </c>
      <c r="D106" t="s">
        <v>746</v>
      </c>
      <c r="E106" t="s">
        <v>1053</v>
      </c>
      <c r="F106" t="s">
        <v>1054</v>
      </c>
      <c r="G106" t="s">
        <v>1055</v>
      </c>
    </row>
    <row r="107" spans="1:7" x14ac:dyDescent="0.4">
      <c r="A107">
        <v>703</v>
      </c>
      <c r="B107" t="s">
        <v>739</v>
      </c>
      <c r="C107" t="s">
        <v>745</v>
      </c>
      <c r="D107" t="s">
        <v>746</v>
      </c>
      <c r="E107" t="s">
        <v>1056</v>
      </c>
      <c r="F107" t="s">
        <v>1057</v>
      </c>
      <c r="G107" t="s">
        <v>1058</v>
      </c>
    </row>
    <row r="108" spans="1:7" x14ac:dyDescent="0.4">
      <c r="A108">
        <v>702</v>
      </c>
      <c r="B108" t="s">
        <v>739</v>
      </c>
      <c r="C108" t="s">
        <v>745</v>
      </c>
      <c r="D108" t="s">
        <v>746</v>
      </c>
      <c r="E108" t="s">
        <v>1059</v>
      </c>
      <c r="F108" t="s">
        <v>1060</v>
      </c>
      <c r="G108" t="s">
        <v>1061</v>
      </c>
    </row>
    <row r="109" spans="1:7" x14ac:dyDescent="0.4">
      <c r="A109">
        <v>701</v>
      </c>
      <c r="B109" t="s">
        <v>739</v>
      </c>
      <c r="C109" t="s">
        <v>797</v>
      </c>
      <c r="D109" t="s">
        <v>746</v>
      </c>
      <c r="E109" t="s">
        <v>1062</v>
      </c>
      <c r="F109" t="s">
        <v>1063</v>
      </c>
      <c r="G109" t="s">
        <v>1064</v>
      </c>
    </row>
    <row r="110" spans="1:7" x14ac:dyDescent="0.4">
      <c r="A110">
        <v>700</v>
      </c>
      <c r="B110" t="s">
        <v>739</v>
      </c>
      <c r="C110" t="s">
        <v>797</v>
      </c>
      <c r="D110" t="s">
        <v>746</v>
      </c>
      <c r="E110" t="s">
        <v>1065</v>
      </c>
      <c r="F110" t="s">
        <v>1066</v>
      </c>
      <c r="G110" t="s">
        <v>1067</v>
      </c>
    </row>
    <row r="111" spans="1:7" x14ac:dyDescent="0.4">
      <c r="A111">
        <v>699</v>
      </c>
      <c r="B111" t="s">
        <v>739</v>
      </c>
      <c r="C111" t="s">
        <v>898</v>
      </c>
      <c r="D111" t="s">
        <v>746</v>
      </c>
      <c r="E111" t="s">
        <v>1068</v>
      </c>
      <c r="F111" t="s">
        <v>1069</v>
      </c>
      <c r="G111" t="s">
        <v>1070</v>
      </c>
    </row>
    <row r="112" spans="1:7" x14ac:dyDescent="0.4">
      <c r="A112">
        <v>698</v>
      </c>
      <c r="B112" t="s">
        <v>739</v>
      </c>
      <c r="C112" t="s">
        <v>938</v>
      </c>
      <c r="D112" t="s">
        <v>746</v>
      </c>
      <c r="E112" t="s">
        <v>1071</v>
      </c>
      <c r="F112" t="s">
        <v>1072</v>
      </c>
      <c r="G112" t="s">
        <v>1073</v>
      </c>
    </row>
    <row r="113" spans="1:7" x14ac:dyDescent="0.4">
      <c r="A113">
        <v>697</v>
      </c>
      <c r="B113" t="s">
        <v>739</v>
      </c>
      <c r="C113" t="s">
        <v>938</v>
      </c>
      <c r="D113" t="s">
        <v>746</v>
      </c>
      <c r="E113" t="s">
        <v>1074</v>
      </c>
      <c r="F113" t="s">
        <v>1075</v>
      </c>
      <c r="G113" t="s">
        <v>1076</v>
      </c>
    </row>
    <row r="114" spans="1:7" x14ac:dyDescent="0.4">
      <c r="A114">
        <v>696</v>
      </c>
      <c r="B114" t="s">
        <v>739</v>
      </c>
      <c r="C114" t="s">
        <v>797</v>
      </c>
      <c r="D114" t="s">
        <v>746</v>
      </c>
      <c r="E114" t="s">
        <v>1077</v>
      </c>
      <c r="F114" t="s">
        <v>1078</v>
      </c>
      <c r="G114" t="s">
        <v>1079</v>
      </c>
    </row>
    <row r="115" spans="1:7" x14ac:dyDescent="0.4">
      <c r="A115">
        <v>695</v>
      </c>
      <c r="B115" t="s">
        <v>739</v>
      </c>
      <c r="C115" t="s">
        <v>797</v>
      </c>
      <c r="D115" t="s">
        <v>746</v>
      </c>
      <c r="E115" t="s">
        <v>1080</v>
      </c>
      <c r="F115" t="s">
        <v>1081</v>
      </c>
      <c r="G115" t="s">
        <v>1082</v>
      </c>
    </row>
    <row r="116" spans="1:7" x14ac:dyDescent="0.4">
      <c r="A116">
        <v>694</v>
      </c>
      <c r="B116" t="s">
        <v>739</v>
      </c>
      <c r="C116" t="s">
        <v>797</v>
      </c>
      <c r="D116" t="s">
        <v>746</v>
      </c>
      <c r="E116" t="s">
        <v>1083</v>
      </c>
      <c r="F116" t="s">
        <v>1084</v>
      </c>
      <c r="G116" t="s">
        <v>1085</v>
      </c>
    </row>
    <row r="117" spans="1:7" x14ac:dyDescent="0.4">
      <c r="A117">
        <v>693</v>
      </c>
      <c r="B117" t="s">
        <v>739</v>
      </c>
      <c r="C117" t="s">
        <v>797</v>
      </c>
      <c r="D117" t="s">
        <v>746</v>
      </c>
      <c r="E117" t="s">
        <v>1086</v>
      </c>
      <c r="F117" t="s">
        <v>1087</v>
      </c>
      <c r="G117" t="s">
        <v>1088</v>
      </c>
    </row>
    <row r="118" spans="1:7" x14ac:dyDescent="0.4">
      <c r="A118">
        <v>692</v>
      </c>
      <c r="B118" t="s">
        <v>739</v>
      </c>
      <c r="C118" t="s">
        <v>797</v>
      </c>
      <c r="D118" t="s">
        <v>746</v>
      </c>
      <c r="E118" t="s">
        <v>1089</v>
      </c>
      <c r="F118" t="s">
        <v>1090</v>
      </c>
      <c r="G118" t="s">
        <v>1091</v>
      </c>
    </row>
    <row r="119" spans="1:7" x14ac:dyDescent="0.4">
      <c r="A119">
        <v>691</v>
      </c>
      <c r="B119" t="s">
        <v>739</v>
      </c>
      <c r="C119" t="s">
        <v>797</v>
      </c>
      <c r="D119" t="s">
        <v>746</v>
      </c>
      <c r="E119" t="s">
        <v>1092</v>
      </c>
      <c r="F119" t="s">
        <v>1093</v>
      </c>
      <c r="G119" t="s">
        <v>1094</v>
      </c>
    </row>
    <row r="120" spans="1:7" x14ac:dyDescent="0.4">
      <c r="A120">
        <v>690</v>
      </c>
      <c r="B120" t="s">
        <v>739</v>
      </c>
      <c r="C120" t="s">
        <v>740</v>
      </c>
      <c r="D120" t="s">
        <v>746</v>
      </c>
      <c r="E120" t="s">
        <v>1095</v>
      </c>
      <c r="F120" t="s">
        <v>1096</v>
      </c>
      <c r="G120" t="s">
        <v>1097</v>
      </c>
    </row>
    <row r="121" spans="1:7" x14ac:dyDescent="0.4">
      <c r="A121">
        <v>689</v>
      </c>
      <c r="B121" t="s">
        <v>739</v>
      </c>
      <c r="C121" t="s">
        <v>797</v>
      </c>
      <c r="D121" t="s">
        <v>746</v>
      </c>
      <c r="E121" t="s">
        <v>1098</v>
      </c>
      <c r="F121" t="s">
        <v>1099</v>
      </c>
      <c r="G121" t="s">
        <v>1100</v>
      </c>
    </row>
    <row r="123" spans="1:7" x14ac:dyDescent="0.4">
      <c r="A123" s="4" t="s">
        <v>1101</v>
      </c>
      <c r="B123" s="38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C505D-48F0-4965-87A9-AE873FF7F17C}">
  <sheetPr codeName="Sheet5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8" width="9.69921875" customWidth="1"/>
  </cols>
  <sheetData>
    <row r="1" spans="1:8" x14ac:dyDescent="0.4">
      <c r="A1" s="20" t="s">
        <v>729</v>
      </c>
    </row>
    <row r="3" spans="1:8" x14ac:dyDescent="0.4">
      <c r="B3" s="74" t="s">
        <v>730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IF(기초자료입력!C22&lt;&gt;"","평가 안건: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72" t="str">
        <f>"본인은 년 월 일 "&amp;IF(기초자료입력!C4&lt;&gt;"",기초자료입력!C4,"○○학교")&amp;"에서 실시하는 "&amp;IF(기초자료입력!C5&lt;&gt;"",기초자료입력!C5&amp;"학년도 ","")&amp;"교복 학교주관구매업체 선정을 위한 평가함에 있어 「부패 없는 투명한 사회」 구현 등을 위하여 다음 사항을 준수할 것을 서약합니다."</f>
        <v>본인은 년 월 일 ○○학교에서 실시하는 교복 학교주관구매업체 선정을 위한 평가함에 있어 「부패 없는 투명한 사회」 구현 등을 위하여 다음 사항을 준수할 것을 서약합니다.</v>
      </c>
      <c r="C7" s="72"/>
      <c r="D7" s="72"/>
      <c r="E7" s="72"/>
      <c r="F7" s="72"/>
      <c r="G7" s="72"/>
      <c r="H7" s="72"/>
    </row>
    <row r="8" spans="1:8" x14ac:dyDescent="0.4">
      <c r="B8" s="72"/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34.049999999999997" customHeight="1" x14ac:dyDescent="0.4">
      <c r="B10" s="72" t="str">
        <f>"1. "&amp;IF(기초자료입력!C5&lt;&gt;"",기초자료입력!C5,"20○○")&amp;"학년도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ht="60" customHeight="1" x14ac:dyDescent="0.4">
      <c r="B12" s="72" t="s">
        <v>731</v>
      </c>
      <c r="C12" s="72"/>
      <c r="D12" s="72"/>
      <c r="E12" s="72"/>
      <c r="F12" s="72"/>
      <c r="G12" s="72"/>
      <c r="H12" s="72"/>
    </row>
    <row r="13" spans="1:8" x14ac:dyDescent="0.4">
      <c r="B13" s="72"/>
      <c r="C13" s="72"/>
      <c r="D13" s="72"/>
      <c r="E13" s="72"/>
      <c r="F13" s="72"/>
      <c r="G13" s="72"/>
      <c r="H13" s="72"/>
    </row>
    <row r="14" spans="1:8" ht="34.049999999999997" customHeight="1" x14ac:dyDescent="0.4">
      <c r="B14" s="72" t="s">
        <v>732</v>
      </c>
      <c r="C14" s="72"/>
      <c r="D14" s="72"/>
      <c r="E14" s="72"/>
      <c r="F14" s="72"/>
      <c r="G14" s="72"/>
      <c r="H14" s="72"/>
    </row>
    <row r="15" spans="1:8" x14ac:dyDescent="0.4">
      <c r="B15" s="72"/>
      <c r="C15" s="72"/>
      <c r="D15" s="72"/>
      <c r="E15" s="72"/>
      <c r="F15" s="72"/>
      <c r="G15" s="72"/>
      <c r="H15" s="72"/>
    </row>
    <row r="16" spans="1:8" ht="49.95" customHeight="1" x14ac:dyDescent="0.4">
      <c r="B16" s="72" t="s">
        <v>733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73" t="s">
        <v>734</v>
      </c>
      <c r="C19" s="73"/>
      <c r="D19" s="73"/>
      <c r="E19" s="73"/>
      <c r="F19" s="73"/>
      <c r="G19" s="73"/>
      <c r="H19" s="7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IF(기초자료입력!B58&lt;&gt;"","위원 구분: "&amp;기초자료입력!B58,"")</f>
        <v/>
      </c>
      <c r="C21" s="73"/>
      <c r="D21" s="73"/>
      <c r="E21" s="73"/>
      <c r="F21" s="73"/>
      <c r="G21" s="73"/>
      <c r="H21" s="73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73" t="s">
        <v>735</v>
      </c>
      <c r="C23" s="73"/>
      <c r="D23" s="73"/>
      <c r="E23" s="73"/>
      <c r="F23" s="73"/>
      <c r="G23" s="73"/>
      <c r="H23" s="73"/>
    </row>
    <row r="24" spans="2:8" x14ac:dyDescent="0.4">
      <c r="B24" s="21"/>
      <c r="C24" s="21"/>
      <c r="D24" s="21"/>
      <c r="E24" s="21"/>
      <c r="F24" s="21"/>
      <c r="G24" s="21"/>
      <c r="H24" s="21"/>
    </row>
    <row r="25" spans="2:8" x14ac:dyDescent="0.4">
      <c r="B25" s="73" t="str">
        <f>IF(기초자료입력!C4&lt;&gt;"",기초자료입력!C4,"○○○학교")&amp;"장 귀하"</f>
        <v>○○○학교장 귀하</v>
      </c>
      <c r="C25" s="73"/>
      <c r="D25" s="73"/>
      <c r="E25" s="73"/>
      <c r="F25" s="73"/>
      <c r="G25" s="73"/>
      <c r="H25" s="73"/>
    </row>
  </sheetData>
  <mergeCells count="11">
    <mergeCell ref="B14:H15"/>
    <mergeCell ref="B3:H3"/>
    <mergeCell ref="B5:H5"/>
    <mergeCell ref="B7:H8"/>
    <mergeCell ref="B10:H11"/>
    <mergeCell ref="B12:H13"/>
    <mergeCell ref="B16:H17"/>
    <mergeCell ref="B19:H19"/>
    <mergeCell ref="B21:H21"/>
    <mergeCell ref="B23:H23"/>
    <mergeCell ref="B25:H25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30251-F7E2-4FF3-8CD1-914586347494}">
  <sheetPr codeName="Sheet6"/>
  <dimension ref="A1:K19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4.69921875" customWidth="1"/>
    <col min="4" max="4" width="12.69921875" customWidth="1"/>
    <col min="5" max="9" width="9.69921875" customWidth="1"/>
    <col min="10" max="10" width="14.69921875" customWidth="1"/>
  </cols>
  <sheetData>
    <row r="1" spans="1:11" x14ac:dyDescent="0.4">
      <c r="A1" s="20" t="s">
        <v>718</v>
      </c>
    </row>
    <row r="2" spans="1:11" x14ac:dyDescent="0.4">
      <c r="K2" s="35" t="s">
        <v>323</v>
      </c>
    </row>
    <row r="3" spans="1:11" x14ac:dyDescent="0.4">
      <c r="B3" s="77" t="str">
        <f>"[13-3] "&amp;IF(기초자료입력!C5&lt;&gt;"",기초자료입력!C5,"20○○")&amp;"학년도 교복(동복·하복) 구매 업체별 제안서 평가표"</f>
        <v>[13-3] 20○○학년도 교복(동복·하복) 구매 업체별 제안서 평가표</v>
      </c>
      <c r="C3" s="78"/>
      <c r="D3" s="78"/>
      <c r="E3" s="78"/>
      <c r="F3" s="78"/>
      <c r="G3" s="78"/>
      <c r="H3" s="78"/>
      <c r="I3" s="37">
        <v>1</v>
      </c>
      <c r="J3" s="37"/>
    </row>
    <row r="4" spans="1:11" x14ac:dyDescent="0.4">
      <c r="B4" s="78"/>
      <c r="C4" s="78"/>
      <c r="D4" s="78"/>
      <c r="E4" s="78"/>
      <c r="F4" s="78"/>
      <c r="G4" s="78"/>
      <c r="H4" s="78"/>
      <c r="I4" s="37"/>
      <c r="J4" s="37"/>
    </row>
    <row r="5" spans="1:11" x14ac:dyDescent="0.4">
      <c r="B5" s="37" t="s">
        <v>87</v>
      </c>
      <c r="C5" s="37" t="str">
        <f>IF(기초자료입력!C4&lt;&gt;"",기초자료입력!C4,"")</f>
        <v/>
      </c>
      <c r="D5" s="37" t="s">
        <v>88</v>
      </c>
      <c r="E5" s="37" t="str">
        <f>IF(기초자료입력!C5&lt;&gt;"",기초자료입력!C5,"")</f>
        <v/>
      </c>
      <c r="F5" s="37" t="s">
        <v>326</v>
      </c>
      <c r="G5" s="76">
        <f>IFERROR(INDEX(기초자료입력!$B$44:$B$53,I3),"")</f>
        <v>0</v>
      </c>
      <c r="H5" s="76"/>
      <c r="I5" s="76"/>
      <c r="J5" s="76"/>
    </row>
    <row r="6" spans="1:11" x14ac:dyDescent="0.4">
      <c r="B6" s="37"/>
      <c r="C6" s="37"/>
      <c r="D6" s="37"/>
      <c r="E6" s="37"/>
      <c r="F6" s="37"/>
      <c r="G6" s="37"/>
      <c r="H6" s="37"/>
      <c r="I6" s="37"/>
      <c r="J6" s="37"/>
    </row>
    <row r="7" spans="1:11" ht="28.05" customHeight="1" x14ac:dyDescent="0.4">
      <c r="B7" s="63" t="s">
        <v>677</v>
      </c>
      <c r="C7" s="63" t="s">
        <v>60</v>
      </c>
      <c r="D7" s="63" t="s">
        <v>719</v>
      </c>
      <c r="E7" s="63" t="s">
        <v>720</v>
      </c>
      <c r="F7" s="63" t="s">
        <v>721</v>
      </c>
      <c r="G7" s="63" t="s">
        <v>722</v>
      </c>
      <c r="H7" s="63" t="s">
        <v>723</v>
      </c>
      <c r="I7" s="63" t="s">
        <v>724</v>
      </c>
      <c r="J7" s="60" t="s">
        <v>301</v>
      </c>
    </row>
    <row r="8" spans="1:11" ht="18" customHeight="1" x14ac:dyDescent="0.4">
      <c r="B8" s="79">
        <f>I3</f>
        <v>1</v>
      </c>
      <c r="C8" s="79">
        <f>IFERROR(INDEX(기초자료입력!$B$44:$B$53,I3),"")</f>
        <v>0</v>
      </c>
      <c r="D8" s="28"/>
      <c r="E8" s="61"/>
      <c r="F8" s="61"/>
      <c r="G8" s="61"/>
      <c r="H8" s="61"/>
      <c r="I8" s="28" t="str">
        <f t="shared" ref="I8:I15" si="0">IF(COUNT(E8:H8)=4,SUM(E8:H8),"")</f>
        <v/>
      </c>
      <c r="J8" s="80" t="s">
        <v>725</v>
      </c>
    </row>
    <row r="9" spans="1:11" ht="18" customHeight="1" x14ac:dyDescent="0.4">
      <c r="B9" s="79"/>
      <c r="C9" s="79"/>
      <c r="D9" s="28"/>
      <c r="E9" s="61"/>
      <c r="F9" s="61"/>
      <c r="G9" s="61"/>
      <c r="H9" s="61"/>
      <c r="I9" s="28" t="str">
        <f t="shared" si="0"/>
        <v/>
      </c>
      <c r="J9" s="80"/>
    </row>
    <row r="10" spans="1:11" ht="18" customHeight="1" x14ac:dyDescent="0.4">
      <c r="B10" s="79"/>
      <c r="C10" s="79"/>
      <c r="D10" s="28"/>
      <c r="E10" s="61"/>
      <c r="F10" s="61"/>
      <c r="G10" s="61"/>
      <c r="H10" s="61"/>
      <c r="I10" s="28" t="str">
        <f t="shared" si="0"/>
        <v/>
      </c>
      <c r="J10" s="80"/>
    </row>
    <row r="11" spans="1:11" ht="18" customHeight="1" x14ac:dyDescent="0.4">
      <c r="B11" s="79"/>
      <c r="C11" s="79"/>
      <c r="D11" s="28"/>
      <c r="E11" s="61"/>
      <c r="F11" s="61"/>
      <c r="G11" s="61"/>
      <c r="H11" s="61"/>
      <c r="I11" s="28" t="str">
        <f t="shared" si="0"/>
        <v/>
      </c>
      <c r="J11" s="80"/>
    </row>
    <row r="12" spans="1:11" ht="18" customHeight="1" x14ac:dyDescent="0.4">
      <c r="B12" s="79"/>
      <c r="C12" s="79"/>
      <c r="D12" s="28"/>
      <c r="E12" s="61"/>
      <c r="F12" s="61"/>
      <c r="G12" s="61"/>
      <c r="H12" s="61"/>
      <c r="I12" s="28" t="str">
        <f t="shared" si="0"/>
        <v/>
      </c>
      <c r="J12" s="80"/>
    </row>
    <row r="13" spans="1:11" ht="18" customHeight="1" x14ac:dyDescent="0.4">
      <c r="B13" s="79"/>
      <c r="C13" s="79"/>
      <c r="D13" s="28"/>
      <c r="E13" s="61"/>
      <c r="F13" s="61"/>
      <c r="G13" s="61"/>
      <c r="H13" s="61"/>
      <c r="I13" s="28" t="str">
        <f t="shared" si="0"/>
        <v/>
      </c>
      <c r="J13" s="80"/>
    </row>
    <row r="14" spans="1:11" ht="18" customHeight="1" x14ac:dyDescent="0.4">
      <c r="B14" s="79"/>
      <c r="C14" s="79"/>
      <c r="D14" s="28"/>
      <c r="E14" s="61"/>
      <c r="F14" s="61"/>
      <c r="G14" s="61"/>
      <c r="H14" s="61"/>
      <c r="I14" s="28" t="str">
        <f t="shared" si="0"/>
        <v/>
      </c>
      <c r="J14" s="80"/>
    </row>
    <row r="15" spans="1:11" ht="18" customHeight="1" x14ac:dyDescent="0.4">
      <c r="B15" s="79"/>
      <c r="C15" s="79"/>
      <c r="D15" s="28"/>
      <c r="E15" s="61"/>
      <c r="F15" s="61"/>
      <c r="G15" s="61"/>
      <c r="H15" s="61"/>
      <c r="I15" s="28" t="str">
        <f t="shared" si="0"/>
        <v/>
      </c>
      <c r="J15" s="80"/>
    </row>
    <row r="16" spans="1:11" x14ac:dyDescent="0.4">
      <c r="B16" s="75" t="s">
        <v>726</v>
      </c>
      <c r="C16" s="75"/>
      <c r="D16" s="75"/>
      <c r="E16" s="28" t="str">
        <f>IF(COUNT(E8:E15)=8,SUM(E8:E15)-MAX(E8:E15)-MIN(E8:E15),"")</f>
        <v/>
      </c>
      <c r="F16" s="28" t="str">
        <f>IF(COUNT(F8:F15)=8,SUM(F8:F15)-MAX(F8:F15)-MIN(F8:F15),"")</f>
        <v/>
      </c>
      <c r="G16" s="28" t="str">
        <f>IF(COUNT(G8:G15)=8,SUM(G8:G15)-MAX(G8:G15)-MIN(G8:G15),"")</f>
        <v/>
      </c>
      <c r="H16" s="28" t="str">
        <f>IF(COUNT(H8:H15)=8,SUM(H8:H15)-MAX(H8:H15)-MIN(H8:H15),"")</f>
        <v/>
      </c>
      <c r="I16" s="28" t="str">
        <f>IF(COUNT(I8:I15)=8,SUM(I8:I15)-MAX(I8:I15)-MIN(I8:I15),"")</f>
        <v/>
      </c>
      <c r="J16" s="28"/>
    </row>
    <row r="17" spans="2:10" x14ac:dyDescent="0.4">
      <c r="B17" s="75" t="s">
        <v>727</v>
      </c>
      <c r="C17" s="75"/>
      <c r="D17" s="75"/>
      <c r="E17" s="66" t="str">
        <f>IF(E16="","",E16/6)</f>
        <v/>
      </c>
      <c r="F17" s="66" t="str">
        <f>IF(F16="","",F16/6)</f>
        <v/>
      </c>
      <c r="G17" s="66" t="str">
        <f>IF(G16="","",G16/6)</f>
        <v/>
      </c>
      <c r="H17" s="66" t="str">
        <f>IF(H16="","",H16/6)</f>
        <v/>
      </c>
      <c r="I17" s="66" t="str">
        <f>IF(I16="","",I16/6)</f>
        <v/>
      </c>
      <c r="J17" s="28"/>
    </row>
    <row r="18" spans="2:10" x14ac:dyDescent="0.4">
      <c r="B18" s="37"/>
      <c r="C18" s="37"/>
      <c r="D18" s="37"/>
      <c r="E18" s="37"/>
      <c r="F18" s="37"/>
      <c r="G18" s="37"/>
      <c r="H18" s="37"/>
      <c r="I18" s="37"/>
      <c r="J18" s="37"/>
    </row>
    <row r="19" spans="2:10" x14ac:dyDescent="0.4">
      <c r="B19" s="76" t="s">
        <v>728</v>
      </c>
      <c r="C19" s="76"/>
      <c r="D19" s="76"/>
      <c r="E19" s="76"/>
      <c r="F19" s="76"/>
      <c r="G19" s="76"/>
      <c r="H19" s="76"/>
      <c r="I19" s="76"/>
      <c r="J19" s="76"/>
    </row>
  </sheetData>
  <mergeCells count="8">
    <mergeCell ref="B17:D17"/>
    <mergeCell ref="B19:J19"/>
    <mergeCell ref="B3:H4"/>
    <mergeCell ref="G5:J5"/>
    <mergeCell ref="B8:B15"/>
    <mergeCell ref="C8:C15"/>
    <mergeCell ref="J8:J15"/>
    <mergeCell ref="B16:D16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7A8A-9AAE-4B3A-A988-02C773A7E7AC}">
  <sheetPr codeName="Sheet7"/>
  <dimension ref="A1:I23"/>
  <sheetViews>
    <sheetView workbookViewId="0"/>
  </sheetViews>
  <sheetFormatPr defaultRowHeight="17.399999999999999" x14ac:dyDescent="0.4"/>
  <cols>
    <col min="1" max="1" width="3.19921875" customWidth="1"/>
    <col min="2" max="9" width="8.69921875" customWidth="1"/>
  </cols>
  <sheetData>
    <row r="1" spans="1:9" x14ac:dyDescent="0.4">
      <c r="A1" s="20" t="s">
        <v>709</v>
      </c>
    </row>
    <row r="3" spans="1:9" x14ac:dyDescent="0.4">
      <c r="B3" s="77" t="s">
        <v>710</v>
      </c>
      <c r="C3" s="78"/>
      <c r="D3" s="78"/>
      <c r="E3" s="78"/>
      <c r="F3" s="78"/>
      <c r="G3" s="78"/>
      <c r="H3" s="78"/>
      <c r="I3" s="78"/>
    </row>
    <row r="4" spans="1:9" x14ac:dyDescent="0.4">
      <c r="B4" s="37"/>
      <c r="C4" s="37"/>
      <c r="D4" s="37"/>
      <c r="E4" s="37"/>
      <c r="F4" s="37"/>
      <c r="G4" s="37"/>
      <c r="H4" s="37"/>
      <c r="I4" s="37"/>
    </row>
    <row r="5" spans="1:9" x14ac:dyDescent="0.4">
      <c r="B5" s="78" t="str">
        <f>IF(기초자료입력!C4&lt;&gt;"",기초자료입력!C4,"")&amp;IF(기초자료입력!C5&lt;&gt;""," ("&amp;기초자료입력!C5&amp;"학년도)","")&amp;IF(기초자료입력!C22&lt;&gt;""," · "&amp;기초자료입력!C22,"")</f>
        <v/>
      </c>
      <c r="C5" s="78"/>
      <c r="D5" s="78"/>
      <c r="E5" s="78"/>
      <c r="F5" s="78"/>
      <c r="G5" s="78"/>
      <c r="H5" s="78"/>
      <c r="I5" s="78"/>
    </row>
    <row r="6" spans="1:9" x14ac:dyDescent="0.4">
      <c r="B6" s="37"/>
      <c r="C6" s="37"/>
      <c r="D6" s="37"/>
      <c r="E6" s="37"/>
      <c r="F6" s="37"/>
      <c r="G6" s="37"/>
      <c r="H6" s="37"/>
      <c r="I6" s="37"/>
    </row>
    <row r="7" spans="1:9" ht="28.05" customHeight="1" x14ac:dyDescent="0.4">
      <c r="B7" s="82" t="s">
        <v>711</v>
      </c>
      <c r="C7" s="82"/>
      <c r="D7" s="82"/>
      <c r="E7" s="82" t="s">
        <v>712</v>
      </c>
      <c r="F7" s="82"/>
      <c r="G7" s="82"/>
      <c r="H7" s="82" t="s">
        <v>713</v>
      </c>
      <c r="I7" s="82" t="s">
        <v>301</v>
      </c>
    </row>
    <row r="8" spans="1:9" ht="30" customHeight="1" x14ac:dyDescent="0.4">
      <c r="B8" s="63" t="s">
        <v>60</v>
      </c>
      <c r="C8" s="63" t="s">
        <v>367</v>
      </c>
      <c r="D8" s="63" t="s">
        <v>419</v>
      </c>
      <c r="E8" s="63" t="s">
        <v>605</v>
      </c>
      <c r="F8" s="63" t="s">
        <v>678</v>
      </c>
      <c r="G8" s="63" t="s">
        <v>676</v>
      </c>
      <c r="H8" s="82"/>
      <c r="I8" s="82"/>
    </row>
    <row r="9" spans="1:9" x14ac:dyDescent="0.4">
      <c r="B9" s="65" t="str">
        <f>IF(기초자료입력!B44&lt;&gt;"",기초자료입력!B44,"")</f>
        <v/>
      </c>
      <c r="C9" s="65"/>
      <c r="D9" s="65"/>
      <c r="E9" s="65"/>
      <c r="F9" s="65"/>
      <c r="G9" s="65"/>
      <c r="H9" s="65"/>
      <c r="I9" s="65"/>
    </row>
    <row r="10" spans="1:9" x14ac:dyDescent="0.4">
      <c r="B10" s="65" t="str">
        <f>IF(기초자료입력!B45&lt;&gt;"",기초자료입력!B45,"")</f>
        <v/>
      </c>
      <c r="C10" s="65"/>
      <c r="D10" s="65"/>
      <c r="E10" s="65"/>
      <c r="F10" s="65"/>
      <c r="G10" s="65"/>
      <c r="H10" s="65"/>
      <c r="I10" s="65"/>
    </row>
    <row r="11" spans="1:9" x14ac:dyDescent="0.4">
      <c r="B11" s="65" t="str">
        <f>IF(기초자료입력!B46&lt;&gt;"",기초자료입력!B46,"")</f>
        <v/>
      </c>
      <c r="C11" s="65"/>
      <c r="D11" s="65"/>
      <c r="E11" s="65"/>
      <c r="F11" s="65"/>
      <c r="G11" s="65"/>
      <c r="H11" s="65"/>
      <c r="I11" s="65"/>
    </row>
    <row r="12" spans="1:9" x14ac:dyDescent="0.4">
      <c r="B12" s="65" t="str">
        <f>IF(기초자료입력!B47&lt;&gt;"",기초자료입력!B47,"")</f>
        <v/>
      </c>
      <c r="C12" s="65"/>
      <c r="D12" s="65"/>
      <c r="E12" s="65"/>
      <c r="F12" s="65"/>
      <c r="G12" s="65"/>
      <c r="H12" s="65"/>
      <c r="I12" s="65"/>
    </row>
    <row r="13" spans="1:9" x14ac:dyDescent="0.4">
      <c r="B13" s="65" t="str">
        <f>IF(기초자료입력!B48&lt;&gt;"",기초자료입력!B48,"")</f>
        <v/>
      </c>
      <c r="C13" s="65"/>
      <c r="D13" s="65"/>
      <c r="E13" s="65"/>
      <c r="F13" s="65"/>
      <c r="G13" s="65"/>
      <c r="H13" s="65"/>
      <c r="I13" s="65"/>
    </row>
    <row r="14" spans="1:9" x14ac:dyDescent="0.4">
      <c r="B14" s="65" t="str">
        <f>IF(기초자료입력!B49&lt;&gt;"",기초자료입력!B49,"")</f>
        <v/>
      </c>
      <c r="C14" s="65"/>
      <c r="D14" s="65"/>
      <c r="E14" s="65"/>
      <c r="F14" s="65"/>
      <c r="G14" s="65"/>
      <c r="H14" s="65"/>
      <c r="I14" s="65"/>
    </row>
    <row r="15" spans="1:9" x14ac:dyDescent="0.4">
      <c r="B15" s="65" t="str">
        <f>IF(기초자료입력!B50&lt;&gt;"",기초자료입력!B50,"")</f>
        <v/>
      </c>
      <c r="C15" s="65"/>
      <c r="D15" s="65"/>
      <c r="E15" s="65"/>
      <c r="F15" s="65"/>
      <c r="G15" s="65"/>
      <c r="H15" s="65"/>
      <c r="I15" s="65"/>
    </row>
    <row r="16" spans="1:9" x14ac:dyDescent="0.4">
      <c r="B16" s="65" t="str">
        <f>IF(기초자료입력!B51&lt;&gt;"",기초자료입력!B51,"")</f>
        <v/>
      </c>
      <c r="C16" s="65"/>
      <c r="D16" s="65"/>
      <c r="E16" s="65"/>
      <c r="F16" s="65"/>
      <c r="G16" s="65"/>
      <c r="H16" s="65"/>
      <c r="I16" s="65"/>
    </row>
    <row r="17" spans="2:9" x14ac:dyDescent="0.4">
      <c r="B17" s="65" t="str">
        <f>IF(기초자료입력!B52&lt;&gt;"",기초자료입력!B52,"")</f>
        <v/>
      </c>
      <c r="C17" s="65"/>
      <c r="D17" s="65"/>
      <c r="E17" s="65"/>
      <c r="F17" s="65"/>
      <c r="G17" s="65"/>
      <c r="H17" s="65"/>
      <c r="I17" s="65"/>
    </row>
    <row r="18" spans="2:9" x14ac:dyDescent="0.4">
      <c r="B18" s="65" t="str">
        <f>IF(기초자료입력!B53&lt;&gt;"",기초자료입력!B53,"")</f>
        <v/>
      </c>
      <c r="C18" s="65"/>
      <c r="D18" s="65"/>
      <c r="E18" s="65"/>
      <c r="F18" s="65"/>
      <c r="G18" s="65"/>
      <c r="H18" s="65"/>
      <c r="I18" s="65"/>
    </row>
    <row r="19" spans="2:9" x14ac:dyDescent="0.4">
      <c r="B19" s="37"/>
      <c r="C19" s="37"/>
      <c r="D19" s="37"/>
      <c r="E19" s="37"/>
      <c r="F19" s="37"/>
      <c r="G19" s="37"/>
      <c r="H19" s="37"/>
      <c r="I19" s="37"/>
    </row>
    <row r="20" spans="2:9" x14ac:dyDescent="0.4">
      <c r="B20" s="81" t="s">
        <v>714</v>
      </c>
      <c r="C20" s="76"/>
      <c r="D20" s="76"/>
      <c r="E20" s="76"/>
      <c r="F20" s="76"/>
      <c r="G20" s="76"/>
      <c r="H20" s="76"/>
      <c r="I20" s="76"/>
    </row>
    <row r="21" spans="2:9" x14ac:dyDescent="0.4">
      <c r="B21" s="76" t="s">
        <v>715</v>
      </c>
      <c r="C21" s="76"/>
      <c r="D21" s="76"/>
      <c r="E21" s="76"/>
      <c r="F21" s="76"/>
      <c r="G21" s="76"/>
      <c r="H21" s="76"/>
      <c r="I21" s="76"/>
    </row>
    <row r="22" spans="2:9" x14ac:dyDescent="0.4">
      <c r="B22" s="76" t="s">
        <v>716</v>
      </c>
      <c r="C22" s="76"/>
      <c r="D22" s="76"/>
      <c r="E22" s="76"/>
      <c r="F22" s="76"/>
      <c r="G22" s="76"/>
      <c r="H22" s="76"/>
      <c r="I22" s="76"/>
    </row>
    <row r="23" spans="2:9" x14ac:dyDescent="0.4">
      <c r="B23" s="76" t="s">
        <v>717</v>
      </c>
      <c r="C23" s="76"/>
      <c r="D23" s="76"/>
      <c r="E23" s="76"/>
      <c r="F23" s="76"/>
      <c r="G23" s="76"/>
      <c r="H23" s="76"/>
      <c r="I23" s="76"/>
    </row>
  </sheetData>
  <mergeCells count="10">
    <mergeCell ref="B20:I20"/>
    <mergeCell ref="B21:I21"/>
    <mergeCell ref="B22:I22"/>
    <mergeCell ref="B23:I23"/>
    <mergeCell ref="B3:I3"/>
    <mergeCell ref="B5:I5"/>
    <mergeCell ref="B7:D7"/>
    <mergeCell ref="E7:G7"/>
    <mergeCell ref="H7:H8"/>
    <mergeCell ref="I7:I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2F205-0BA5-491B-9D8D-827F78AA3106}">
  <sheetPr codeName="Sheet8"/>
  <dimension ref="A1:H21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6.69921875" customWidth="1"/>
    <col min="5" max="6" width="15.69921875" customWidth="1"/>
    <col min="7" max="8" width="2.69921875" customWidth="1"/>
  </cols>
  <sheetData>
    <row r="1" spans="1:8" x14ac:dyDescent="0.4">
      <c r="A1" s="20" t="s">
        <v>703</v>
      </c>
    </row>
    <row r="3" spans="1:8" x14ac:dyDescent="0.4">
      <c r="B3" s="74" t="str">
        <f>IF(기초자료입력!C5&lt;&gt;"",기초자료입력!C5&amp;"학년도 ","")&amp;"교복선정 평가위원회 참석 등록부"</f>
        <v>교복선정 평가위원회 참석 등록부</v>
      </c>
      <c r="C3" s="73"/>
      <c r="D3" s="73"/>
      <c r="E3" s="73"/>
      <c r="F3" s="73"/>
      <c r="G3" s="73"/>
      <c r="H3" s="73"/>
    </row>
    <row r="4" spans="1:8" x14ac:dyDescent="0.4">
      <c r="B4" s="21"/>
      <c r="C4" s="21"/>
      <c r="D4" s="21"/>
      <c r="E4" s="21"/>
      <c r="F4" s="21"/>
      <c r="G4" s="21"/>
      <c r="H4" s="21"/>
    </row>
    <row r="5" spans="1:8" x14ac:dyDescent="0.4">
      <c r="B5" s="73" t="str">
        <f>IF(기초자료입력!C4&lt;&gt;"",기초자료입력!C4,"")&amp;IF(기초자료입력!C22&lt;&gt;""," · "&amp;기초자료입력!C22,"")</f>
        <v/>
      </c>
      <c r="C5" s="73"/>
      <c r="D5" s="73"/>
      <c r="E5" s="73"/>
      <c r="F5" s="73"/>
      <c r="G5" s="73"/>
      <c r="H5" s="73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1" t="s">
        <v>704</v>
      </c>
      <c r="C7" s="83"/>
      <c r="D7" s="83"/>
      <c r="E7" s="83"/>
      <c r="F7" s="83"/>
      <c r="G7" s="83"/>
      <c r="H7" s="83"/>
    </row>
    <row r="8" spans="1:8" x14ac:dyDescent="0.4">
      <c r="B8" s="21" t="s">
        <v>705</v>
      </c>
      <c r="C8" s="83" t="s">
        <v>706</v>
      </c>
      <c r="D8" s="83"/>
      <c r="E8" s="83"/>
      <c r="F8" s="83"/>
      <c r="G8" s="83"/>
      <c r="H8" s="83"/>
    </row>
    <row r="9" spans="1:8" x14ac:dyDescent="0.4">
      <c r="B9" s="21"/>
      <c r="C9" s="21"/>
      <c r="D9" s="21"/>
      <c r="E9" s="21"/>
      <c r="F9" s="21"/>
      <c r="G9" s="21"/>
      <c r="H9" s="21"/>
    </row>
    <row r="10" spans="1:8" x14ac:dyDescent="0.4">
      <c r="B10" s="84" t="s">
        <v>707</v>
      </c>
      <c r="C10" s="83"/>
      <c r="D10" s="83"/>
      <c r="E10" s="83"/>
      <c r="F10" s="83"/>
      <c r="G10" s="83"/>
      <c r="H10" s="83"/>
    </row>
    <row r="11" spans="1:8" x14ac:dyDescent="0.4">
      <c r="B11" s="24" t="s">
        <v>505</v>
      </c>
      <c r="C11" s="24" t="s">
        <v>605</v>
      </c>
      <c r="D11" s="24" t="s">
        <v>507</v>
      </c>
      <c r="E11" s="24" t="s">
        <v>708</v>
      </c>
      <c r="F11" s="24" t="s">
        <v>301</v>
      </c>
      <c r="G11" s="21"/>
      <c r="H11" s="21"/>
    </row>
    <row r="12" spans="1:8" x14ac:dyDescent="0.4">
      <c r="B12" s="50">
        <v>1</v>
      </c>
      <c r="C12" s="50" t="str">
        <f>IF(기초자료입력!B58&lt;&gt;"",기초자료입력!B58,"")</f>
        <v/>
      </c>
      <c r="D12" s="50"/>
      <c r="E12" s="50"/>
      <c r="F12" s="50"/>
      <c r="G12" s="21"/>
      <c r="H12" s="21"/>
    </row>
    <row r="13" spans="1:8" x14ac:dyDescent="0.4">
      <c r="B13" s="50">
        <v>2</v>
      </c>
      <c r="C13" s="50" t="str">
        <f>IF(기초자료입력!B59&lt;&gt;"",기초자료입력!B59,"")</f>
        <v/>
      </c>
      <c r="D13" s="50"/>
      <c r="E13" s="50"/>
      <c r="F13" s="50"/>
      <c r="G13" s="21"/>
      <c r="H13" s="21"/>
    </row>
    <row r="14" spans="1:8" x14ac:dyDescent="0.4">
      <c r="B14" s="50">
        <v>3</v>
      </c>
      <c r="C14" s="50" t="str">
        <f>IF(기초자료입력!B60&lt;&gt;"",기초자료입력!B60,"")</f>
        <v/>
      </c>
      <c r="D14" s="50"/>
      <c r="E14" s="50"/>
      <c r="F14" s="50"/>
      <c r="G14" s="21"/>
      <c r="H14" s="21"/>
    </row>
    <row r="15" spans="1:8" x14ac:dyDescent="0.4">
      <c r="B15" s="50">
        <v>4</v>
      </c>
      <c r="C15" s="50" t="str">
        <f>IF(기초자료입력!B61&lt;&gt;"",기초자료입력!B61,"")</f>
        <v/>
      </c>
      <c r="D15" s="50"/>
      <c r="E15" s="50"/>
      <c r="F15" s="50"/>
      <c r="G15" s="21"/>
      <c r="H15" s="21"/>
    </row>
    <row r="16" spans="1:8" x14ac:dyDescent="0.4">
      <c r="B16" s="50">
        <v>5</v>
      </c>
      <c r="C16" s="50" t="str">
        <f>IF(기초자료입력!B62&lt;&gt;"",기초자료입력!B62,"")</f>
        <v/>
      </c>
      <c r="D16" s="50"/>
      <c r="E16" s="50"/>
      <c r="F16" s="50"/>
      <c r="G16" s="21"/>
      <c r="H16" s="21"/>
    </row>
    <row r="17" spans="2:8" x14ac:dyDescent="0.4">
      <c r="B17" s="50">
        <v>6</v>
      </c>
      <c r="C17" s="50" t="str">
        <f>IF(기초자료입력!B63&lt;&gt;"",기초자료입력!B63,"")</f>
        <v/>
      </c>
      <c r="D17" s="50"/>
      <c r="E17" s="50"/>
      <c r="F17" s="50"/>
      <c r="G17" s="21"/>
      <c r="H17" s="21"/>
    </row>
    <row r="18" spans="2:8" x14ac:dyDescent="0.4">
      <c r="B18" s="50">
        <v>7</v>
      </c>
      <c r="C18" s="50" t="str">
        <f>IF(기초자료입력!B64&lt;&gt;"",기초자료입력!B64,"")</f>
        <v/>
      </c>
      <c r="D18" s="50"/>
      <c r="E18" s="50"/>
      <c r="F18" s="50"/>
      <c r="G18" s="21"/>
      <c r="H18" s="21"/>
    </row>
    <row r="19" spans="2:8" x14ac:dyDescent="0.4">
      <c r="B19" s="50">
        <v>8</v>
      </c>
      <c r="C19" s="50" t="str">
        <f>IF(기초자료입력!B65&lt;&gt;"",기초자료입력!B65,"")</f>
        <v/>
      </c>
      <c r="D19" s="50"/>
      <c r="E19" s="50"/>
      <c r="F19" s="50"/>
      <c r="G19" s="21"/>
      <c r="H19" s="21"/>
    </row>
    <row r="20" spans="2:8" x14ac:dyDescent="0.4">
      <c r="B20" s="50">
        <v>9</v>
      </c>
      <c r="C20" s="50" t="str">
        <f>IF(기초자료입력!B66&lt;&gt;"",기초자료입력!B66,"")</f>
        <v/>
      </c>
      <c r="D20" s="50"/>
      <c r="E20" s="50"/>
      <c r="F20" s="50"/>
      <c r="G20" s="21"/>
      <c r="H20" s="21"/>
    </row>
    <row r="21" spans="2:8" x14ac:dyDescent="0.4">
      <c r="B21" s="50">
        <v>10</v>
      </c>
      <c r="C21" s="50" t="str">
        <f>IF(기초자료입력!B67&lt;&gt;"",기초자료입력!B67,"")</f>
        <v/>
      </c>
      <c r="D21" s="50"/>
      <c r="E21" s="50"/>
      <c r="F21" s="50"/>
      <c r="G21" s="21"/>
      <c r="H21" s="21"/>
    </row>
  </sheetData>
  <mergeCells count="5">
    <mergeCell ref="B3:H3"/>
    <mergeCell ref="B5:H5"/>
    <mergeCell ref="C7:H7"/>
    <mergeCell ref="C8:H8"/>
    <mergeCell ref="B10:H10"/>
  </mergeCells>
  <phoneticPr fontId="6" type="noConversion"/>
  <pageMargins left="0.50000076388888881" right="0.50000076388888881" top="0.50000076388888881" bottom="0.50000076388888881" header="0.19685069444444445" footer="0.19685069444444445"/>
  <pageSetup paperSize="9" fitToWidth="0" fitToHeight="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CD8F1-4702-409E-BC72-AD2241C652BE}">
  <sheetPr codeName="Sheet9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16.69921875" customWidth="1"/>
    <col min="3" max="6" width="10.69921875" customWidth="1"/>
    <col min="7" max="7" width="14.69921875" customWidth="1"/>
  </cols>
  <sheetData>
    <row r="1" spans="1:8" x14ac:dyDescent="0.4">
      <c r="A1" s="20" t="s">
        <v>695</v>
      </c>
    </row>
    <row r="3" spans="1:8" x14ac:dyDescent="0.4">
      <c r="B3" s="87" t="str">
        <f>IF(기초자료입력!C4&lt;&gt;"",기초자료입력!C4,"○○학교")&amp;" 교복 구매 제안서 평가 결과"</f>
        <v>○○학교 교복 구매 제안서 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274</v>
      </c>
      <c r="F5" s="36" t="str">
        <f>IF(기초자료입력!C8&lt;&gt;"",TEXT(기초자료입력!C8,"yyyy-mm-dd"),"")</f>
        <v/>
      </c>
      <c r="G5" s="36"/>
    </row>
    <row r="6" spans="1:8" x14ac:dyDescent="0.4">
      <c r="B6" s="36"/>
      <c r="C6" s="36"/>
      <c r="D6" s="36"/>
      <c r="E6" s="36"/>
      <c r="F6" s="36"/>
      <c r="G6" s="36"/>
    </row>
    <row r="7" spans="1:8" x14ac:dyDescent="0.4">
      <c r="B7" s="53" t="s">
        <v>275</v>
      </c>
      <c r="C7" s="89" t="s">
        <v>495</v>
      </c>
      <c r="D7" s="89"/>
      <c r="E7" s="89"/>
      <c r="F7" s="89"/>
      <c r="G7" s="89"/>
      <c r="H7" s="90"/>
    </row>
    <row r="8" spans="1:8" x14ac:dyDescent="0.4">
      <c r="B8" s="53" t="s">
        <v>282</v>
      </c>
      <c r="C8" s="89"/>
      <c r="D8" s="89"/>
      <c r="E8" s="89"/>
      <c r="F8" s="89"/>
      <c r="G8" s="89"/>
      <c r="H8" s="90"/>
    </row>
    <row r="9" spans="1:8" x14ac:dyDescent="0.4">
      <c r="B9" s="53" t="s">
        <v>276</v>
      </c>
      <c r="C9" s="91" t="str">
        <f>IF(기초자료입력!C22&lt;&gt;"",기초자료입력!C22,IF(기초자료입력!C5&lt;&gt;"",기초자료입력!C5,"20○○")&amp;"학년도 교복 업체 선정을 위한 제안서 평가 집계결과 보고")</f>
        <v>20○○학년도 교복 업체 선정을 위한 제안서 평가 집계결과 보고</v>
      </c>
      <c r="D9" s="89"/>
      <c r="E9" s="89"/>
      <c r="F9" s="89"/>
      <c r="G9" s="89"/>
      <c r="H9" s="90"/>
    </row>
    <row r="10" spans="1:8" x14ac:dyDescent="0.4">
      <c r="B10" s="37"/>
      <c r="C10" s="37"/>
      <c r="D10" s="37"/>
      <c r="E10" s="37"/>
      <c r="F10" s="37"/>
      <c r="G10" s="37"/>
    </row>
    <row r="11" spans="1:8" x14ac:dyDescent="0.4">
      <c r="B11" s="81" t="str">
        <f>"1. 관련："&amp;IF(기초자료입력!C23&lt;&gt;"",기초자료입력!C23,"관련 문서를 확인하십시오.")</f>
        <v>1. 관련：관련 문서를 확인하십시오.</v>
      </c>
      <c r="C11" s="76"/>
      <c r="D11" s="76"/>
      <c r="E11" s="76"/>
      <c r="F11" s="76"/>
      <c r="G11" s="76"/>
      <c r="H11" s="90"/>
    </row>
    <row r="12" spans="1:8" x14ac:dyDescent="0.4">
      <c r="B12" s="37"/>
      <c r="C12" s="37"/>
      <c r="D12" s="37"/>
      <c r="E12" s="37"/>
      <c r="F12" s="37"/>
      <c r="G12" s="37"/>
    </row>
    <row r="13" spans="1:8" ht="28.05" customHeight="1" x14ac:dyDescent="0.4">
      <c r="B13" s="86" t="str">
        <f>"2. "&amp;IF(기초자료입력!C5&lt;&gt;"",기초자료입력!C5,"20○○")&amp;"학년도 교복업체 선정을 위한 제안서 평가위원회 실시 결과를 아래와 같이 보고합니다."</f>
        <v>2. 20○○학년도 교복업체 선정을 위한 제안서 평가위원회 실시 결과를 아래와 같이 보고합니다.</v>
      </c>
      <c r="C13" s="86"/>
      <c r="D13" s="86"/>
      <c r="E13" s="86"/>
      <c r="F13" s="86"/>
      <c r="G13" s="86"/>
      <c r="H13" s="71"/>
    </row>
    <row r="14" spans="1:8" x14ac:dyDescent="0.4">
      <c r="B14" s="86"/>
      <c r="C14" s="86"/>
      <c r="D14" s="86"/>
      <c r="E14" s="86"/>
      <c r="F14" s="86"/>
      <c r="G14" s="86"/>
      <c r="H14" s="71"/>
    </row>
    <row r="15" spans="1:8" x14ac:dyDescent="0.4">
      <c r="B15" s="37"/>
      <c r="C15" s="37"/>
      <c r="D15" s="37"/>
      <c r="E15" s="37"/>
      <c r="F15" s="37"/>
      <c r="G15" s="37"/>
    </row>
    <row r="16" spans="1:8" x14ac:dyDescent="0.4">
      <c r="B16" s="37"/>
      <c r="C16" s="37"/>
      <c r="D16" s="37"/>
      <c r="E16" s="37"/>
      <c r="F16" s="37"/>
      <c r="G16" s="37"/>
    </row>
    <row r="17" spans="2:7" x14ac:dyDescent="0.4">
      <c r="B17" s="85" t="s">
        <v>60</v>
      </c>
      <c r="C17" s="85" t="s">
        <v>696</v>
      </c>
      <c r="D17" s="85"/>
      <c r="E17" s="85"/>
      <c r="F17" s="85" t="s">
        <v>699</v>
      </c>
      <c r="G17" s="85" t="s">
        <v>700</v>
      </c>
    </row>
    <row r="18" spans="2:7" x14ac:dyDescent="0.4">
      <c r="B18" s="85"/>
      <c r="C18" s="60" t="s">
        <v>697</v>
      </c>
      <c r="D18" s="60" t="s">
        <v>698</v>
      </c>
      <c r="E18" s="60" t="s">
        <v>280</v>
      </c>
      <c r="F18" s="85"/>
      <c r="G18" s="85"/>
    </row>
    <row r="19" spans="2:7" x14ac:dyDescent="0.4">
      <c r="B19" s="28" t="str">
        <f>IF(기초자료입력!B44&lt;&gt;"",기초자료입력!B44,"")</f>
        <v/>
      </c>
      <c r="C19" s="28" t="str">
        <f>IF(기초자료입력!B44="","",IF(OR(기초자료입력!C44="",기초자료입력!D44="",기초자료입력!E44="",기초자료입력!F44=""),"",기초자료입력!C44+기초자료입력!D44+기초자료입력!E44+기초자료입력!F44))</f>
        <v/>
      </c>
      <c r="D19" s="28" t="str">
        <f>IF(기초자료입력!B44="","",IF(OR(기초자료입력!H44="",기초자료입력!I44="",기초자료입력!J44="",기초자료입력!K44="",기초자료입력!L44=""),"",기초자료입력!H44+기초자료입력!I44+기초자료입력!J44+기초자료입력!K44+기초자료입력!L44))</f>
        <v/>
      </c>
      <c r="E19" s="28" t="str">
        <f t="shared" ref="E19:E28" si="0">IF(OR(C19="",D19=""),"",C19+D19)</f>
        <v/>
      </c>
      <c r="F19" s="28" t="str">
        <f t="shared" ref="F19:F28" si="1">IF(E19="","",IF(E19&gt;=80,"적격","부적격"))</f>
        <v/>
      </c>
      <c r="G19" s="28" t="str">
        <f t="shared" ref="G19:G28" si="2">IF(F19="적격","가격개찰대상","")</f>
        <v/>
      </c>
    </row>
    <row r="20" spans="2:7" x14ac:dyDescent="0.4">
      <c r="B20" s="28" t="str">
        <f>IF(기초자료입력!B45&lt;&gt;"",기초자료입력!B45,"")</f>
        <v/>
      </c>
      <c r="C20" s="28" t="str">
        <f>IF(기초자료입력!B45="","",IF(OR(기초자료입력!C45="",기초자료입력!D45="",기초자료입력!E45="",기초자료입력!F45=""),"",기초자료입력!C45+기초자료입력!D45+기초자료입력!E45+기초자료입력!F45))</f>
        <v/>
      </c>
      <c r="D20" s="28" t="str">
        <f>IF(기초자료입력!B45="","",IF(OR(기초자료입력!H45="",기초자료입력!I45="",기초자료입력!J45="",기초자료입력!K45="",기초자료입력!L45=""),"",기초자료입력!H45+기초자료입력!I45+기초자료입력!J45+기초자료입력!K45+기초자료입력!L45))</f>
        <v/>
      </c>
      <c r="E20" s="28" t="str">
        <f t="shared" si="0"/>
        <v/>
      </c>
      <c r="F20" s="28" t="str">
        <f t="shared" si="1"/>
        <v/>
      </c>
      <c r="G20" s="28" t="str">
        <f t="shared" si="2"/>
        <v/>
      </c>
    </row>
    <row r="21" spans="2:7" x14ac:dyDescent="0.4">
      <c r="B21" s="28" t="str">
        <f>IF(기초자료입력!B46&lt;&gt;"",기초자료입력!B46,"")</f>
        <v/>
      </c>
      <c r="C21" s="28" t="str">
        <f>IF(기초자료입력!B46="","",IF(OR(기초자료입력!C46="",기초자료입력!D46="",기초자료입력!E46="",기초자료입력!F46=""),"",기초자료입력!C46+기초자료입력!D46+기초자료입력!E46+기초자료입력!F46))</f>
        <v/>
      </c>
      <c r="D21" s="28" t="str">
        <f>IF(기초자료입력!B46="","",IF(OR(기초자료입력!H46="",기초자료입력!I46="",기초자료입력!J46="",기초자료입력!K46="",기초자료입력!L46=""),"",기초자료입력!H46+기초자료입력!I46+기초자료입력!J46+기초자료입력!K46+기초자료입력!L46))</f>
        <v/>
      </c>
      <c r="E21" s="28" t="str">
        <f t="shared" si="0"/>
        <v/>
      </c>
      <c r="F21" s="28" t="str">
        <f t="shared" si="1"/>
        <v/>
      </c>
      <c r="G21" s="28" t="str">
        <f t="shared" si="2"/>
        <v/>
      </c>
    </row>
    <row r="22" spans="2:7" x14ac:dyDescent="0.4">
      <c r="B22" s="28" t="str">
        <f>IF(기초자료입력!B47&lt;&gt;"",기초자료입력!B47,"")</f>
        <v/>
      </c>
      <c r="C22" s="28" t="str">
        <f>IF(기초자료입력!B47="","",IF(OR(기초자료입력!C47="",기초자료입력!D47="",기초자료입력!E47="",기초자료입력!F47=""),"",기초자료입력!C47+기초자료입력!D47+기초자료입력!E47+기초자료입력!F47))</f>
        <v/>
      </c>
      <c r="D22" s="28" t="str">
        <f>IF(기초자료입력!B47="","",IF(OR(기초자료입력!H47="",기초자료입력!I47="",기초자료입력!J47="",기초자료입력!K47="",기초자료입력!L47=""),"",기초자료입력!H47+기초자료입력!I47+기초자료입력!J47+기초자료입력!K47+기초자료입력!L47))</f>
        <v/>
      </c>
      <c r="E22" s="28" t="str">
        <f t="shared" si="0"/>
        <v/>
      </c>
      <c r="F22" s="28" t="str">
        <f t="shared" si="1"/>
        <v/>
      </c>
      <c r="G22" s="28" t="str">
        <f t="shared" si="2"/>
        <v/>
      </c>
    </row>
    <row r="23" spans="2:7" x14ac:dyDescent="0.4">
      <c r="B23" s="28" t="str">
        <f>IF(기초자료입력!B48&lt;&gt;"",기초자료입력!B48,"")</f>
        <v/>
      </c>
      <c r="C23" s="28" t="str">
        <f>IF(기초자료입력!B48="","",IF(OR(기초자료입력!C48="",기초자료입력!D48="",기초자료입력!E48="",기초자료입력!F48=""),"",기초자료입력!C48+기초자료입력!D48+기초자료입력!E48+기초자료입력!F48))</f>
        <v/>
      </c>
      <c r="D23" s="28" t="str">
        <f>IF(기초자료입력!B48="","",IF(OR(기초자료입력!H48="",기초자료입력!I48="",기초자료입력!J48="",기초자료입력!K48="",기초자료입력!L48=""),"",기초자료입력!H48+기초자료입력!I48+기초자료입력!J48+기초자료입력!K48+기초자료입력!L48))</f>
        <v/>
      </c>
      <c r="E23" s="28" t="str">
        <f t="shared" si="0"/>
        <v/>
      </c>
      <c r="F23" s="28" t="str">
        <f t="shared" si="1"/>
        <v/>
      </c>
      <c r="G23" s="28" t="str">
        <f t="shared" si="2"/>
        <v/>
      </c>
    </row>
    <row r="24" spans="2:7" x14ac:dyDescent="0.4">
      <c r="B24" s="28" t="str">
        <f>IF(기초자료입력!B49&lt;&gt;"",기초자료입력!B49,"")</f>
        <v/>
      </c>
      <c r="C24" s="28" t="str">
        <f>IF(기초자료입력!B49="","",IF(OR(기초자료입력!C49="",기초자료입력!D49="",기초자료입력!E49="",기초자료입력!F49=""),"",기초자료입력!C49+기초자료입력!D49+기초자료입력!E49+기초자료입력!F49))</f>
        <v/>
      </c>
      <c r="D24" s="28" t="str">
        <f>IF(기초자료입력!B49="","",IF(OR(기초자료입력!H49="",기초자료입력!I49="",기초자료입력!J49="",기초자료입력!K49="",기초자료입력!L49=""),"",기초자료입력!H49+기초자료입력!I49+기초자료입력!J49+기초자료입력!K49+기초자료입력!L49))</f>
        <v/>
      </c>
      <c r="E24" s="28" t="str">
        <f t="shared" si="0"/>
        <v/>
      </c>
      <c r="F24" s="28" t="str">
        <f t="shared" si="1"/>
        <v/>
      </c>
      <c r="G24" s="28" t="str">
        <f t="shared" si="2"/>
        <v/>
      </c>
    </row>
    <row r="25" spans="2:7" x14ac:dyDescent="0.4">
      <c r="B25" s="28" t="str">
        <f>IF(기초자료입력!B50&lt;&gt;"",기초자료입력!B50,"")</f>
        <v/>
      </c>
      <c r="C25" s="28" t="str">
        <f>IF(기초자료입력!B50="","",IF(OR(기초자료입력!C50="",기초자료입력!D50="",기초자료입력!E50="",기초자료입력!F50=""),"",기초자료입력!C50+기초자료입력!D50+기초자료입력!E50+기초자료입력!F50))</f>
        <v/>
      </c>
      <c r="D25" s="28" t="str">
        <f>IF(기초자료입력!B50="","",IF(OR(기초자료입력!H50="",기초자료입력!I50="",기초자료입력!J50="",기초자료입력!K50="",기초자료입력!L50=""),"",기초자료입력!H50+기초자료입력!I50+기초자료입력!J50+기초자료입력!K50+기초자료입력!L50))</f>
        <v/>
      </c>
      <c r="E25" s="28" t="str">
        <f t="shared" si="0"/>
        <v/>
      </c>
      <c r="F25" s="28" t="str">
        <f t="shared" si="1"/>
        <v/>
      </c>
      <c r="G25" s="28" t="str">
        <f t="shared" si="2"/>
        <v/>
      </c>
    </row>
    <row r="26" spans="2:7" x14ac:dyDescent="0.4">
      <c r="B26" s="28" t="str">
        <f>IF(기초자료입력!B51&lt;&gt;"",기초자료입력!B51,"")</f>
        <v/>
      </c>
      <c r="C26" s="28" t="str">
        <f>IF(기초자료입력!B51="","",IF(OR(기초자료입력!C51="",기초자료입력!D51="",기초자료입력!E51="",기초자료입력!F51=""),"",기초자료입력!C51+기초자료입력!D51+기초자료입력!E51+기초자료입력!F51))</f>
        <v/>
      </c>
      <c r="D26" s="28" t="str">
        <f>IF(기초자료입력!B51="","",IF(OR(기초자료입력!H51="",기초자료입력!I51="",기초자료입력!J51="",기초자료입력!K51="",기초자료입력!L51=""),"",기초자료입력!H51+기초자료입력!I51+기초자료입력!J51+기초자료입력!K51+기초자료입력!L51))</f>
        <v/>
      </c>
      <c r="E26" s="28" t="str">
        <f t="shared" si="0"/>
        <v/>
      </c>
      <c r="F26" s="28" t="str">
        <f t="shared" si="1"/>
        <v/>
      </c>
      <c r="G26" s="28" t="str">
        <f t="shared" si="2"/>
        <v/>
      </c>
    </row>
    <row r="27" spans="2:7" x14ac:dyDescent="0.4">
      <c r="B27" s="28" t="str">
        <f>IF(기초자료입력!B52&lt;&gt;"",기초자료입력!B52,"")</f>
        <v/>
      </c>
      <c r="C27" s="28" t="str">
        <f>IF(기초자료입력!B52="","",IF(OR(기초자료입력!C52="",기초자료입력!D52="",기초자료입력!E52="",기초자료입력!F52=""),"",기초자료입력!C52+기초자료입력!D52+기초자료입력!E52+기초자료입력!F52))</f>
        <v/>
      </c>
      <c r="D27" s="28" t="str">
        <f>IF(기초자료입력!B52="","",IF(OR(기초자료입력!H52="",기초자료입력!I52="",기초자료입력!J52="",기초자료입력!K52="",기초자료입력!L52=""),"",기초자료입력!H52+기초자료입력!I52+기초자료입력!J52+기초자료입력!K52+기초자료입력!L52))</f>
        <v/>
      </c>
      <c r="E27" s="28" t="str">
        <f t="shared" si="0"/>
        <v/>
      </c>
      <c r="F27" s="28" t="str">
        <f t="shared" si="1"/>
        <v/>
      </c>
      <c r="G27" s="28" t="str">
        <f t="shared" si="2"/>
        <v/>
      </c>
    </row>
    <row r="28" spans="2:7" x14ac:dyDescent="0.4">
      <c r="B28" s="28" t="str">
        <f>IF(기초자료입력!B53&lt;&gt;"",기초자료입력!B53,"")</f>
        <v/>
      </c>
      <c r="C28" s="28" t="str">
        <f>IF(기초자료입력!B53="","",IF(OR(기초자료입력!C53="",기초자료입력!D53="",기초자료입력!E53="",기초자료입력!F53=""),"",기초자료입력!C53+기초자료입력!D53+기초자료입력!E53+기초자료입력!F53))</f>
        <v/>
      </c>
      <c r="D28" s="28" t="str">
        <f>IF(기초자료입력!B53="","",IF(OR(기초자료입력!H53="",기초자료입력!I53="",기초자료입력!J53="",기초자료입력!K53="",기초자료입력!L53=""),"",기초자료입력!H53+기초자료입력!I53+기초자료입력!J53+기초자료입력!K53+기초자료입력!L53))</f>
        <v/>
      </c>
      <c r="E28" s="28" t="str">
        <f t="shared" si="0"/>
        <v/>
      </c>
      <c r="F28" s="28" t="str">
        <f t="shared" si="1"/>
        <v/>
      </c>
      <c r="G28" s="28" t="str">
        <f t="shared" si="2"/>
        <v/>
      </c>
    </row>
    <row r="29" spans="2:7" x14ac:dyDescent="0.4">
      <c r="B29" s="76" t="s">
        <v>701</v>
      </c>
      <c r="C29" s="76"/>
      <c r="D29" s="76"/>
      <c r="E29" s="76"/>
      <c r="F29" s="76"/>
      <c r="G29" s="76"/>
    </row>
    <row r="30" spans="2:7" x14ac:dyDescent="0.4">
      <c r="B30" s="86" t="s">
        <v>702</v>
      </c>
      <c r="C30" s="86"/>
      <c r="D30" s="86"/>
      <c r="E30" s="86"/>
      <c r="F30" s="86"/>
      <c r="G30" s="86"/>
    </row>
    <row r="31" spans="2:7" x14ac:dyDescent="0.4">
      <c r="B31" s="86"/>
      <c r="C31" s="86"/>
      <c r="D31" s="86"/>
      <c r="E31" s="86"/>
      <c r="F31" s="86"/>
      <c r="G31" s="86"/>
    </row>
    <row r="32" spans="2:7" x14ac:dyDescent="0.4">
      <c r="B32" s="86"/>
      <c r="C32" s="86"/>
      <c r="D32" s="86"/>
      <c r="E32" s="86"/>
      <c r="F32" s="86"/>
      <c r="G32" s="86"/>
    </row>
    <row r="33" spans="2:7" x14ac:dyDescent="0.4">
      <c r="B33" s="86"/>
      <c r="C33" s="86"/>
      <c r="D33" s="86"/>
      <c r="E33" s="86"/>
      <c r="F33" s="86"/>
      <c r="G33" s="86"/>
    </row>
    <row r="34" spans="2:7" x14ac:dyDescent="0.4">
      <c r="B34" s="86"/>
      <c r="C34" s="86"/>
      <c r="D34" s="86"/>
      <c r="E34" s="86"/>
      <c r="F34" s="86"/>
      <c r="G34" s="86"/>
    </row>
    <row r="35" spans="2:7" x14ac:dyDescent="0.4">
      <c r="B35" s="37"/>
      <c r="C35" s="37"/>
      <c r="D35" s="37"/>
      <c r="E35" s="37"/>
      <c r="F35" s="37"/>
      <c r="G35" s="37"/>
    </row>
    <row r="36" spans="2:7" x14ac:dyDescent="0.4">
      <c r="B36" s="37"/>
      <c r="C36" s="37"/>
      <c r="D36" s="37"/>
      <c r="E36" s="37"/>
      <c r="F36" s="37"/>
      <c r="G36" s="37"/>
    </row>
    <row r="37" spans="2:7" x14ac:dyDescent="0.4">
      <c r="B37" s="37"/>
      <c r="C37" s="37"/>
      <c r="D37" s="37"/>
      <c r="E37" s="37"/>
      <c r="F37" s="52" t="s">
        <v>278</v>
      </c>
      <c r="G37" s="52" t="s">
        <v>279</v>
      </c>
    </row>
    <row r="38" spans="2:7" x14ac:dyDescent="0.4">
      <c r="B38" s="52" t="s">
        <v>290</v>
      </c>
      <c r="C38" s="76" t="str">
        <f>IF(기초자료입력!C9&lt;&gt;"",기초자료입력!C9,"")</f>
        <v/>
      </c>
      <c r="D38" s="76"/>
      <c r="E38" s="76"/>
      <c r="F38" s="52" t="s">
        <v>291</v>
      </c>
      <c r="G38" s="37"/>
    </row>
  </sheetData>
  <mergeCells count="13">
    <mergeCell ref="B13:H14"/>
    <mergeCell ref="B3:H4"/>
    <mergeCell ref="C7:H7"/>
    <mergeCell ref="C8:H8"/>
    <mergeCell ref="C9:H9"/>
    <mergeCell ref="B11:H11"/>
    <mergeCell ref="C38:E38"/>
    <mergeCell ref="B17:B18"/>
    <mergeCell ref="C17:E17"/>
    <mergeCell ref="F17:F18"/>
    <mergeCell ref="G17:G18"/>
    <mergeCell ref="B29:G29"/>
    <mergeCell ref="B30:G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A50AC-FB64-4261-8700-CBF616910802}">
  <sheetPr codeName="Sheet10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16.69921875" customWidth="1"/>
    <col min="4" max="8" width="10.69921875" customWidth="1"/>
  </cols>
  <sheetData>
    <row r="1" spans="1:8" x14ac:dyDescent="0.4">
      <c r="A1" s="20" t="s">
        <v>688</v>
      </c>
    </row>
    <row r="3" spans="1:8" x14ac:dyDescent="0.4">
      <c r="B3" s="87" t="str">
        <f>IF(기초자료입력!C4&lt;&gt;"",기초자료입력!C4,"○○학교")&amp;" 교복 구매 제안서 정량평가 결과"</f>
        <v>○○학교 교복 구매 제안서 정량평가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274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275</v>
      </c>
      <c r="C7" s="89" t="s">
        <v>495</v>
      </c>
      <c r="D7" s="89"/>
      <c r="E7" s="89"/>
      <c r="F7" s="89"/>
      <c r="G7" s="89"/>
      <c r="H7" s="89"/>
    </row>
    <row r="8" spans="1:8" x14ac:dyDescent="0.4">
      <c r="B8" s="53" t="s">
        <v>282</v>
      </c>
      <c r="C8" s="89"/>
      <c r="D8" s="89"/>
      <c r="E8" s="89"/>
      <c r="F8" s="89"/>
      <c r="G8" s="89"/>
      <c r="H8" s="89"/>
    </row>
    <row r="9" spans="1:8" x14ac:dyDescent="0.4">
      <c r="B9" s="53" t="s">
        <v>276</v>
      </c>
      <c r="C9" s="91" t="str">
        <f>IF(기초자료입력!C22&lt;&gt;"",기초자료입력!C22,IF(기초자료입력!C5&lt;&gt;"",기초자료입력!C5,"20○○")&amp;"학년도 교복 학교주관구매 제안서 정량평가 결과 보고")</f>
        <v>20○○학년도 교복 학교주관구매 제안서 정량평가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입찰(규격가격동시) 공고와 관련하여 접수된 제안서에 대한 정량평가를 실시하고, 그 결과를 아래와 같이 보고합니다."</f>
        <v>2. 20○○학년도 교복 학교주관구매 2단계 입찰(규격가격동시) 공고와 관련하여 접수된 제안서에 대한 정량평가를 실시하고, 그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689</v>
      </c>
      <c r="C16" s="76"/>
      <c r="D16" s="76"/>
      <c r="E16" s="76"/>
      <c r="F16" s="76"/>
      <c r="G16" s="76"/>
      <c r="H16" s="76"/>
    </row>
    <row r="17" spans="2:8" x14ac:dyDescent="0.4">
      <c r="B17" s="85" t="s">
        <v>505</v>
      </c>
      <c r="C17" s="85" t="s">
        <v>60</v>
      </c>
      <c r="D17" s="85" t="s">
        <v>314</v>
      </c>
      <c r="E17" s="85"/>
      <c r="F17" s="85"/>
      <c r="G17" s="85"/>
      <c r="H17" s="85"/>
    </row>
    <row r="18" spans="2:8" x14ac:dyDescent="0.4">
      <c r="B18" s="85"/>
      <c r="C18" s="85"/>
      <c r="D18" s="60" t="s">
        <v>690</v>
      </c>
      <c r="E18" s="60" t="s">
        <v>691</v>
      </c>
      <c r="F18" s="60" t="s">
        <v>692</v>
      </c>
      <c r="G18" s="60" t="s">
        <v>693</v>
      </c>
      <c r="H18" s="60" t="s">
        <v>280</v>
      </c>
    </row>
    <row r="19" spans="2:8" x14ac:dyDescent="0.4">
      <c r="B19" s="28" t="str">
        <f>IF(기초자료입력!B44&lt;&gt;"",1,"")</f>
        <v/>
      </c>
      <c r="C19" s="28" t="str">
        <f>IF(기초자료입력!B44&lt;&gt;"",기초자료입력!B44,"")</f>
        <v/>
      </c>
      <c r="D19" s="28" t="str">
        <f>IF(OR(기초자료입력!B44="",기초자료입력!C44=""),"",기초자료입력!C44)</f>
        <v/>
      </c>
      <c r="E19" s="28" t="str">
        <f>IF(OR(기초자료입력!B44="",기초자료입력!D44=""),"",기초자료입력!D44)</f>
        <v/>
      </c>
      <c r="F19" s="28" t="str">
        <f>IF(OR(기초자료입력!B44="",기초자료입력!E44=""),"",기초자료입력!E44)</f>
        <v/>
      </c>
      <c r="G19" s="28" t="str">
        <f>IF(OR(기초자료입력!B44="",기초자료입력!F44=""),"",기초자료입력!F44)</f>
        <v/>
      </c>
      <c r="H19" s="28" t="str">
        <f>IF(기초자료입력!B44="","",IF(OR(D19="",E19="",F19="",G19=""),"",D19+E19+F19+G19))</f>
        <v/>
      </c>
    </row>
    <row r="20" spans="2:8" x14ac:dyDescent="0.4">
      <c r="B20" s="28" t="str">
        <f>IF(기초자료입력!B45&lt;&gt;"",2,"")</f>
        <v/>
      </c>
      <c r="C20" s="28" t="str">
        <f>IF(기초자료입력!B45&lt;&gt;"",기초자료입력!B45,"")</f>
        <v/>
      </c>
      <c r="D20" s="28" t="str">
        <f>IF(OR(기초자료입력!B45="",기초자료입력!C45=""),"",기초자료입력!C45)</f>
        <v/>
      </c>
      <c r="E20" s="28" t="str">
        <f>IF(OR(기초자료입력!B45="",기초자료입력!D45=""),"",기초자료입력!D45)</f>
        <v/>
      </c>
      <c r="F20" s="28" t="str">
        <f>IF(OR(기초자료입력!B45="",기초자료입력!E45=""),"",기초자료입력!E45)</f>
        <v/>
      </c>
      <c r="G20" s="28" t="str">
        <f>IF(OR(기초자료입력!B45="",기초자료입력!F45=""),"",기초자료입력!F45)</f>
        <v/>
      </c>
      <c r="H20" s="28" t="str">
        <f>IF(기초자료입력!B45="","",IF(OR(D20="",E20="",F20="",G20=""),"",D20+E20+F20+G20))</f>
        <v/>
      </c>
    </row>
    <row r="21" spans="2:8" x14ac:dyDescent="0.4">
      <c r="B21" s="28" t="str">
        <f>IF(기초자료입력!B46&lt;&gt;"",3,"")</f>
        <v/>
      </c>
      <c r="C21" s="28" t="str">
        <f>IF(기초자료입력!B46&lt;&gt;"",기초자료입력!B46,"")</f>
        <v/>
      </c>
      <c r="D21" s="28" t="str">
        <f>IF(OR(기초자료입력!B46="",기초자료입력!C46=""),"",기초자료입력!C46)</f>
        <v/>
      </c>
      <c r="E21" s="28" t="str">
        <f>IF(OR(기초자료입력!B46="",기초자료입력!D46=""),"",기초자료입력!D46)</f>
        <v/>
      </c>
      <c r="F21" s="28" t="str">
        <f>IF(OR(기초자료입력!B46="",기초자료입력!E46=""),"",기초자료입력!E46)</f>
        <v/>
      </c>
      <c r="G21" s="28" t="str">
        <f>IF(OR(기초자료입력!B46="",기초자료입력!F46=""),"",기초자료입력!F46)</f>
        <v/>
      </c>
      <c r="H21" s="28" t="str">
        <f>IF(기초자료입력!B46="","",IF(OR(D21="",E21="",F21="",G21=""),"",D21+E21+F21+G21))</f>
        <v/>
      </c>
    </row>
    <row r="22" spans="2:8" x14ac:dyDescent="0.4">
      <c r="B22" s="28" t="str">
        <f>IF(기초자료입력!B47&lt;&gt;"",4,"")</f>
        <v/>
      </c>
      <c r="C22" s="28" t="str">
        <f>IF(기초자료입력!B47&lt;&gt;"",기초자료입력!B47,"")</f>
        <v/>
      </c>
      <c r="D22" s="28" t="str">
        <f>IF(OR(기초자료입력!B47="",기초자료입력!C47=""),"",기초자료입력!C47)</f>
        <v/>
      </c>
      <c r="E22" s="28" t="str">
        <f>IF(OR(기초자료입력!B47="",기초자료입력!D47=""),"",기초자료입력!D47)</f>
        <v/>
      </c>
      <c r="F22" s="28" t="str">
        <f>IF(OR(기초자료입력!B47="",기초자료입력!E47=""),"",기초자료입력!E47)</f>
        <v/>
      </c>
      <c r="G22" s="28" t="str">
        <f>IF(OR(기초자료입력!B47="",기초자료입력!F47=""),"",기초자료입력!F47)</f>
        <v/>
      </c>
      <c r="H22" s="28" t="str">
        <f>IF(기초자료입력!B47="","",IF(OR(D22="",E22="",F22="",G22=""),"",D22+E22+F22+G22))</f>
        <v/>
      </c>
    </row>
    <row r="23" spans="2:8" x14ac:dyDescent="0.4">
      <c r="B23" s="28" t="str">
        <f>IF(기초자료입력!B48&lt;&gt;"",5,"")</f>
        <v/>
      </c>
      <c r="C23" s="28" t="str">
        <f>IF(기초자료입력!B48&lt;&gt;"",기초자료입력!B48,"")</f>
        <v/>
      </c>
      <c r="D23" s="28" t="str">
        <f>IF(OR(기초자료입력!B48="",기초자료입력!C48=""),"",기초자료입력!C48)</f>
        <v/>
      </c>
      <c r="E23" s="28" t="str">
        <f>IF(OR(기초자료입력!B48="",기초자료입력!D48=""),"",기초자료입력!D48)</f>
        <v/>
      </c>
      <c r="F23" s="28" t="str">
        <f>IF(OR(기초자료입력!B48="",기초자료입력!E48=""),"",기초자료입력!E48)</f>
        <v/>
      </c>
      <c r="G23" s="28" t="str">
        <f>IF(OR(기초자료입력!B48="",기초자료입력!F48=""),"",기초자료입력!F48)</f>
        <v/>
      </c>
      <c r="H23" s="28" t="str">
        <f>IF(기초자료입력!B48="","",IF(OR(D23="",E23="",F23="",G23=""),"",D23+E23+F23+G23))</f>
        <v/>
      </c>
    </row>
    <row r="24" spans="2:8" x14ac:dyDescent="0.4">
      <c r="B24" s="28" t="str">
        <f>IF(기초자료입력!B49&lt;&gt;"",6,"")</f>
        <v/>
      </c>
      <c r="C24" s="28" t="str">
        <f>IF(기초자료입력!B49&lt;&gt;"",기초자료입력!B49,"")</f>
        <v/>
      </c>
      <c r="D24" s="28" t="str">
        <f>IF(OR(기초자료입력!B49="",기초자료입력!C49=""),"",기초자료입력!C49)</f>
        <v/>
      </c>
      <c r="E24" s="28" t="str">
        <f>IF(OR(기초자료입력!B49="",기초자료입력!D49=""),"",기초자료입력!D49)</f>
        <v/>
      </c>
      <c r="F24" s="28" t="str">
        <f>IF(OR(기초자료입력!B49="",기초자료입력!E49=""),"",기초자료입력!E49)</f>
        <v/>
      </c>
      <c r="G24" s="28" t="str">
        <f>IF(OR(기초자료입력!B49="",기초자료입력!F49=""),"",기초자료입력!F49)</f>
        <v/>
      </c>
      <c r="H24" s="28" t="str">
        <f>IF(기초자료입력!B49="","",IF(OR(D24="",E24="",F24="",G24=""),"",D24+E24+F24+G24))</f>
        <v/>
      </c>
    </row>
    <row r="25" spans="2:8" x14ac:dyDescent="0.4">
      <c r="B25" s="28" t="str">
        <f>IF(기초자료입력!B50&lt;&gt;"",7,"")</f>
        <v/>
      </c>
      <c r="C25" s="28" t="str">
        <f>IF(기초자료입력!B50&lt;&gt;"",기초자료입력!B50,"")</f>
        <v/>
      </c>
      <c r="D25" s="28" t="str">
        <f>IF(OR(기초자료입력!B50="",기초자료입력!C50=""),"",기초자료입력!C50)</f>
        <v/>
      </c>
      <c r="E25" s="28" t="str">
        <f>IF(OR(기초자료입력!B50="",기초자료입력!D50=""),"",기초자료입력!D50)</f>
        <v/>
      </c>
      <c r="F25" s="28" t="str">
        <f>IF(OR(기초자료입력!B50="",기초자료입력!E50=""),"",기초자료입력!E50)</f>
        <v/>
      </c>
      <c r="G25" s="28" t="str">
        <f>IF(OR(기초자료입력!B50="",기초자료입력!F50=""),"",기초자료입력!F50)</f>
        <v/>
      </c>
      <c r="H25" s="28" t="str">
        <f>IF(기초자료입력!B50="","",IF(OR(D25="",E25="",F25="",G25=""),"",D25+E25+F25+G25))</f>
        <v/>
      </c>
    </row>
    <row r="26" spans="2:8" x14ac:dyDescent="0.4">
      <c r="B26" s="28" t="str">
        <f>IF(기초자료입력!B51&lt;&gt;"",8,"")</f>
        <v/>
      </c>
      <c r="C26" s="28" t="str">
        <f>IF(기초자료입력!B51&lt;&gt;"",기초자료입력!B51,"")</f>
        <v/>
      </c>
      <c r="D26" s="28" t="str">
        <f>IF(OR(기초자료입력!B51="",기초자료입력!C51=""),"",기초자료입력!C51)</f>
        <v/>
      </c>
      <c r="E26" s="28" t="str">
        <f>IF(OR(기초자료입력!B51="",기초자료입력!D51=""),"",기초자료입력!D51)</f>
        <v/>
      </c>
      <c r="F26" s="28" t="str">
        <f>IF(OR(기초자료입력!B51="",기초자료입력!E51=""),"",기초자료입력!E51)</f>
        <v/>
      </c>
      <c r="G26" s="28" t="str">
        <f>IF(OR(기초자료입력!B51="",기초자료입력!F51=""),"",기초자료입력!F51)</f>
        <v/>
      </c>
      <c r="H26" s="28" t="str">
        <f>IF(기초자료입력!B51="","",IF(OR(D26="",E26="",F26="",G26=""),"",D26+E26+F26+G26))</f>
        <v/>
      </c>
    </row>
    <row r="27" spans="2:8" x14ac:dyDescent="0.4">
      <c r="B27" s="28" t="str">
        <f>IF(기초자료입력!B52&lt;&gt;"",9,"")</f>
        <v/>
      </c>
      <c r="C27" s="28" t="str">
        <f>IF(기초자료입력!B52&lt;&gt;"",기초자료입력!B52,"")</f>
        <v/>
      </c>
      <c r="D27" s="28" t="str">
        <f>IF(OR(기초자료입력!B52="",기초자료입력!C52=""),"",기초자료입력!C52)</f>
        <v/>
      </c>
      <c r="E27" s="28" t="str">
        <f>IF(OR(기초자료입력!B52="",기초자료입력!D52=""),"",기초자료입력!D52)</f>
        <v/>
      </c>
      <c r="F27" s="28" t="str">
        <f>IF(OR(기초자료입력!B52="",기초자료입력!E52=""),"",기초자료입력!E52)</f>
        <v/>
      </c>
      <c r="G27" s="28" t="str">
        <f>IF(OR(기초자료입력!B52="",기초자료입력!F52=""),"",기초자료입력!F52)</f>
        <v/>
      </c>
      <c r="H27" s="28" t="str">
        <f>IF(기초자료입력!B52="","",IF(OR(D27="",E27="",F27="",G27=""),"",D27+E27+F27+G27))</f>
        <v/>
      </c>
    </row>
    <row r="28" spans="2:8" x14ac:dyDescent="0.4">
      <c r="B28" s="28" t="str">
        <f>IF(기초자료입력!B53&lt;&gt;"",10,"")</f>
        <v/>
      </c>
      <c r="C28" s="28" t="str">
        <f>IF(기초자료입력!B53&lt;&gt;"",기초자료입력!B53,"")</f>
        <v/>
      </c>
      <c r="D28" s="28" t="str">
        <f>IF(OR(기초자료입력!B53="",기초자료입력!C53=""),"",기초자료입력!C53)</f>
        <v/>
      </c>
      <c r="E28" s="28" t="str">
        <f>IF(OR(기초자료입력!B53="",기초자료입력!D53=""),"",기초자료입력!D53)</f>
        <v/>
      </c>
      <c r="F28" s="28" t="str">
        <f>IF(OR(기초자료입력!B53="",기초자료입력!E53=""),"",기초자료입력!E53)</f>
        <v/>
      </c>
      <c r="G28" s="28" t="str">
        <f>IF(OR(기초자료입력!B53="",기초자료입력!F53=""),"",기초자료입력!F53)</f>
        <v/>
      </c>
      <c r="H28" s="28" t="str">
        <f>IF(기초자료입력!B53="","",IF(OR(D28="",E28="",F28="",G28=""),"",D28+E28+F28+G28))</f>
        <v/>
      </c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86" t="s">
        <v>694</v>
      </c>
      <c r="C30" s="86"/>
      <c r="D30" s="86"/>
      <c r="E30" s="86"/>
      <c r="F30" s="86"/>
      <c r="G30" s="86"/>
      <c r="H30" s="8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278</v>
      </c>
      <c r="G33" s="53" t="s">
        <v>289</v>
      </c>
      <c r="H33" s="53" t="s">
        <v>279</v>
      </c>
    </row>
    <row r="34" spans="2:8" x14ac:dyDescent="0.4">
      <c r="B34" s="52" t="s">
        <v>290</v>
      </c>
      <c r="C34" s="76" t="str">
        <f>IF(기초자료입력!C9&lt;&gt;"",기초자료입력!C9,"")</f>
        <v/>
      </c>
      <c r="D34" s="76"/>
      <c r="E34" s="76"/>
      <c r="F34" s="53" t="s">
        <v>291</v>
      </c>
      <c r="G34" s="89"/>
      <c r="H34" s="89"/>
    </row>
    <row r="35" spans="2:8" x14ac:dyDescent="0.4">
      <c r="B35" s="52" t="s">
        <v>292</v>
      </c>
      <c r="C35" s="37"/>
      <c r="D35" s="52" t="s">
        <v>293</v>
      </c>
      <c r="E35" s="76"/>
      <c r="F35" s="89"/>
      <c r="G35" s="89"/>
      <c r="H35" s="89"/>
    </row>
    <row r="36" spans="2:8" x14ac:dyDescent="0.4">
      <c r="B36" s="52" t="s">
        <v>294</v>
      </c>
      <c r="C36" s="37"/>
      <c r="D36" s="52" t="s">
        <v>295</v>
      </c>
      <c r="E36" s="37"/>
      <c r="F36" s="53" t="s">
        <v>296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B17:B18"/>
    <mergeCell ref="C17:C18"/>
    <mergeCell ref="D17:H17"/>
    <mergeCell ref="B30:H30"/>
    <mergeCell ref="C34:E34"/>
    <mergeCell ref="G34:H3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1FAFB-4479-4494-B325-7A67955F7695}">
  <sheetPr codeName="Sheet11"/>
  <dimension ref="A1:H38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4.69921875" customWidth="1"/>
    <col min="4" max="4" width="16.69921875" customWidth="1"/>
    <col min="5" max="5" width="12.69921875" customWidth="1"/>
    <col min="6" max="8" width="8.69921875" customWidth="1"/>
  </cols>
  <sheetData>
    <row r="1" spans="1:8" x14ac:dyDescent="0.4">
      <c r="A1" s="20" t="s">
        <v>683</v>
      </c>
    </row>
    <row r="3" spans="1:8" x14ac:dyDescent="0.4">
      <c r="B3" s="87" t="str">
        <f>IF(기초자료입력!C4&lt;&gt;"",기초자료입력!C4,"○○학교")&amp;" 교복 제안서 평가위원회 개최"</f>
        <v>○○학교 교복 제안서 평가위원회 개최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274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275</v>
      </c>
      <c r="C7" s="89" t="s">
        <v>495</v>
      </c>
      <c r="D7" s="89"/>
      <c r="E7" s="89"/>
      <c r="F7" s="89"/>
      <c r="G7" s="89"/>
      <c r="H7" s="89"/>
    </row>
    <row r="8" spans="1:8" x14ac:dyDescent="0.4">
      <c r="B8" s="53" t="s">
        <v>282</v>
      </c>
      <c r="C8" s="89"/>
      <c r="D8" s="89"/>
      <c r="E8" s="89"/>
      <c r="F8" s="89"/>
      <c r="G8" s="89"/>
      <c r="H8" s="89"/>
    </row>
    <row r="9" spans="1:8" x14ac:dyDescent="0.4">
      <c r="B9" s="53" t="s">
        <v>276</v>
      </c>
      <c r="C9" s="91" t="str">
        <f>IF(기초자료입력!C22&lt;&gt;"",기초자료입력!C22,IF(기초자료입력!C5&lt;&gt;"",기초자료입력!C5,"20○○")&amp;"학년도 교복 학교주관구매 제안서 평가위원회 개최")</f>
        <v>20○○학년도 교복 학교주관구매 제안서 평가위원회 개최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28.05" customHeight="1" x14ac:dyDescent="0.4">
      <c r="B13" s="86" t="str">
        <f>"2. "&amp;IF(기초자료입력!C5&lt;&gt;"",기초자료입력!C5,"20○○")&amp;"학년도 교복 학교주관구매 제안서 평가위원회를 아래와 같이 개최하고자 합니다."</f>
        <v>2. 20○○학년도 교복 학교주관구매 제안서 평가위원회를 아래와 같이 개최하고자 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52" t="s">
        <v>684</v>
      </c>
      <c r="C16" s="92"/>
      <c r="D16" s="76"/>
      <c r="E16" s="76"/>
      <c r="F16" s="76"/>
      <c r="G16" s="76"/>
      <c r="H16" s="76"/>
    </row>
    <row r="17" spans="2:8" x14ac:dyDescent="0.4">
      <c r="B17" s="52" t="s">
        <v>685</v>
      </c>
      <c r="C17" s="92"/>
      <c r="D17" s="76"/>
      <c r="E17" s="76"/>
      <c r="F17" s="76"/>
      <c r="G17" s="76"/>
      <c r="H17" s="76"/>
    </row>
    <row r="18" spans="2:8" x14ac:dyDescent="0.4">
      <c r="B18" s="52" t="s">
        <v>686</v>
      </c>
      <c r="C18" s="76" t="str">
        <f>IF(COUNTA(기초자료입력!B58:B67)&gt;0,"평가위원 "&amp;COUNTA(기초자료입력!B58:B67)&amp;"명","")</f>
        <v/>
      </c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60" t="s">
        <v>505</v>
      </c>
      <c r="C20" s="60" t="s">
        <v>312</v>
      </c>
      <c r="D20" s="60" t="s">
        <v>507</v>
      </c>
      <c r="E20" s="60" t="s">
        <v>301</v>
      </c>
      <c r="F20" s="37"/>
      <c r="G20" s="37"/>
      <c r="H20" s="37"/>
    </row>
    <row r="21" spans="2:8" x14ac:dyDescent="0.4">
      <c r="B21" s="28" t="str">
        <f>IF(기초자료입력!B58&lt;&gt;"",1,"")</f>
        <v/>
      </c>
      <c r="C21" s="28" t="str">
        <f>IF(기초자료입력!B58&lt;&gt;"","위원장","")</f>
        <v/>
      </c>
      <c r="D21" s="28" t="str">
        <f>IF(기초자료입력!C58&lt;&gt;"",기초자료입력!C58,"")</f>
        <v/>
      </c>
      <c r="E21" s="28"/>
      <c r="F21" s="37"/>
      <c r="G21" s="37"/>
      <c r="H21" s="37"/>
    </row>
    <row r="22" spans="2:8" x14ac:dyDescent="0.4">
      <c r="B22" s="28" t="str">
        <f>IF(기초자료입력!B59&lt;&gt;"",2,"")</f>
        <v/>
      </c>
      <c r="C22" s="28" t="str">
        <f>IF(기초자료입력!B59&lt;&gt;"","부위원장","")</f>
        <v/>
      </c>
      <c r="D22" s="28" t="str">
        <f>IF(기초자료입력!C59&lt;&gt;"",기초자료입력!C59,"")</f>
        <v/>
      </c>
      <c r="E22" s="28"/>
      <c r="F22" s="37"/>
      <c r="G22" s="37"/>
      <c r="H22" s="37"/>
    </row>
    <row r="23" spans="2:8" x14ac:dyDescent="0.4">
      <c r="B23" s="28" t="str">
        <f>IF(기초자료입력!B60&lt;&gt;"",3,"")</f>
        <v/>
      </c>
      <c r="C23" s="28" t="str">
        <f>IF(기초자료입력!B60&lt;&gt;"","위원","")</f>
        <v/>
      </c>
      <c r="D23" s="28" t="str">
        <f>IF(기초자료입력!C60&lt;&gt;"",기초자료입력!C60,"")</f>
        <v/>
      </c>
      <c r="E23" s="28"/>
      <c r="F23" s="37"/>
      <c r="G23" s="37"/>
      <c r="H23" s="37"/>
    </row>
    <row r="24" spans="2:8" x14ac:dyDescent="0.4">
      <c r="B24" s="28" t="str">
        <f>IF(기초자료입력!B61&lt;&gt;"",4,"")</f>
        <v/>
      </c>
      <c r="C24" s="28" t="str">
        <f>IF(기초자료입력!B61&lt;&gt;"","위원","")</f>
        <v/>
      </c>
      <c r="D24" s="28" t="str">
        <f>IF(기초자료입력!C61&lt;&gt;"",기초자료입력!C61,"")</f>
        <v/>
      </c>
      <c r="E24" s="28"/>
      <c r="F24" s="37"/>
      <c r="G24" s="37"/>
      <c r="H24" s="37"/>
    </row>
    <row r="25" spans="2:8" x14ac:dyDescent="0.4">
      <c r="B25" s="28" t="str">
        <f>IF(기초자료입력!B62&lt;&gt;"",5,"")</f>
        <v/>
      </c>
      <c r="C25" s="28" t="str">
        <f>IF(기초자료입력!B62&lt;&gt;"","위원","")</f>
        <v/>
      </c>
      <c r="D25" s="28" t="str">
        <f>IF(기초자료입력!C62&lt;&gt;"",기초자료입력!C62,"")</f>
        <v/>
      </c>
      <c r="E25" s="28"/>
      <c r="F25" s="37"/>
      <c r="G25" s="37"/>
      <c r="H25" s="37"/>
    </row>
    <row r="26" spans="2:8" x14ac:dyDescent="0.4">
      <c r="B26" s="28" t="str">
        <f>IF(기초자료입력!B63&lt;&gt;"",6,"")</f>
        <v/>
      </c>
      <c r="C26" s="28" t="str">
        <f>IF(기초자료입력!B63&lt;&gt;"","위원","")</f>
        <v/>
      </c>
      <c r="D26" s="28" t="str">
        <f>IF(기초자료입력!C63&lt;&gt;"",기초자료입력!C63,"")</f>
        <v/>
      </c>
      <c r="E26" s="28"/>
      <c r="F26" s="37"/>
      <c r="G26" s="37"/>
      <c r="H26" s="37"/>
    </row>
    <row r="27" spans="2:8" x14ac:dyDescent="0.4">
      <c r="B27" s="28" t="str">
        <f>IF(기초자료입력!B64&lt;&gt;"",7,"")</f>
        <v/>
      </c>
      <c r="C27" s="28" t="str">
        <f>IF(기초자료입력!B64&lt;&gt;"","위원","")</f>
        <v/>
      </c>
      <c r="D27" s="28" t="str">
        <f>IF(기초자료입력!C64&lt;&gt;"",기초자료입력!C64,"")</f>
        <v/>
      </c>
      <c r="E27" s="28"/>
      <c r="F27" s="37"/>
      <c r="G27" s="37"/>
      <c r="H27" s="37"/>
    </row>
    <row r="28" spans="2:8" x14ac:dyDescent="0.4">
      <c r="B28" s="28" t="str">
        <f>IF(기초자료입력!B65&lt;&gt;"",8,"")</f>
        <v/>
      </c>
      <c r="C28" s="28" t="str">
        <f>IF(기초자료입력!B65&lt;&gt;"","위원","")</f>
        <v/>
      </c>
      <c r="D28" s="28" t="str">
        <f>IF(기초자료입력!C65&lt;&gt;"",기초자료입력!C65,"")</f>
        <v/>
      </c>
      <c r="E28" s="28"/>
      <c r="F28" s="37"/>
      <c r="G28" s="37"/>
      <c r="H28" s="37"/>
    </row>
    <row r="29" spans="2:8" x14ac:dyDescent="0.4">
      <c r="B29" s="28" t="str">
        <f>IF(기초자료입력!B66&lt;&gt;"",9,"")</f>
        <v/>
      </c>
      <c r="C29" s="28" t="str">
        <f>IF(기초자료입력!B66&lt;&gt;"","위원","")</f>
        <v/>
      </c>
      <c r="D29" s="28" t="str">
        <f>IF(기초자료입력!C66&lt;&gt;"",기초자료입력!C66,"")</f>
        <v/>
      </c>
      <c r="E29" s="28"/>
      <c r="F29" s="37"/>
      <c r="G29" s="37"/>
      <c r="H29" s="37"/>
    </row>
    <row r="30" spans="2:8" x14ac:dyDescent="0.4">
      <c r="B30" s="28" t="str">
        <f>IF(기초자료입력!B67&lt;&gt;"",10,"")</f>
        <v/>
      </c>
      <c r="C30" s="28" t="str">
        <f>IF(기초자료입력!B67&lt;&gt;"","위원","")</f>
        <v/>
      </c>
      <c r="D30" s="28" t="str">
        <f>IF(기초자료입력!C67&lt;&gt;"",기초자료입력!C67,"")</f>
        <v/>
      </c>
      <c r="E30" s="28"/>
      <c r="F30" s="37"/>
      <c r="G30" s="37"/>
      <c r="H30" s="37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76" t="s">
        <v>687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37"/>
      <c r="G34" s="37"/>
      <c r="H34" s="37"/>
    </row>
    <row r="35" spans="2:8" x14ac:dyDescent="0.4">
      <c r="B35" s="37"/>
      <c r="C35" s="37"/>
      <c r="D35" s="37"/>
      <c r="E35" s="37"/>
      <c r="F35" s="53" t="s">
        <v>278</v>
      </c>
      <c r="G35" s="53" t="s">
        <v>289</v>
      </c>
      <c r="H35" s="53" t="s">
        <v>279</v>
      </c>
    </row>
    <row r="36" spans="2:8" x14ac:dyDescent="0.4">
      <c r="B36" s="52" t="s">
        <v>290</v>
      </c>
      <c r="C36" s="76" t="str">
        <f>IF(기초자료입력!C9&lt;&gt;"",기초자료입력!C9,"")</f>
        <v/>
      </c>
      <c r="D36" s="76"/>
      <c r="E36" s="76"/>
      <c r="F36" s="53" t="s">
        <v>291</v>
      </c>
      <c r="G36" s="89"/>
      <c r="H36" s="89"/>
    </row>
    <row r="37" spans="2:8" x14ac:dyDescent="0.4">
      <c r="B37" s="52" t="s">
        <v>292</v>
      </c>
      <c r="C37" s="37"/>
      <c r="D37" s="52" t="s">
        <v>293</v>
      </c>
      <c r="E37" s="76"/>
      <c r="F37" s="89"/>
      <c r="G37" s="89"/>
      <c r="H37" s="89"/>
    </row>
    <row r="38" spans="2:8" x14ac:dyDescent="0.4">
      <c r="B38" s="52" t="s">
        <v>294</v>
      </c>
      <c r="C38" s="37"/>
      <c r="D38" s="52" t="s">
        <v>295</v>
      </c>
      <c r="E38" s="37"/>
      <c r="F38" s="53" t="s">
        <v>296</v>
      </c>
      <c r="G38" s="89"/>
      <c r="H38" s="89"/>
    </row>
  </sheetData>
  <mergeCells count="14">
    <mergeCell ref="B13:H14"/>
    <mergeCell ref="B3:H4"/>
    <mergeCell ref="C7:H7"/>
    <mergeCell ref="C8:H8"/>
    <mergeCell ref="C9:H9"/>
    <mergeCell ref="B11:H11"/>
    <mergeCell ref="E37:H37"/>
    <mergeCell ref="G38:H38"/>
    <mergeCell ref="C16:H16"/>
    <mergeCell ref="C17:H17"/>
    <mergeCell ref="C18:H18"/>
    <mergeCell ref="B32:H32"/>
    <mergeCell ref="C36:E36"/>
    <mergeCell ref="G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2D014-5680-4453-9419-5C57FECE5BC7}">
  <sheetPr codeName="Sheet12"/>
  <dimension ref="A1:Q21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6.69921875" customWidth="1"/>
    <col min="5" max="12" width="8.69921875" customWidth="1"/>
  </cols>
  <sheetData>
    <row r="1" spans="1:17" x14ac:dyDescent="0.4">
      <c r="A1" s="20" t="s">
        <v>670</v>
      </c>
    </row>
    <row r="3" spans="1:17" x14ac:dyDescent="0.4">
      <c r="B3" s="77" t="str">
        <f>IF(기초자료입력!C5&lt;&gt;"",기초자료입력!C5,"20○○")&amp;"학년도 교복 학교주관구매 제안서 접수대장"</f>
        <v>20○○학년도 교복 학교주관구매 제안서 접수대장</v>
      </c>
      <c r="C3" s="78"/>
      <c r="D3" s="78"/>
      <c r="E3" s="78"/>
      <c r="F3" s="78"/>
      <c r="G3" s="78"/>
      <c r="H3" s="78"/>
      <c r="I3" s="78"/>
      <c r="J3" s="78"/>
      <c r="K3" s="78"/>
      <c r="L3" s="78"/>
    </row>
    <row r="4" spans="1:17" x14ac:dyDescent="0.4">
      <c r="B4" s="78" t="str">
        <f>IF(기초자료입력!C4&lt;&gt;"",기초자료입력!C4,"○○학교")</f>
        <v>○○학교</v>
      </c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7" x14ac:dyDescent="0.4"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</row>
    <row r="6" spans="1:17" ht="30" customHeight="1" x14ac:dyDescent="0.4">
      <c r="B6" s="82" t="s">
        <v>671</v>
      </c>
      <c r="C6" s="82" t="s">
        <v>672</v>
      </c>
      <c r="D6" s="82" t="s">
        <v>673</v>
      </c>
      <c r="E6" s="82"/>
      <c r="F6" s="82"/>
      <c r="G6" s="82" t="s">
        <v>674</v>
      </c>
      <c r="H6" s="82"/>
      <c r="I6" s="82"/>
      <c r="J6" s="82" t="s">
        <v>675</v>
      </c>
      <c r="K6" s="82"/>
      <c r="L6" s="82" t="s">
        <v>301</v>
      </c>
    </row>
    <row r="7" spans="1:17" ht="30" customHeight="1" x14ac:dyDescent="0.4">
      <c r="B7" s="82"/>
      <c r="C7" s="82"/>
      <c r="D7" s="63" t="s">
        <v>60</v>
      </c>
      <c r="E7" s="63" t="s">
        <v>367</v>
      </c>
      <c r="F7" s="63" t="s">
        <v>294</v>
      </c>
      <c r="G7" s="63" t="s">
        <v>676</v>
      </c>
      <c r="H7" s="63" t="s">
        <v>677</v>
      </c>
      <c r="I7" s="63" t="s">
        <v>605</v>
      </c>
      <c r="J7" s="63" t="s">
        <v>678</v>
      </c>
      <c r="K7" s="63" t="s">
        <v>676</v>
      </c>
      <c r="L7" s="82"/>
      <c r="M7" t="s">
        <v>294</v>
      </c>
      <c r="N7" s="27" t="s">
        <v>676</v>
      </c>
      <c r="O7" t="s">
        <v>677</v>
      </c>
      <c r="P7" t="s">
        <v>679</v>
      </c>
      <c r="Q7" t="s">
        <v>680</v>
      </c>
    </row>
    <row r="8" spans="1:17" x14ac:dyDescent="0.4">
      <c r="B8" s="64"/>
      <c r="C8" s="65" t="str">
        <f>IF(기초자료입력!B44&lt;&gt;"",1,"")</f>
        <v/>
      </c>
      <c r="D8" s="65" t="str">
        <f>IF(기초자료입력!B44&lt;&gt;"",기초자료입력!B44,"")</f>
        <v/>
      </c>
      <c r="E8" s="64"/>
      <c r="F8" s="64"/>
      <c r="G8" s="64"/>
      <c r="H8" s="64"/>
      <c r="I8" s="64"/>
      <c r="J8" s="64"/>
      <c r="K8" s="64"/>
      <c r="L8" s="64"/>
    </row>
    <row r="9" spans="1:17" x14ac:dyDescent="0.4">
      <c r="B9" s="64"/>
      <c r="C9" s="65" t="str">
        <f>IF(기초자료입력!B45&lt;&gt;"",2,"")</f>
        <v/>
      </c>
      <c r="D9" s="65" t="str">
        <f>IF(기초자료입력!B45&lt;&gt;"",기초자료입력!B45,"")</f>
        <v/>
      </c>
      <c r="E9" s="64"/>
      <c r="F9" s="64"/>
      <c r="G9" s="64"/>
      <c r="H9" s="64"/>
      <c r="I9" s="64"/>
      <c r="J9" s="64"/>
      <c r="K9" s="64"/>
      <c r="L9" s="64"/>
    </row>
    <row r="10" spans="1:17" x14ac:dyDescent="0.4">
      <c r="B10" s="64"/>
      <c r="C10" s="65" t="str">
        <f>IF(기초자료입력!B46&lt;&gt;"",3,"")</f>
        <v/>
      </c>
      <c r="D10" s="65" t="str">
        <f>IF(기초자료입력!B46&lt;&gt;"",기초자료입력!B46,"")</f>
        <v/>
      </c>
      <c r="E10" s="64"/>
      <c r="F10" s="64"/>
      <c r="G10" s="64"/>
      <c r="H10" s="64"/>
      <c r="I10" s="64"/>
      <c r="J10" s="64"/>
      <c r="K10" s="64"/>
      <c r="L10" s="64"/>
    </row>
    <row r="11" spans="1:17" x14ac:dyDescent="0.4">
      <c r="B11" s="64"/>
      <c r="C11" s="65" t="str">
        <f>IF(기초자료입력!B47&lt;&gt;"",4,"")</f>
        <v/>
      </c>
      <c r="D11" s="65" t="str">
        <f>IF(기초자료입력!B47&lt;&gt;"",기초자료입력!B47,"")</f>
        <v/>
      </c>
      <c r="E11" s="64"/>
      <c r="F11" s="64"/>
      <c r="G11" s="64"/>
      <c r="H11" s="64"/>
      <c r="I11" s="64"/>
      <c r="J11" s="64"/>
      <c r="K11" s="64"/>
      <c r="L11" s="64"/>
    </row>
    <row r="12" spans="1:17" x14ac:dyDescent="0.4">
      <c r="B12" s="64"/>
      <c r="C12" s="65" t="str">
        <f>IF(기초자료입력!B48&lt;&gt;"",5,"")</f>
        <v/>
      </c>
      <c r="D12" s="65" t="str">
        <f>IF(기초자료입력!B48&lt;&gt;"",기초자료입력!B48,"")</f>
        <v/>
      </c>
      <c r="E12" s="64"/>
      <c r="F12" s="64"/>
      <c r="G12" s="64"/>
      <c r="H12" s="64"/>
      <c r="I12" s="64"/>
      <c r="J12" s="64"/>
      <c r="K12" s="64"/>
      <c r="L12" s="64"/>
    </row>
    <row r="13" spans="1:17" x14ac:dyDescent="0.4">
      <c r="B13" s="64"/>
      <c r="C13" s="65" t="str">
        <f>IF(기초자료입력!B49&lt;&gt;"",6,"")</f>
        <v/>
      </c>
      <c r="D13" s="65" t="str">
        <f>IF(기초자료입력!B49&lt;&gt;"",기초자료입력!B49,"")</f>
        <v/>
      </c>
      <c r="E13" s="64"/>
      <c r="F13" s="64"/>
      <c r="G13" s="64"/>
      <c r="H13" s="64"/>
      <c r="I13" s="64"/>
      <c r="J13" s="64"/>
      <c r="K13" s="64"/>
      <c r="L13" s="64"/>
    </row>
    <row r="14" spans="1:17" x14ac:dyDescent="0.4">
      <c r="B14" s="64"/>
      <c r="C14" s="65" t="str">
        <f>IF(기초자료입력!B50&lt;&gt;"",7,"")</f>
        <v/>
      </c>
      <c r="D14" s="65" t="str">
        <f>IF(기초자료입력!B50&lt;&gt;"",기초자료입력!B50,"")</f>
        <v/>
      </c>
      <c r="E14" s="64"/>
      <c r="F14" s="64"/>
      <c r="G14" s="64"/>
      <c r="H14" s="64"/>
      <c r="I14" s="64"/>
      <c r="J14" s="64"/>
      <c r="K14" s="64"/>
      <c r="L14" s="64"/>
    </row>
    <row r="15" spans="1:17" x14ac:dyDescent="0.4">
      <c r="B15" s="64"/>
      <c r="C15" s="65" t="str">
        <f>IF(기초자료입력!B51&lt;&gt;"",8,"")</f>
        <v/>
      </c>
      <c r="D15" s="65" t="str">
        <f>IF(기초자료입력!B51&lt;&gt;"",기초자료입력!B51,"")</f>
        <v/>
      </c>
      <c r="E15" s="64"/>
      <c r="F15" s="64"/>
      <c r="G15" s="64"/>
      <c r="H15" s="64"/>
      <c r="I15" s="64"/>
      <c r="J15" s="64"/>
      <c r="K15" s="64"/>
      <c r="L15" s="64"/>
    </row>
    <row r="16" spans="1:17" x14ac:dyDescent="0.4">
      <c r="B16" s="64"/>
      <c r="C16" s="65" t="str">
        <f>IF(기초자료입력!B52&lt;&gt;"",9,"")</f>
        <v/>
      </c>
      <c r="D16" s="65" t="str">
        <f>IF(기초자료입력!B52&lt;&gt;"",기초자료입력!B52,"")</f>
        <v/>
      </c>
      <c r="E16" s="64"/>
      <c r="F16" s="64"/>
      <c r="G16" s="64"/>
      <c r="H16" s="64"/>
      <c r="I16" s="64"/>
      <c r="J16" s="64"/>
      <c r="K16" s="64"/>
      <c r="L16" s="64"/>
    </row>
    <row r="17" spans="2:12" x14ac:dyDescent="0.4">
      <c r="B17" s="64"/>
      <c r="C17" s="65" t="str">
        <f>IF(기초자료입력!B53&lt;&gt;"",10,"")</f>
        <v/>
      </c>
      <c r="D17" s="65" t="str">
        <f>IF(기초자료입력!B53&lt;&gt;"",기초자료입력!B53,"")</f>
        <v/>
      </c>
      <c r="E17" s="64"/>
      <c r="F17" s="64"/>
      <c r="G17" s="64"/>
      <c r="H17" s="64"/>
      <c r="I17" s="64"/>
      <c r="J17" s="64"/>
      <c r="K17" s="64"/>
      <c r="L17" s="64"/>
    </row>
    <row r="18" spans="2:12" x14ac:dyDescent="0.4"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</row>
    <row r="19" spans="2:12" x14ac:dyDescent="0.4"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</row>
    <row r="20" spans="2:12" x14ac:dyDescent="0.4">
      <c r="B20" s="76" t="s">
        <v>681</v>
      </c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2:12" x14ac:dyDescent="0.4">
      <c r="B21" s="76" t="s">
        <v>682</v>
      </c>
      <c r="C21" s="76"/>
      <c r="D21" s="76"/>
      <c r="E21" s="76"/>
      <c r="F21" s="76"/>
      <c r="G21" s="76"/>
      <c r="H21" s="76"/>
      <c r="I21" s="76"/>
      <c r="J21" s="76"/>
      <c r="K21" s="76"/>
      <c r="L21" s="76"/>
    </row>
  </sheetData>
  <mergeCells count="10">
    <mergeCell ref="B20:L20"/>
    <mergeCell ref="B21:L21"/>
    <mergeCell ref="B3:L3"/>
    <mergeCell ref="B4:L4"/>
    <mergeCell ref="D6:F6"/>
    <mergeCell ref="G6:I6"/>
    <mergeCell ref="J6:K6"/>
    <mergeCell ref="L6:L7"/>
    <mergeCell ref="B6:B7"/>
    <mergeCell ref="C6:C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EA741-0115-48CE-86B7-779D2230A493}">
  <sheetPr codeName="Sheet13"/>
  <dimension ref="A1:H36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3" width="14.69921875" customWidth="1"/>
    <col min="4" max="4" width="13.69921875" customWidth="1"/>
    <col min="5" max="5" width="10.69921875" customWidth="1"/>
    <col min="6" max="8" width="8.69921875" customWidth="1"/>
  </cols>
  <sheetData>
    <row r="1" spans="1:8" x14ac:dyDescent="0.4">
      <c r="A1" s="20" t="s">
        <v>665</v>
      </c>
    </row>
    <row r="3" spans="1:8" x14ac:dyDescent="0.4">
      <c r="B3" s="87" t="str">
        <f>IF(기초자료입력!C4&lt;&gt;"",기초자료입력!C4,"○○학교")&amp;" 교복구매 제안서 접수 결과"</f>
        <v>○○학교 교복구매 제안서 접수 결과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274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275</v>
      </c>
      <c r="C7" s="89" t="s">
        <v>495</v>
      </c>
      <c r="D7" s="89"/>
      <c r="E7" s="89"/>
      <c r="F7" s="89"/>
      <c r="G7" s="89"/>
      <c r="H7" s="89"/>
    </row>
    <row r="8" spans="1:8" x14ac:dyDescent="0.4">
      <c r="B8" s="53" t="s">
        <v>282</v>
      </c>
      <c r="C8" s="89"/>
      <c r="D8" s="89"/>
      <c r="E8" s="89"/>
      <c r="F8" s="89"/>
      <c r="G8" s="89"/>
      <c r="H8" s="89"/>
    </row>
    <row r="9" spans="1:8" x14ac:dyDescent="0.4">
      <c r="B9" s="53" t="s">
        <v>276</v>
      </c>
      <c r="C9" s="91" t="str">
        <f>IF(기초자료입력!C22&lt;&gt;"",기초자료입력!C22,IF(기초자료입력!C5&lt;&gt;"",기초자료입력!C5,"20○○")&amp;"학년도 교복 학교주관구매 제안서 접수 결과 보고")</f>
        <v>20○○학년도 교복 학교주관구매 제안서 접수 결과 보고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tr">
        <f>"1. "&amp;IF(기초자료입력!C23&lt;&gt;"",기초자료입력!C23,"관련 문서를 확인하십시오.")</f>
        <v>1. 관련 문서를 확인하십시오.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1.95" customHeight="1" x14ac:dyDescent="0.4">
      <c r="B13" s="86" t="str">
        <f>"2. "&amp;IF(기초자료입력!C5&lt;&gt;"",기초자료입력!C5,"20○○")&amp;"학년도 "&amp;IF(기초자료입력!C12&lt;&gt;"",기초자료입력!C12,"교복 학교주관구매")&amp;" 2단계 입찰(규격·가격 동시) 공고와 관련하여 제안서 접수 결과를 아래와 같이 보고합니다."</f>
        <v>2. 20○○학년도 교복 학교주관구매 2단계 입찰(규격·가격 동시) 공고와 관련하여 제안서 접수 결과를 아래와 같이 보고합니다.</v>
      </c>
      <c r="C13" s="86"/>
      <c r="D13" s="86"/>
      <c r="E13" s="86"/>
      <c r="F13" s="86"/>
      <c r="G13" s="86"/>
      <c r="H13" s="86"/>
    </row>
    <row r="14" spans="1:8" x14ac:dyDescent="0.4">
      <c r="B14" s="86"/>
      <c r="C14" s="86"/>
      <c r="D14" s="86"/>
      <c r="E14" s="86"/>
      <c r="F14" s="86"/>
      <c r="G14" s="86"/>
      <c r="H14" s="86"/>
    </row>
    <row r="15" spans="1:8" x14ac:dyDescent="0.4">
      <c r="B15" s="37"/>
      <c r="C15" s="37"/>
      <c r="D15" s="37"/>
      <c r="E15" s="37"/>
      <c r="F15" s="37"/>
      <c r="G15" s="37"/>
      <c r="H15" s="37"/>
    </row>
    <row r="16" spans="1:8" x14ac:dyDescent="0.4">
      <c r="B16" s="81" t="s">
        <v>666</v>
      </c>
      <c r="C16" s="76"/>
      <c r="D16" s="76"/>
      <c r="E16" s="76"/>
      <c r="F16" s="76"/>
      <c r="G16" s="76"/>
      <c r="H16" s="76"/>
    </row>
    <row r="17" spans="2:8" x14ac:dyDescent="0.4">
      <c r="B17" s="85" t="s">
        <v>667</v>
      </c>
      <c r="C17" s="85" t="s">
        <v>668</v>
      </c>
      <c r="D17" s="85" t="s">
        <v>669</v>
      </c>
      <c r="E17" s="85"/>
      <c r="F17" s="37"/>
      <c r="G17" s="37"/>
      <c r="H17" s="37"/>
    </row>
    <row r="18" spans="2:8" x14ac:dyDescent="0.4">
      <c r="B18" s="85"/>
      <c r="C18" s="85"/>
      <c r="D18" s="60" t="s">
        <v>60</v>
      </c>
      <c r="E18" s="60" t="s">
        <v>367</v>
      </c>
      <c r="F18" s="37"/>
      <c r="G18" s="37"/>
      <c r="H18" s="37"/>
    </row>
    <row r="19" spans="2:8" x14ac:dyDescent="0.4">
      <c r="B19" s="28" t="str">
        <f>IF(기초자료입력!B44&lt;&gt;"",1,"")</f>
        <v/>
      </c>
      <c r="C19" s="61"/>
      <c r="D19" s="28" t="str">
        <f>IF(기초자료입력!B44&lt;&gt;"",기초자료입력!B44,"")</f>
        <v/>
      </c>
      <c r="E19" s="61"/>
      <c r="F19" s="37"/>
      <c r="G19" s="37"/>
      <c r="H19" s="37"/>
    </row>
    <row r="20" spans="2:8" x14ac:dyDescent="0.4">
      <c r="B20" s="28" t="str">
        <f>IF(기초자료입력!B45&lt;&gt;"",2,"")</f>
        <v/>
      </c>
      <c r="C20" s="61"/>
      <c r="D20" s="28" t="str">
        <f>IF(기초자료입력!B45&lt;&gt;"",기초자료입력!B45,"")</f>
        <v/>
      </c>
      <c r="E20" s="61"/>
      <c r="F20" s="37"/>
      <c r="G20" s="37"/>
      <c r="H20" s="37"/>
    </row>
    <row r="21" spans="2:8" x14ac:dyDescent="0.4">
      <c r="B21" s="28" t="str">
        <f>IF(기초자료입력!B46&lt;&gt;"",3,"")</f>
        <v/>
      </c>
      <c r="C21" s="61"/>
      <c r="D21" s="28" t="str">
        <f>IF(기초자료입력!B46&lt;&gt;"",기초자료입력!B46,"")</f>
        <v/>
      </c>
      <c r="E21" s="61"/>
      <c r="F21" s="37"/>
      <c r="G21" s="37"/>
      <c r="H21" s="37"/>
    </row>
    <row r="22" spans="2:8" x14ac:dyDescent="0.4">
      <c r="B22" s="28" t="str">
        <f>IF(기초자료입력!B47&lt;&gt;"",4,"")</f>
        <v/>
      </c>
      <c r="C22" s="61"/>
      <c r="D22" s="28" t="str">
        <f>IF(기초자료입력!B47&lt;&gt;"",기초자료입력!B47,"")</f>
        <v/>
      </c>
      <c r="E22" s="61"/>
      <c r="F22" s="37"/>
      <c r="G22" s="37"/>
      <c r="H22" s="37"/>
    </row>
    <row r="23" spans="2:8" x14ac:dyDescent="0.4">
      <c r="B23" s="28" t="str">
        <f>IF(기초자료입력!B48&lt;&gt;"",5,"")</f>
        <v/>
      </c>
      <c r="C23" s="61"/>
      <c r="D23" s="28" t="str">
        <f>IF(기초자료입력!B48&lt;&gt;"",기초자료입력!B48,"")</f>
        <v/>
      </c>
      <c r="E23" s="61"/>
      <c r="F23" s="37"/>
      <c r="G23" s="37"/>
      <c r="H23" s="37"/>
    </row>
    <row r="24" spans="2:8" x14ac:dyDescent="0.4">
      <c r="B24" s="28" t="str">
        <f>IF(기초자료입력!B49&lt;&gt;"",6,"")</f>
        <v/>
      </c>
      <c r="C24" s="61"/>
      <c r="D24" s="28" t="str">
        <f>IF(기초자료입력!B49&lt;&gt;"",기초자료입력!B49,"")</f>
        <v/>
      </c>
      <c r="E24" s="61"/>
      <c r="F24" s="37"/>
      <c r="G24" s="37"/>
      <c r="H24" s="37"/>
    </row>
    <row r="25" spans="2:8" x14ac:dyDescent="0.4">
      <c r="B25" s="28" t="str">
        <f>IF(기초자료입력!B50&lt;&gt;"",7,"")</f>
        <v/>
      </c>
      <c r="C25" s="61"/>
      <c r="D25" s="28" t="str">
        <f>IF(기초자료입력!B50&lt;&gt;"",기초자료입력!B50,"")</f>
        <v/>
      </c>
      <c r="E25" s="61"/>
      <c r="F25" s="37"/>
      <c r="G25" s="37"/>
      <c r="H25" s="37"/>
    </row>
    <row r="26" spans="2:8" x14ac:dyDescent="0.4">
      <c r="B26" s="28" t="str">
        <f>IF(기초자료입력!B51&lt;&gt;"",8,"")</f>
        <v/>
      </c>
      <c r="C26" s="61"/>
      <c r="D26" s="28" t="str">
        <f>IF(기초자료입력!B51&lt;&gt;"",기초자료입력!B51,"")</f>
        <v/>
      </c>
      <c r="E26" s="61"/>
      <c r="F26" s="37"/>
      <c r="G26" s="37"/>
      <c r="H26" s="37"/>
    </row>
    <row r="27" spans="2:8" x14ac:dyDescent="0.4">
      <c r="B27" s="28" t="str">
        <f>IF(기초자료입력!B52&lt;&gt;"",9,"")</f>
        <v/>
      </c>
      <c r="C27" s="61"/>
      <c r="D27" s="28" t="str">
        <f>IF(기초자료입력!B52&lt;&gt;"",기초자료입력!B52,"")</f>
        <v/>
      </c>
      <c r="E27" s="61"/>
      <c r="F27" s="37"/>
      <c r="G27" s="37"/>
      <c r="H27" s="37"/>
    </row>
    <row r="28" spans="2:8" x14ac:dyDescent="0.4">
      <c r="B28" s="28" t="str">
        <f>IF(기초자료입력!B53&lt;&gt;"",10,"")</f>
        <v/>
      </c>
      <c r="C28" s="61"/>
      <c r="D28" s="28" t="str">
        <f>IF(기초자료입력!B53&lt;&gt;"",기초자료입력!B53,"")</f>
        <v/>
      </c>
      <c r="E28" s="61"/>
      <c r="F28" s="37"/>
      <c r="G28" s="37"/>
      <c r="H28" s="37"/>
    </row>
    <row r="29" spans="2:8" x14ac:dyDescent="0.4">
      <c r="B29" s="37"/>
      <c r="C29" s="37"/>
      <c r="D29" s="37"/>
      <c r="E29" s="37"/>
      <c r="F29" s="37"/>
      <c r="G29" s="37"/>
      <c r="H29" s="37"/>
    </row>
    <row r="30" spans="2:8" x14ac:dyDescent="0.4">
      <c r="B30" s="76" t="str">
        <f>"붙임  "&amp;IF(기초자료입력!C5&lt;&gt;"",기초자료입력!C5,"20○○")&amp;"학년도 교복 학교주관구매 제안서 접수대장 1부.  끝."</f>
        <v>붙임  20○○학년도 교복 학교주관구매 제안서 접수대장 1부.  끝.</v>
      </c>
      <c r="C30" s="76"/>
      <c r="D30" s="76"/>
      <c r="E30" s="76"/>
      <c r="F30" s="76"/>
      <c r="G30" s="76"/>
      <c r="H30" s="76"/>
    </row>
    <row r="31" spans="2:8" x14ac:dyDescent="0.4">
      <c r="B31" s="37"/>
      <c r="C31" s="37"/>
      <c r="D31" s="37"/>
      <c r="E31" s="37"/>
      <c r="F31" s="37"/>
      <c r="G31" s="37"/>
      <c r="H31" s="37"/>
    </row>
    <row r="32" spans="2:8" x14ac:dyDescent="0.4">
      <c r="B32" s="37"/>
      <c r="C32" s="37"/>
      <c r="D32" s="37"/>
      <c r="E32" s="37"/>
      <c r="F32" s="37"/>
      <c r="G32" s="37"/>
      <c r="H32" s="37"/>
    </row>
    <row r="33" spans="2:8" x14ac:dyDescent="0.4">
      <c r="B33" s="37"/>
      <c r="C33" s="37"/>
      <c r="D33" s="37"/>
      <c r="E33" s="37"/>
      <c r="F33" s="53" t="s">
        <v>278</v>
      </c>
      <c r="G33" s="53" t="s">
        <v>289</v>
      </c>
      <c r="H33" s="53" t="s">
        <v>279</v>
      </c>
    </row>
    <row r="34" spans="2:8" x14ac:dyDescent="0.4">
      <c r="B34" s="52" t="s">
        <v>290</v>
      </c>
      <c r="C34" s="76" t="str">
        <f>IF(기초자료입력!C9&lt;&gt;"",기초자료입력!C9,"")</f>
        <v/>
      </c>
      <c r="D34" s="76"/>
      <c r="E34" s="76"/>
      <c r="F34" s="53" t="s">
        <v>291</v>
      </c>
      <c r="G34" s="89"/>
      <c r="H34" s="89"/>
    </row>
    <row r="35" spans="2:8" x14ac:dyDescent="0.4">
      <c r="B35" s="52" t="s">
        <v>292</v>
      </c>
      <c r="C35" s="37"/>
      <c r="D35" s="52" t="s">
        <v>293</v>
      </c>
      <c r="E35" s="76"/>
      <c r="F35" s="89"/>
      <c r="G35" s="89"/>
      <c r="H35" s="89"/>
    </row>
    <row r="36" spans="2:8" x14ac:dyDescent="0.4">
      <c r="B36" s="52" t="s">
        <v>294</v>
      </c>
      <c r="C36" s="37"/>
      <c r="D36" s="52" t="s">
        <v>295</v>
      </c>
      <c r="E36" s="37"/>
      <c r="F36" s="53" t="s">
        <v>296</v>
      </c>
      <c r="G36" s="89"/>
      <c r="H36" s="89"/>
    </row>
  </sheetData>
  <mergeCells count="15">
    <mergeCell ref="B13:H14"/>
    <mergeCell ref="B3:H4"/>
    <mergeCell ref="C7:H7"/>
    <mergeCell ref="C8:H8"/>
    <mergeCell ref="C9:H9"/>
    <mergeCell ref="B11:H11"/>
    <mergeCell ref="E35:H35"/>
    <mergeCell ref="G36:H36"/>
    <mergeCell ref="B16:H16"/>
    <mergeCell ref="D17:E17"/>
    <mergeCell ref="B17:B18"/>
    <mergeCell ref="C17:C18"/>
    <mergeCell ref="B30:H30"/>
    <mergeCell ref="C34:E34"/>
    <mergeCell ref="G34:H34"/>
  </mergeCells>
  <phoneticPr fontId="6" type="noConversion"/>
  <pageMargins left="0.29527604166666666" right="0.29527604166666666" top="0.39370138888888889" bottom="0.39370138888888889" header="0.19685069444444445" footer="0.19685069444444445"/>
  <pageSetup paperSize="9" fitToWidth="0" fitToHeight="0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C0356-CB5A-4740-9A18-14C2C275BD20}">
  <sheetPr codeName="Sheet14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661</v>
      </c>
    </row>
    <row r="2" spans="1:8" x14ac:dyDescent="0.4">
      <c r="G2" s="93" t="str">
        <f>IF(기초자료입력!C4&lt;&gt;"",기초자료입력!C4,"○ ○ 학 교")</f>
        <v>○ ○ 학 교</v>
      </c>
      <c r="H2" s="88"/>
    </row>
    <row r="3" spans="1:8" x14ac:dyDescent="0.4">
      <c r="B3" s="87" t="s">
        <v>662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274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275</v>
      </c>
      <c r="C7" s="89" t="s">
        <v>649</v>
      </c>
      <c r="D7" s="89"/>
      <c r="E7" s="89"/>
      <c r="F7" s="89"/>
      <c r="G7" s="89"/>
      <c r="H7" s="89"/>
    </row>
    <row r="8" spans="1:8" x14ac:dyDescent="0.4">
      <c r="B8" s="53" t="s">
        <v>282</v>
      </c>
      <c r="C8" s="89"/>
      <c r="D8" s="89"/>
      <c r="E8" s="89"/>
      <c r="F8" s="89"/>
      <c r="G8" s="89"/>
      <c r="H8" s="89"/>
    </row>
    <row r="9" spans="1:8" x14ac:dyDescent="0.4">
      <c r="B9" s="53" t="s">
        <v>276</v>
      </c>
      <c r="C9" s="91" t="str">
        <f>IF(기초자료입력!C22&lt;&gt;"",기초자료입력!C22,"신입생 예비소집일 교복구매 수요조사 가정통신문 발송")</f>
        <v>신입생 예비소집일 교복구매 수요조사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650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663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652</v>
      </c>
      <c r="C15" s="76" t="str">
        <f>IF(기초자료입력!C5&lt;&gt;"",기초자료입력!C5,"20○○")&amp;"학년도 신입생 및 학부모"</f>
        <v>20○○학년도 신입생 및 학부모</v>
      </c>
      <c r="D15" s="76"/>
      <c r="E15" s="76"/>
      <c r="F15" s="76"/>
      <c r="G15" s="76"/>
      <c r="H15" s="76"/>
    </row>
    <row r="16" spans="1:8" x14ac:dyDescent="0.4">
      <c r="B16" s="52" t="s">
        <v>653</v>
      </c>
      <c r="C16" s="76" t="str">
        <f>IF(기초자료입력!C12&lt;&gt;"",기초자료입력!C12&amp;" 관련 교복 학교주관구매 참여 여부 조사","교복 학교주관구매 참여 여부 조사")</f>
        <v>교복 학교주관구매 참여 여부 조사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664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278</v>
      </c>
      <c r="G22" s="53" t="s">
        <v>289</v>
      </c>
      <c r="H22" s="53" t="s">
        <v>279</v>
      </c>
    </row>
    <row r="23" spans="2:8" x14ac:dyDescent="0.4">
      <c r="B23" s="52" t="s">
        <v>290</v>
      </c>
      <c r="C23" s="76" t="str">
        <f>IF(기초자료입력!C9&lt;&gt;"",기초자료입력!C9,"")</f>
        <v/>
      </c>
      <c r="D23" s="76"/>
      <c r="E23" s="76"/>
      <c r="F23" s="53" t="s">
        <v>291</v>
      </c>
      <c r="G23" s="89"/>
      <c r="H23" s="89"/>
    </row>
    <row r="24" spans="2:8" x14ac:dyDescent="0.4">
      <c r="B24" s="52" t="s">
        <v>292</v>
      </c>
      <c r="C24" s="37"/>
      <c r="D24" s="52" t="s">
        <v>293</v>
      </c>
      <c r="E24" s="76"/>
      <c r="F24" s="89"/>
      <c r="G24" s="89"/>
      <c r="H24" s="89"/>
    </row>
    <row r="25" spans="2:8" x14ac:dyDescent="0.4">
      <c r="B25" s="52" t="s">
        <v>294</v>
      </c>
      <c r="C25" s="37"/>
      <c r="D25" s="52" t="s">
        <v>295</v>
      </c>
      <c r="E25" s="37"/>
      <c r="F25" s="53" t="s">
        <v>296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F1517-4F4B-43D7-8C5A-D564FB5ABD35}">
  <sheetPr codeName="Sheet15"/>
  <dimension ref="A1:H22"/>
  <sheetViews>
    <sheetView workbookViewId="0"/>
  </sheetViews>
  <sheetFormatPr defaultRowHeight="17.399999999999999" x14ac:dyDescent="0.4"/>
  <cols>
    <col min="1" max="1" width="3.19921875" customWidth="1"/>
    <col min="2" max="8" width="10.69921875" customWidth="1"/>
  </cols>
  <sheetData>
    <row r="1" spans="1:8" x14ac:dyDescent="0.4">
      <c r="A1" s="20" t="s">
        <v>655</v>
      </c>
    </row>
    <row r="3" spans="1:8" x14ac:dyDescent="0.4">
      <c r="B3" s="74" t="str">
        <f>IF(기초자료입력!C22&lt;&gt;"",기초자료입력!C22,"초 6(예비 중1), 중 3(예비 고1) 교복 구매 사전 안내")</f>
        <v>초 6(예비 중1), 중 3(예비 고1) 교복 구매 사전 안내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83" t="s">
        <v>656</v>
      </c>
      <c r="C6" s="83"/>
      <c r="D6" s="83"/>
      <c r="E6" s="83"/>
      <c r="F6" s="83"/>
      <c r="G6" s="83"/>
      <c r="H6" s="83"/>
    </row>
    <row r="7" spans="1:8" x14ac:dyDescent="0.4">
      <c r="B7" s="21"/>
      <c r="C7" s="21"/>
      <c r="D7" s="21"/>
      <c r="E7" s="21"/>
      <c r="F7" s="21"/>
      <c r="G7" s="21"/>
      <c r="H7" s="21"/>
    </row>
    <row r="8" spans="1:8" ht="30" customHeight="1" x14ac:dyDescent="0.4">
      <c r="B8" s="72" t="str">
        <f>IF(기초자료입력!C5&lt;&gt;"",기초자료입력!C5,"20○○")&amp;"학년도 중학교, 고등학교 신입생 배정을 앞두고 "&amp;IF(기초자료입력!C12&lt;&gt;"",기초자료입력!C12,"교복 구매")&amp;"에 대한 사항을 다음과 같이 안내해 드립니다."</f>
        <v>20○○학년도 중학교, 고등학교 신입생 배정을 앞두고 교복 구매에 대한 사항을 다음과 같이 안내해 드립니다.</v>
      </c>
      <c r="C8" s="72"/>
      <c r="D8" s="72"/>
      <c r="E8" s="72"/>
      <c r="F8" s="72"/>
      <c r="G8" s="72"/>
      <c r="H8" s="72"/>
    </row>
    <row r="9" spans="1:8" x14ac:dyDescent="0.4">
      <c r="B9" s="21"/>
      <c r="C9" s="21"/>
      <c r="D9" s="21"/>
      <c r="E9" s="21"/>
      <c r="F9" s="21"/>
      <c r="G9" s="21"/>
      <c r="H9" s="21"/>
    </row>
    <row r="10" spans="1:8" ht="42" customHeight="1" x14ac:dyDescent="0.4">
      <c r="B10" s="72" t="s">
        <v>657</v>
      </c>
      <c r="C10" s="72"/>
      <c r="D10" s="72"/>
      <c r="E10" s="72"/>
      <c r="F10" s="72"/>
      <c r="G10" s="72"/>
      <c r="H10" s="72"/>
    </row>
    <row r="11" spans="1:8" x14ac:dyDescent="0.4">
      <c r="B11" s="72"/>
      <c r="C11" s="72"/>
      <c r="D11" s="72"/>
      <c r="E11" s="72"/>
      <c r="F11" s="72"/>
      <c r="G11" s="72"/>
      <c r="H11" s="72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42" customHeight="1" x14ac:dyDescent="0.4">
      <c r="B13" s="72" t="s">
        <v>658</v>
      </c>
      <c r="C13" s="72"/>
      <c r="D13" s="72"/>
      <c r="E13" s="72"/>
      <c r="F13" s="72"/>
      <c r="G13" s="72"/>
      <c r="H13" s="72"/>
    </row>
    <row r="14" spans="1:8" x14ac:dyDescent="0.4">
      <c r="B14" s="72"/>
      <c r="C14" s="72"/>
      <c r="D14" s="72"/>
      <c r="E14" s="72"/>
      <c r="F14" s="72"/>
      <c r="G14" s="72"/>
      <c r="H14" s="72"/>
    </row>
    <row r="15" spans="1:8" x14ac:dyDescent="0.4">
      <c r="B15" s="21"/>
      <c r="C15" s="21"/>
      <c r="D15" s="21"/>
      <c r="E15" s="21"/>
      <c r="F15" s="21"/>
      <c r="G15" s="21"/>
      <c r="H15" s="21"/>
    </row>
    <row r="16" spans="1:8" ht="42" customHeight="1" x14ac:dyDescent="0.4">
      <c r="B16" s="72" t="s">
        <v>659</v>
      </c>
      <c r="C16" s="72"/>
      <c r="D16" s="72"/>
      <c r="E16" s="72"/>
      <c r="F16" s="72"/>
      <c r="G16" s="72"/>
      <c r="H16" s="72"/>
    </row>
    <row r="17" spans="2:8" x14ac:dyDescent="0.4">
      <c r="B17" s="72"/>
      <c r="C17" s="72"/>
      <c r="D17" s="72"/>
      <c r="E17" s="72"/>
      <c r="F17" s="72"/>
      <c r="G17" s="72"/>
      <c r="H17" s="72"/>
    </row>
    <row r="18" spans="2:8" x14ac:dyDescent="0.4">
      <c r="B18" s="21"/>
      <c r="C18" s="21"/>
      <c r="D18" s="21"/>
      <c r="E18" s="21"/>
      <c r="F18" s="21"/>
      <c r="G18" s="21"/>
      <c r="H18" s="21"/>
    </row>
    <row r="19" spans="2:8" x14ac:dyDescent="0.4">
      <c r="B19" s="83" t="s">
        <v>660</v>
      </c>
      <c r="C19" s="83"/>
      <c r="D19" s="83"/>
      <c r="E19" s="83"/>
      <c r="F19" s="83"/>
      <c r="G19" s="83"/>
      <c r="H19" s="83"/>
    </row>
    <row r="20" spans="2:8" x14ac:dyDescent="0.4">
      <c r="B20" s="21"/>
      <c r="C20" s="21"/>
      <c r="D20" s="21"/>
      <c r="E20" s="21"/>
      <c r="F20" s="21"/>
      <c r="G20" s="21"/>
      <c r="H20" s="21"/>
    </row>
    <row r="21" spans="2:8" x14ac:dyDescent="0.4">
      <c r="B21" s="73" t="str">
        <f>IF(기초자료입력!C8&lt;&gt;"",TEXT(기초자료입력!C8,"yyyy. m. d."),"년  월  일")</f>
        <v>년  월  일</v>
      </c>
      <c r="C21" s="73"/>
      <c r="D21" s="73"/>
      <c r="E21" s="73"/>
      <c r="F21" s="73"/>
      <c r="G21" s="73"/>
      <c r="H21" s="73"/>
    </row>
    <row r="22" spans="2:8" x14ac:dyDescent="0.4">
      <c r="B22" s="74" t="str">
        <f>IF(기초자료입력!C4&lt;&gt;"",기초자료입력!C4&amp;"장","○○학교장")</f>
        <v>○○학교장</v>
      </c>
      <c r="C22" s="73"/>
      <c r="D22" s="73"/>
      <c r="E22" s="73"/>
      <c r="F22" s="73"/>
      <c r="G22" s="73"/>
      <c r="H22" s="73"/>
    </row>
  </sheetData>
  <mergeCells count="9">
    <mergeCell ref="B19:H19"/>
    <mergeCell ref="B21:H21"/>
    <mergeCell ref="B22:H22"/>
    <mergeCell ref="B3:H4"/>
    <mergeCell ref="B6:H6"/>
    <mergeCell ref="B8:H8"/>
    <mergeCell ref="B10:H11"/>
    <mergeCell ref="B13:H14"/>
    <mergeCell ref="B16:H17"/>
  </mergeCells>
  <phoneticPr fontId="6" type="noConversion"/>
  <pageMargins left="0.59055208333333331" right="0.59055208333333331" top="0.47244166666666665" bottom="0.47244166666666665" header="0.3" footer="0.3"/>
  <pageSetup paperSize="9" fitToWidth="0" fitToHeight="0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F9F6B-BC0D-4681-8B81-6D5F0EA0EA10}">
  <sheetPr codeName="Sheet16"/>
  <dimension ref="A1:H25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647</v>
      </c>
    </row>
    <row r="2" spans="1:8" x14ac:dyDescent="0.4">
      <c r="G2" s="93" t="str">
        <f>IF(기초자료입력!C4&lt;&gt;"",기초자료입력!C4,"○ ○ 학 교")</f>
        <v>○ ○ 학 교</v>
      </c>
      <c r="H2" s="88"/>
    </row>
    <row r="3" spans="1:8" x14ac:dyDescent="0.4">
      <c r="B3" s="87" t="s">
        <v>648</v>
      </c>
      <c r="C3" s="88"/>
      <c r="D3" s="88"/>
      <c r="E3" s="88"/>
      <c r="F3" s="88"/>
      <c r="G3" s="88"/>
      <c r="H3" s="88"/>
    </row>
    <row r="4" spans="1:8" x14ac:dyDescent="0.4">
      <c r="B4" s="88"/>
      <c r="C4" s="88"/>
      <c r="D4" s="88"/>
      <c r="E4" s="88"/>
      <c r="F4" s="88"/>
      <c r="G4" s="88"/>
      <c r="H4" s="88"/>
    </row>
    <row r="5" spans="1:8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274</v>
      </c>
      <c r="F5" s="36" t="str">
        <f>IF(기초자료입력!C8&lt;&gt;"",TEXT(기초자료입력!C8,"yyyy-mm-dd"),"")</f>
        <v/>
      </c>
      <c r="G5" s="36"/>
      <c r="H5" s="36"/>
    </row>
    <row r="6" spans="1:8" x14ac:dyDescent="0.4">
      <c r="B6" s="36"/>
      <c r="C6" s="36"/>
      <c r="D6" s="36"/>
      <c r="E6" s="36"/>
      <c r="F6" s="36"/>
      <c r="G6" s="36"/>
      <c r="H6" s="36"/>
    </row>
    <row r="7" spans="1:8" x14ac:dyDescent="0.4">
      <c r="B7" s="53" t="s">
        <v>275</v>
      </c>
      <c r="C7" s="89" t="s">
        <v>649</v>
      </c>
      <c r="D7" s="89"/>
      <c r="E7" s="89"/>
      <c r="F7" s="89"/>
      <c r="G7" s="89"/>
      <c r="H7" s="89"/>
    </row>
    <row r="8" spans="1:8" x14ac:dyDescent="0.4">
      <c r="B8" s="53" t="s">
        <v>282</v>
      </c>
      <c r="C8" s="89"/>
      <c r="D8" s="89"/>
      <c r="E8" s="89"/>
      <c r="F8" s="89"/>
      <c r="G8" s="89"/>
      <c r="H8" s="89"/>
    </row>
    <row r="9" spans="1:8" x14ac:dyDescent="0.4">
      <c r="B9" s="53" t="s">
        <v>276</v>
      </c>
      <c r="C9" s="91" t="str">
        <f>IF(기초자료입력!C22&lt;&gt;"",기초자료입력!C22,"신입생 교복구매 사전 안내 가정통신문 발송")</f>
        <v>신입생 교복구매 사전 안내 가정통신문 발송</v>
      </c>
      <c r="D9" s="89"/>
      <c r="E9" s="89"/>
      <c r="F9" s="89"/>
      <c r="G9" s="89"/>
      <c r="H9" s="89"/>
    </row>
    <row r="10" spans="1:8" x14ac:dyDescent="0.4">
      <c r="B10" s="37"/>
      <c r="C10" s="37"/>
      <c r="D10" s="37"/>
      <c r="E10" s="37"/>
      <c r="F10" s="37"/>
      <c r="G10" s="37"/>
      <c r="H10" s="37"/>
    </row>
    <row r="11" spans="1:8" x14ac:dyDescent="0.4">
      <c r="B11" s="81" t="s">
        <v>650</v>
      </c>
      <c r="C11" s="76"/>
      <c r="D11" s="76"/>
      <c r="E11" s="76"/>
      <c r="F11" s="76"/>
      <c r="G11" s="76"/>
      <c r="H11" s="76"/>
    </row>
    <row r="12" spans="1:8" x14ac:dyDescent="0.4">
      <c r="B12" s="37"/>
      <c r="C12" s="37"/>
      <c r="D12" s="37"/>
      <c r="E12" s="37"/>
      <c r="F12" s="37"/>
      <c r="G12" s="37"/>
      <c r="H12" s="37"/>
    </row>
    <row r="13" spans="1:8" ht="30" customHeight="1" x14ac:dyDescent="0.4">
      <c r="B13" s="86" t="s">
        <v>651</v>
      </c>
      <c r="C13" s="86"/>
      <c r="D13" s="86"/>
      <c r="E13" s="86"/>
      <c r="F13" s="86"/>
      <c r="G13" s="86"/>
      <c r="H13" s="86"/>
    </row>
    <row r="14" spans="1:8" x14ac:dyDescent="0.4">
      <c r="B14" s="37"/>
      <c r="C14" s="37"/>
      <c r="D14" s="37"/>
      <c r="E14" s="37"/>
      <c r="F14" s="37"/>
      <c r="G14" s="37"/>
      <c r="H14" s="37"/>
    </row>
    <row r="15" spans="1:8" x14ac:dyDescent="0.4">
      <c r="B15" s="52" t="s">
        <v>652</v>
      </c>
      <c r="C15" s="76" t="str">
        <f>IF(기초자료입력!C5&lt;&gt;"",기초자료입력!C5,"20○○")&amp;"학년도 예비 중1(예비 고1) 학생 및 학부모"</f>
        <v>20○○학년도 예비 중1(예비 고1) 학생 및 학부모</v>
      </c>
      <c r="D15" s="76"/>
      <c r="E15" s="76"/>
      <c r="F15" s="76"/>
      <c r="G15" s="76"/>
      <c r="H15" s="76"/>
    </row>
    <row r="16" spans="1:8" x14ac:dyDescent="0.4">
      <c r="B16" s="52" t="s">
        <v>653</v>
      </c>
      <c r="C16" s="76" t="str">
        <f>IF(기초자료입력!C12&lt;&gt;"",기초자료입력!C12&amp;" 관련 교복 학교주관구매 참여 및 지원 방법, 기타 교복관련 사항","교복 학교주관구매 참여 및 지원 방법, 기타 교복관련 사항")</f>
        <v>교복 학교주관구매 참여 및 지원 방법, 기타 교복관련 사항</v>
      </c>
      <c r="D16" s="76"/>
      <c r="E16" s="76"/>
      <c r="F16" s="76"/>
      <c r="G16" s="76"/>
      <c r="H16" s="76"/>
    </row>
    <row r="17" spans="2:8" x14ac:dyDescent="0.4">
      <c r="B17" s="37"/>
      <c r="C17" s="37"/>
      <c r="D17" s="37"/>
      <c r="E17" s="37"/>
      <c r="F17" s="37"/>
      <c r="G17" s="37"/>
      <c r="H17" s="37"/>
    </row>
    <row r="18" spans="2:8" x14ac:dyDescent="0.4">
      <c r="B18" s="81" t="s">
        <v>654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37"/>
      <c r="C20" s="37"/>
      <c r="D20" s="37"/>
      <c r="E20" s="37"/>
      <c r="F20" s="37"/>
      <c r="G20" s="37"/>
      <c r="H20" s="37"/>
    </row>
    <row r="21" spans="2:8" x14ac:dyDescent="0.4">
      <c r="B21" s="37"/>
      <c r="C21" s="37"/>
      <c r="D21" s="37"/>
      <c r="E21" s="37"/>
      <c r="F21" s="37"/>
      <c r="G21" s="37"/>
      <c r="H21" s="37"/>
    </row>
    <row r="22" spans="2:8" x14ac:dyDescent="0.4">
      <c r="B22" s="37"/>
      <c r="C22" s="37"/>
      <c r="D22" s="37"/>
      <c r="E22" s="37"/>
      <c r="F22" s="53" t="s">
        <v>278</v>
      </c>
      <c r="G22" s="53" t="s">
        <v>289</v>
      </c>
      <c r="H22" s="53" t="s">
        <v>279</v>
      </c>
    </row>
    <row r="23" spans="2:8" x14ac:dyDescent="0.4">
      <c r="B23" s="52" t="s">
        <v>290</v>
      </c>
      <c r="C23" s="76" t="str">
        <f>IF(기초자료입력!C9&lt;&gt;"",기초자료입력!C9,"")</f>
        <v/>
      </c>
      <c r="D23" s="76"/>
      <c r="E23" s="76"/>
      <c r="F23" s="53" t="s">
        <v>291</v>
      </c>
      <c r="G23" s="89"/>
      <c r="H23" s="89"/>
    </row>
    <row r="24" spans="2:8" x14ac:dyDescent="0.4">
      <c r="B24" s="52" t="s">
        <v>292</v>
      </c>
      <c r="C24" s="37"/>
      <c r="D24" s="52" t="s">
        <v>293</v>
      </c>
      <c r="E24" s="76"/>
      <c r="F24" s="89"/>
      <c r="G24" s="89"/>
      <c r="H24" s="89"/>
    </row>
    <row r="25" spans="2:8" x14ac:dyDescent="0.4">
      <c r="B25" s="52" t="s">
        <v>294</v>
      </c>
      <c r="C25" s="37"/>
      <c r="D25" s="52" t="s">
        <v>295</v>
      </c>
      <c r="E25" s="37"/>
      <c r="F25" s="53" t="s">
        <v>296</v>
      </c>
      <c r="G25" s="89"/>
      <c r="H25" s="89"/>
    </row>
  </sheetData>
  <mergeCells count="14">
    <mergeCell ref="B11:H11"/>
    <mergeCell ref="G2:H2"/>
    <mergeCell ref="B3:H4"/>
    <mergeCell ref="C7:H7"/>
    <mergeCell ref="C8:H8"/>
    <mergeCell ref="C9:H9"/>
    <mergeCell ref="E24:H24"/>
    <mergeCell ref="G25:H25"/>
    <mergeCell ref="B13:H13"/>
    <mergeCell ref="C15:H15"/>
    <mergeCell ref="C16:H16"/>
    <mergeCell ref="B18:H18"/>
    <mergeCell ref="C23:E23"/>
    <mergeCell ref="G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801C4-C862-4976-B296-B257092514D6}">
  <sheetPr codeName="Sheet17"/>
  <dimension ref="A1:I37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8" width="9.69921875" customWidth="1"/>
  </cols>
  <sheetData>
    <row r="1" spans="1:9" x14ac:dyDescent="0.4">
      <c r="A1" s="20" t="s">
        <v>630</v>
      </c>
    </row>
    <row r="2" spans="1:9" x14ac:dyDescent="0.4">
      <c r="I2" s="35" t="s">
        <v>631</v>
      </c>
    </row>
    <row r="3" spans="1:9" x14ac:dyDescent="0.4">
      <c r="B3" s="87" t="s">
        <v>632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274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275</v>
      </c>
      <c r="C7" s="89" t="s">
        <v>495</v>
      </c>
      <c r="D7" s="89"/>
      <c r="E7" s="89"/>
      <c r="F7" s="89"/>
      <c r="G7" s="89"/>
      <c r="H7" s="89"/>
    </row>
    <row r="8" spans="1:9" x14ac:dyDescent="0.4">
      <c r="B8" s="53" t="s">
        <v>282</v>
      </c>
      <c r="C8" s="89"/>
      <c r="D8" s="89"/>
      <c r="E8" s="89"/>
      <c r="F8" s="89"/>
      <c r="G8" s="89"/>
      <c r="H8" s="89"/>
    </row>
    <row r="9" spans="1:9" x14ac:dyDescent="0.4">
      <c r="B9" s="53" t="s">
        <v>276</v>
      </c>
      <c r="C9" s="91" t="str">
        <f>IF(기초자료입력!C22&lt;&gt;"",기초자료입력!C22,IF(기초자료입력!C5&lt;&gt;"",기초자료입력!C5,"20○○")&amp;"학년도 교복 학교주관구매 계약 체결")</f>
        <v>20○○학년도 교복 학교주관구매 계약 체결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283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x14ac:dyDescent="0.4">
      <c r="B13" s="86" t="str">
        <f>"2. "&amp;IF(기초자료입력!C5&lt;&gt;"",기초자료입력!C5,"20○○")&amp;"학년도 교복 학교주관구매를 위한 계약을 아래와 같이 체결하고자 합니다."</f>
        <v>2. 20○○학년도 교복 학교주관구매를 위한 계약을 아래와 같이 체결하고자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633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634</v>
      </c>
      <c r="C16" s="95"/>
      <c r="D16" s="76"/>
      <c r="E16" s="76" t="s">
        <v>635</v>
      </c>
      <c r="F16" s="76"/>
      <c r="G16" s="76"/>
      <c r="H16" s="76"/>
    </row>
    <row r="17" spans="2:8" x14ac:dyDescent="0.4">
      <c r="B17" s="52" t="s">
        <v>636</v>
      </c>
      <c r="C17" s="76" t="str">
        <f>IF(AND(C16&lt;&gt;"",기초자료입력!C16&lt;&gt;""),"금"&amp;TEXT(C16*기초자료입력!C16,"#,##0")&amp;"원["&amp;TEXT(C16,"#,##0")&amp;"원(단가)×"&amp;기초자료입력!C16&amp;"벌(예정수량)]","")</f>
        <v/>
      </c>
      <c r="D17" s="76"/>
      <c r="E17" s="76"/>
      <c r="F17" s="76"/>
      <c r="G17" s="76"/>
      <c r="H17" s="76"/>
    </row>
    <row r="18" spans="2:8" x14ac:dyDescent="0.4">
      <c r="B18" s="76" t="s">
        <v>637</v>
      </c>
      <c r="C18" s="76"/>
      <c r="D18" s="76"/>
      <c r="E18" s="76"/>
      <c r="F18" s="76"/>
      <c r="G18" s="76"/>
      <c r="H18" s="76"/>
    </row>
    <row r="19" spans="2:8" x14ac:dyDescent="0.4">
      <c r="B19" s="37"/>
      <c r="C19" s="37"/>
      <c r="D19" s="37"/>
      <c r="E19" s="37"/>
      <c r="F19" s="37"/>
      <c r="G19" s="37"/>
      <c r="H19" s="37"/>
    </row>
    <row r="20" spans="2:8" x14ac:dyDescent="0.4">
      <c r="B20" s="81" t="s">
        <v>638</v>
      </c>
      <c r="C20" s="76"/>
      <c r="D20" s="76"/>
      <c r="E20" s="76"/>
      <c r="F20" s="76"/>
      <c r="G20" s="76"/>
      <c r="H20" s="76"/>
    </row>
    <row r="21" spans="2:8" x14ac:dyDescent="0.4">
      <c r="B21" s="31" t="s">
        <v>60</v>
      </c>
      <c r="C21" s="31" t="s">
        <v>639</v>
      </c>
      <c r="D21" s="31" t="s">
        <v>367</v>
      </c>
      <c r="E21" s="31" t="s">
        <v>419</v>
      </c>
      <c r="F21" s="76"/>
      <c r="G21" s="76"/>
      <c r="H21" s="76"/>
    </row>
    <row r="22" spans="2:8" x14ac:dyDescent="0.4">
      <c r="B22" s="36">
        <f>IFERROR(INDEX(기초자료입력!$B$44:$B$53,I3),"")</f>
        <v>0</v>
      </c>
      <c r="C22" s="36"/>
      <c r="D22" s="36"/>
      <c r="E22" s="36"/>
      <c r="F22" s="76"/>
      <c r="G22" s="76"/>
      <c r="H22" s="76"/>
    </row>
    <row r="23" spans="2:8" x14ac:dyDescent="0.4">
      <c r="B23" s="37"/>
      <c r="C23" s="37"/>
      <c r="D23" s="37"/>
      <c r="E23" s="37"/>
      <c r="F23" s="37"/>
      <c r="G23" s="37"/>
      <c r="H23" s="37"/>
    </row>
    <row r="24" spans="2:8" x14ac:dyDescent="0.4">
      <c r="B24" s="94" t="s">
        <v>640</v>
      </c>
      <c r="C24" s="86"/>
      <c r="D24" s="86"/>
      <c r="E24" s="86"/>
      <c r="F24" s="86"/>
      <c r="G24" s="86"/>
      <c r="H24" s="86"/>
    </row>
    <row r="25" spans="2:8" x14ac:dyDescent="0.4">
      <c r="B25" s="76" t="str">
        <f>"5. 납품기한："&amp;IF(기초자료입력!C17&lt;&gt;"",TEXT(기초자료입력!C17,"yyyy.mm.dd."),"")</f>
        <v>5. 납품기한：</v>
      </c>
      <c r="C25" s="76"/>
      <c r="D25" s="76"/>
      <c r="E25" s="76"/>
      <c r="F25" s="76"/>
      <c r="G25" s="76"/>
      <c r="H25" s="76"/>
    </row>
    <row r="26" spans="2:8" x14ac:dyDescent="0.4">
      <c r="B26" s="81" t="s">
        <v>641</v>
      </c>
      <c r="C26" s="76"/>
      <c r="D26" s="76"/>
      <c r="E26" s="76"/>
      <c r="F26" s="76"/>
      <c r="G26" s="76"/>
      <c r="H26" s="76"/>
    </row>
    <row r="27" spans="2:8" x14ac:dyDescent="0.4">
      <c r="B27" s="37"/>
      <c r="C27" s="37"/>
      <c r="D27" s="37"/>
      <c r="E27" s="37"/>
      <c r="F27" s="37"/>
      <c r="G27" s="37"/>
      <c r="H27" s="37"/>
    </row>
    <row r="28" spans="2:8" x14ac:dyDescent="0.4">
      <c r="B28" s="76" t="s">
        <v>642</v>
      </c>
      <c r="C28" s="76"/>
      <c r="D28" s="76"/>
      <c r="E28" s="76"/>
      <c r="F28" s="76"/>
      <c r="G28" s="76"/>
      <c r="H28" s="76"/>
    </row>
    <row r="29" spans="2:8" x14ac:dyDescent="0.4">
      <c r="B29" s="76" t="s">
        <v>643</v>
      </c>
      <c r="C29" s="76"/>
      <c r="D29" s="76"/>
      <c r="E29" s="76"/>
      <c r="F29" s="76"/>
      <c r="G29" s="76"/>
      <c r="H29" s="76"/>
    </row>
    <row r="30" spans="2:8" x14ac:dyDescent="0.4">
      <c r="B30" s="76" t="s">
        <v>644</v>
      </c>
      <c r="C30" s="76"/>
      <c r="D30" s="76"/>
      <c r="E30" s="76"/>
      <c r="F30" s="76"/>
      <c r="G30" s="76"/>
      <c r="H30" s="76"/>
    </row>
    <row r="31" spans="2:8" x14ac:dyDescent="0.4">
      <c r="B31" s="76" t="s">
        <v>645</v>
      </c>
      <c r="C31" s="76"/>
      <c r="D31" s="76"/>
      <c r="E31" s="76"/>
      <c r="F31" s="76"/>
      <c r="G31" s="76"/>
      <c r="H31" s="76"/>
    </row>
    <row r="32" spans="2:8" x14ac:dyDescent="0.4">
      <c r="B32" s="76" t="s">
        <v>646</v>
      </c>
      <c r="C32" s="76"/>
      <c r="D32" s="76"/>
      <c r="E32" s="76"/>
      <c r="F32" s="76"/>
      <c r="G32" s="76"/>
      <c r="H32" s="76"/>
    </row>
    <row r="33" spans="2:8" x14ac:dyDescent="0.4">
      <c r="B33" s="37"/>
      <c r="C33" s="37"/>
      <c r="D33" s="37"/>
      <c r="E33" s="37"/>
      <c r="F33" s="37"/>
      <c r="G33" s="37"/>
      <c r="H33" s="37"/>
    </row>
    <row r="34" spans="2:8" x14ac:dyDescent="0.4">
      <c r="B34" s="37"/>
      <c r="C34" s="37"/>
      <c r="D34" s="37"/>
      <c r="E34" s="37"/>
      <c r="F34" s="53" t="s">
        <v>278</v>
      </c>
      <c r="G34" s="53" t="s">
        <v>289</v>
      </c>
      <c r="H34" s="53" t="s">
        <v>279</v>
      </c>
    </row>
    <row r="35" spans="2:8" x14ac:dyDescent="0.4">
      <c r="B35" s="52" t="s">
        <v>290</v>
      </c>
      <c r="C35" s="76" t="str">
        <f>IF(기초자료입력!C9&lt;&gt;"",기초자료입력!C9,"")</f>
        <v/>
      </c>
      <c r="D35" s="76"/>
      <c r="E35" s="76"/>
      <c r="F35" s="53" t="s">
        <v>291</v>
      </c>
      <c r="G35" s="89"/>
      <c r="H35" s="89"/>
    </row>
    <row r="36" spans="2:8" x14ac:dyDescent="0.4">
      <c r="B36" s="52" t="s">
        <v>292</v>
      </c>
      <c r="C36" s="37"/>
      <c r="D36" s="52" t="s">
        <v>293</v>
      </c>
      <c r="E36" s="76"/>
      <c r="F36" s="89"/>
      <c r="G36" s="89"/>
      <c r="H36" s="89"/>
    </row>
    <row r="37" spans="2:8" x14ac:dyDescent="0.4">
      <c r="B37" s="52" t="s">
        <v>294</v>
      </c>
      <c r="C37" s="37"/>
      <c r="D37" s="52" t="s">
        <v>295</v>
      </c>
      <c r="E37" s="37"/>
      <c r="F37" s="53" t="s">
        <v>296</v>
      </c>
      <c r="G37" s="89"/>
      <c r="H37" s="89"/>
    </row>
  </sheetData>
  <mergeCells count="26">
    <mergeCell ref="B13:H13"/>
    <mergeCell ref="B3:H4"/>
    <mergeCell ref="C7:H7"/>
    <mergeCell ref="C8:H8"/>
    <mergeCell ref="C9:H9"/>
    <mergeCell ref="C11:H11"/>
    <mergeCell ref="B28:H28"/>
    <mergeCell ref="C15:H15"/>
    <mergeCell ref="C16:D16"/>
    <mergeCell ref="E16:H16"/>
    <mergeCell ref="C17:H17"/>
    <mergeCell ref="B18:H18"/>
    <mergeCell ref="B20:H20"/>
    <mergeCell ref="F21:H21"/>
    <mergeCell ref="F22:H22"/>
    <mergeCell ref="B24:H24"/>
    <mergeCell ref="B25:H25"/>
    <mergeCell ref="B26:H26"/>
    <mergeCell ref="E36:H36"/>
    <mergeCell ref="G37:H37"/>
    <mergeCell ref="B29:H29"/>
    <mergeCell ref="B30:H30"/>
    <mergeCell ref="B31:H31"/>
    <mergeCell ref="B32:H32"/>
    <mergeCell ref="C35:E35"/>
    <mergeCell ref="G35:H35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D39B3-9580-488A-8DA6-7A005BAE656F}">
  <sheetPr codeName="Sheet18"/>
  <dimension ref="A1:I29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7.69921875" customWidth="1"/>
    <col min="4" max="5" width="9.69921875" customWidth="1"/>
    <col min="6" max="6" width="13.69921875" customWidth="1"/>
    <col min="7" max="8" width="9.69921875" customWidth="1"/>
  </cols>
  <sheetData>
    <row r="1" spans="1:9" x14ac:dyDescent="0.4">
      <c r="A1" s="20" t="s">
        <v>620</v>
      </c>
    </row>
    <row r="2" spans="1:9" x14ac:dyDescent="0.4">
      <c r="I2" s="35" t="s">
        <v>609</v>
      </c>
    </row>
    <row r="3" spans="1:9" x14ac:dyDescent="0.4">
      <c r="B3" s="87" t="s">
        <v>621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274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275</v>
      </c>
      <c r="C7" s="89">
        <f>IFERROR(INDEX(기초자료입력!$B$44:$B$53,I3),"")</f>
        <v>0</v>
      </c>
      <c r="D7" s="89"/>
      <c r="E7" s="89"/>
      <c r="F7" s="89"/>
      <c r="G7" s="89"/>
      <c r="H7" s="89"/>
    </row>
    <row r="8" spans="1:9" x14ac:dyDescent="0.4">
      <c r="B8" s="53" t="s">
        <v>282</v>
      </c>
      <c r="C8" s="89"/>
      <c r="D8" s="89"/>
      <c r="E8" s="89"/>
      <c r="F8" s="89"/>
      <c r="G8" s="89"/>
      <c r="H8" s="89"/>
    </row>
    <row r="9" spans="1:9" x14ac:dyDescent="0.4">
      <c r="B9" s="53" t="s">
        <v>276</v>
      </c>
      <c r="C9" s="91" t="str">
        <f>IF(기초자료입력!C22&lt;&gt;"",기초자료입력!C22,IF(기초자료입력!C5&lt;&gt;"",기초자료입력!C5,"20○○")&amp;"년도 교복 학교주관 구매 낙찰자 결정 통보")</f>
        <v>20○○년도 교복 학교주관 구매 낙찰자 결정 통보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81" t="s">
        <v>622</v>
      </c>
      <c r="C11" s="76"/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40.049999999999997" customHeight="1" x14ac:dyDescent="0.4">
      <c r="B13" s="86" t="str">
        <f>"2. 우리학교 "&amp;IF(기초자료입력!C5&lt;&gt;"",기초자료입력!C5,"20○○")&amp;"학년도 교복 학교주관구매 건에 대하여 귀사를 낙찰자로 결정하여 통보하오니 전자계약[나라장터(G2B)] 체결을 위해 아래 서류를 "&amp;IF(기초자료입력!C18&lt;&gt;"",TEXT(기초자료입력!C18,"yyyy.mm.dd."),"20○○.○○.○○")&amp;"까지 제출하여 주시기 바랍니다."</f>
        <v>2. 우리학교 20○○학년도 교복 학교주관구매 건에 대하여 귀사를 낙찰자로 결정하여 통보하오니 전자계약[나라장터(G2B)] 체결을 위해 아래 서류를 20○○.○○.○○까지 제출하여 주시기 바랍니다.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81" t="s">
        <v>623</v>
      </c>
      <c r="C15" s="76"/>
      <c r="D15" s="76"/>
      <c r="E15" s="76"/>
      <c r="F15" s="76"/>
      <c r="G15" s="76"/>
      <c r="H15" s="76"/>
    </row>
    <row r="16" spans="1:9" x14ac:dyDescent="0.4">
      <c r="B16" s="31" t="s">
        <v>60</v>
      </c>
      <c r="C16" s="31" t="s">
        <v>367</v>
      </c>
      <c r="D16" s="31" t="s">
        <v>56</v>
      </c>
      <c r="E16" s="31" t="s">
        <v>36</v>
      </c>
      <c r="F16" s="59" t="s">
        <v>624</v>
      </c>
      <c r="G16" s="31" t="s">
        <v>301</v>
      </c>
      <c r="H16" s="37"/>
    </row>
    <row r="17" spans="2:8" x14ac:dyDescent="0.4">
      <c r="B17" s="36">
        <f>IFERROR(INDEX(기초자료입력!$B$44:$B$53,I3),"")</f>
        <v>0</v>
      </c>
      <c r="C17" s="36"/>
      <c r="D17" s="57"/>
      <c r="E17" s="36" t="str">
        <f>IF(기초자료입력!C16&lt;&gt;"",기초자료입력!C16,"")</f>
        <v/>
      </c>
      <c r="F17" s="57"/>
      <c r="G17" s="36"/>
      <c r="H17" s="37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625</v>
      </c>
      <c r="C19" s="76"/>
      <c r="D19" s="76"/>
      <c r="E19" s="76"/>
      <c r="F19" s="76"/>
      <c r="G19" s="76"/>
      <c r="H19" s="76"/>
    </row>
    <row r="20" spans="2:8" x14ac:dyDescent="0.4">
      <c r="B20" s="76" t="s">
        <v>626</v>
      </c>
      <c r="C20" s="76"/>
      <c r="D20" s="76"/>
      <c r="E20" s="76"/>
      <c r="F20" s="76"/>
      <c r="G20" s="76"/>
      <c r="H20" s="76"/>
    </row>
    <row r="21" spans="2:8" x14ac:dyDescent="0.4">
      <c r="B21" s="76" t="s">
        <v>627</v>
      </c>
      <c r="C21" s="76"/>
      <c r="D21" s="76"/>
      <c r="E21" s="76"/>
      <c r="F21" s="76"/>
      <c r="G21" s="76"/>
      <c r="H21" s="76"/>
    </row>
    <row r="22" spans="2:8" x14ac:dyDescent="0.4">
      <c r="B22" s="76" t="s">
        <v>628</v>
      </c>
      <c r="C22" s="76"/>
      <c r="D22" s="76"/>
      <c r="E22" s="76"/>
      <c r="F22" s="76"/>
      <c r="G22" s="76"/>
      <c r="H22" s="76"/>
    </row>
    <row r="23" spans="2:8" x14ac:dyDescent="0.4">
      <c r="B23" s="76" t="s">
        <v>629</v>
      </c>
      <c r="C23" s="76"/>
      <c r="D23" s="76"/>
      <c r="E23" s="76"/>
      <c r="F23" s="76"/>
      <c r="G23" s="76"/>
      <c r="H23" s="7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278</v>
      </c>
      <c r="G26" s="53" t="s">
        <v>289</v>
      </c>
      <c r="H26" s="53" t="s">
        <v>279</v>
      </c>
    </row>
    <row r="27" spans="2:8" x14ac:dyDescent="0.4">
      <c r="B27" s="52" t="s">
        <v>290</v>
      </c>
      <c r="C27" s="76" t="str">
        <f>IF(기초자료입력!C9&lt;&gt;"",기초자료입력!C9,"")</f>
        <v/>
      </c>
      <c r="D27" s="76"/>
      <c r="E27" s="76"/>
      <c r="F27" s="53" t="s">
        <v>291</v>
      </c>
      <c r="G27" s="89"/>
      <c r="H27" s="89"/>
    </row>
    <row r="28" spans="2:8" x14ac:dyDescent="0.4">
      <c r="B28" s="52" t="s">
        <v>292</v>
      </c>
      <c r="C28" s="37"/>
      <c r="D28" s="52" t="s">
        <v>293</v>
      </c>
      <c r="E28" s="76"/>
      <c r="F28" s="89"/>
      <c r="G28" s="89"/>
      <c r="H28" s="89"/>
    </row>
    <row r="29" spans="2:8" x14ac:dyDescent="0.4">
      <c r="B29" s="52" t="s">
        <v>294</v>
      </c>
      <c r="C29" s="37"/>
      <c r="D29" s="52" t="s">
        <v>295</v>
      </c>
      <c r="E29" s="37"/>
      <c r="F29" s="53" t="s">
        <v>296</v>
      </c>
      <c r="G29" s="89"/>
      <c r="H29" s="89"/>
    </row>
  </sheetData>
  <mergeCells count="16">
    <mergeCell ref="B13:H13"/>
    <mergeCell ref="B3:H4"/>
    <mergeCell ref="C7:H7"/>
    <mergeCell ref="C8:H8"/>
    <mergeCell ref="C9:H9"/>
    <mergeCell ref="B11:H11"/>
    <mergeCell ref="C27:E27"/>
    <mergeCell ref="G27:H27"/>
    <mergeCell ref="E28:H28"/>
    <mergeCell ref="G29:H29"/>
    <mergeCell ref="B15:H15"/>
    <mergeCell ref="B19:H19"/>
    <mergeCell ref="B20:H20"/>
    <mergeCell ref="B21:H21"/>
    <mergeCell ref="B22:H22"/>
    <mergeCell ref="B23:H23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47053-0756-4062-A80C-B84115FB2FD9}">
  <sheetPr codeName="Sheet19"/>
  <dimension ref="A1:I29"/>
  <sheetViews>
    <sheetView workbookViewId="0"/>
  </sheetViews>
  <sheetFormatPr defaultRowHeight="17.399999999999999" x14ac:dyDescent="0.4"/>
  <cols>
    <col min="1" max="1" width="3.19921875" customWidth="1"/>
    <col min="2" max="8" width="9.69921875" customWidth="1"/>
  </cols>
  <sheetData>
    <row r="1" spans="1:9" x14ac:dyDescent="0.4">
      <c r="A1" s="20" t="s">
        <v>608</v>
      </c>
    </row>
    <row r="2" spans="1:9" x14ac:dyDescent="0.4">
      <c r="I2" s="35" t="s">
        <v>609</v>
      </c>
    </row>
    <row r="3" spans="1:9" x14ac:dyDescent="0.4">
      <c r="B3" s="87" t="s">
        <v>610</v>
      </c>
      <c r="C3" s="88"/>
      <c r="D3" s="88"/>
      <c r="E3" s="88"/>
      <c r="F3" s="88"/>
      <c r="G3" s="88"/>
      <c r="H3" s="88"/>
      <c r="I3">
        <v>1</v>
      </c>
    </row>
    <row r="4" spans="1:9" x14ac:dyDescent="0.4">
      <c r="B4" s="88"/>
      <c r="C4" s="88"/>
      <c r="D4" s="88"/>
      <c r="E4" s="88"/>
      <c r="F4" s="88"/>
      <c r="G4" s="88"/>
      <c r="H4" s="88"/>
    </row>
    <row r="5" spans="1:9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274</v>
      </c>
      <c r="F5" s="36" t="str">
        <f>IF(기초자료입력!C8&lt;&gt;"",TEXT(기초자료입력!C8,"yyyy-mm-dd"),"")</f>
        <v/>
      </c>
      <c r="G5" s="36"/>
      <c r="H5" s="36"/>
    </row>
    <row r="6" spans="1:9" x14ac:dyDescent="0.4">
      <c r="B6" s="36"/>
      <c r="C6" s="36"/>
      <c r="D6" s="36"/>
      <c r="E6" s="36"/>
      <c r="F6" s="36"/>
      <c r="G6" s="36"/>
      <c r="H6" s="36"/>
    </row>
    <row r="7" spans="1:9" x14ac:dyDescent="0.4">
      <c r="B7" s="53" t="s">
        <v>275</v>
      </c>
      <c r="C7" s="89" t="s">
        <v>495</v>
      </c>
      <c r="D7" s="89"/>
      <c r="E7" s="89"/>
      <c r="F7" s="89"/>
      <c r="G7" s="89"/>
      <c r="H7" s="89"/>
    </row>
    <row r="8" spans="1:9" x14ac:dyDescent="0.4">
      <c r="B8" s="53" t="s">
        <v>282</v>
      </c>
      <c r="C8" s="89"/>
      <c r="D8" s="89"/>
      <c r="E8" s="89"/>
      <c r="F8" s="89"/>
      <c r="G8" s="89"/>
      <c r="H8" s="89"/>
    </row>
    <row r="9" spans="1:9" x14ac:dyDescent="0.4">
      <c r="B9" s="53" t="s">
        <v>276</v>
      </c>
      <c r="C9" s="91" t="str">
        <f>IF(기초자료입력!C22&lt;&gt;"",기초자료입력!C22,IF(기초자료입력!C5&lt;&gt;"",기초자료입력!C5,"20○○")&amp;"년도 교복 학교주관구매 낙찰자 결정")</f>
        <v>20○○년도 교복 학교주관구매 낙찰자 결정</v>
      </c>
      <c r="D9" s="89"/>
      <c r="E9" s="89"/>
      <c r="F9" s="89"/>
      <c r="G9" s="89"/>
      <c r="H9" s="89"/>
    </row>
    <row r="10" spans="1:9" x14ac:dyDescent="0.4">
      <c r="B10" s="37"/>
      <c r="C10" s="37"/>
      <c r="D10" s="37"/>
      <c r="E10" s="37"/>
      <c r="F10" s="37"/>
      <c r="G10" s="37"/>
      <c r="H10" s="37"/>
    </row>
    <row r="11" spans="1:9" x14ac:dyDescent="0.4">
      <c r="B11" s="52" t="s">
        <v>283</v>
      </c>
      <c r="C11" s="76" t="str">
        <f>IF(기초자료입력!C23&lt;&gt;"",기초자료입력!C23,"")</f>
        <v/>
      </c>
      <c r="D11" s="76"/>
      <c r="E11" s="76"/>
      <c r="F11" s="76"/>
      <c r="G11" s="76"/>
      <c r="H11" s="76"/>
    </row>
    <row r="12" spans="1:9" x14ac:dyDescent="0.4">
      <c r="B12" s="37"/>
      <c r="C12" s="37"/>
      <c r="D12" s="37"/>
      <c r="E12" s="37"/>
      <c r="F12" s="37"/>
      <c r="G12" s="37"/>
      <c r="H12" s="37"/>
    </row>
    <row r="13" spans="1:9" ht="28.05" customHeight="1" x14ac:dyDescent="0.4">
      <c r="B13" s="86" t="str">
        <f>"2. "&amp;IF(기초자료입력!C5&lt;&gt;"",기초자료입력!C5,"20○○")&amp;"년도 교복 학교주관구매 건에 대해 개찰 결과 예정가격 대비 최저가격으로 투찰하여 1순위가 된 아래 업체를 낙찰자로 결정하고자 합니다."</f>
        <v>2. 20○○년도 교복 학교주관구매 건에 대해 개찰 결과 예정가격 대비 최저가격으로 투찰하여 1순위가 된 아래 업체를 낙찰자로 결정하고자 합니다.</v>
      </c>
      <c r="C13" s="86"/>
      <c r="D13" s="86"/>
      <c r="E13" s="86"/>
      <c r="F13" s="86"/>
      <c r="G13" s="86"/>
      <c r="H13" s="86"/>
    </row>
    <row r="14" spans="1:9" x14ac:dyDescent="0.4">
      <c r="B14" s="37"/>
      <c r="C14" s="37"/>
      <c r="D14" s="37"/>
      <c r="E14" s="37"/>
      <c r="F14" s="37"/>
      <c r="G14" s="37"/>
      <c r="H14" s="37"/>
    </row>
    <row r="15" spans="1:9" x14ac:dyDescent="0.4">
      <c r="B15" s="52" t="s">
        <v>611</v>
      </c>
      <c r="C15" s="76" t="str">
        <f>IF(기초자료입력!C12&lt;&gt;"",IF(기초자료입력!C5&lt;&gt;"",기초자료입력!C5&amp;"학년도 ","")&amp;기초자료입력!C12,"")</f>
        <v/>
      </c>
      <c r="D15" s="76"/>
      <c r="E15" s="76"/>
      <c r="F15" s="76"/>
      <c r="G15" s="76"/>
      <c r="H15" s="76"/>
    </row>
    <row r="16" spans="1:9" x14ac:dyDescent="0.4">
      <c r="B16" s="52" t="s">
        <v>612</v>
      </c>
      <c r="C16" s="76" t="str">
        <f>IF(기초자료입력!C15&lt;&gt;"","금"&amp;TEXT(기초자료입력!C15,"#,##0")&amp;"원","")</f>
        <v/>
      </c>
      <c r="D16" s="76"/>
      <c r="E16" s="76"/>
      <c r="F16" s="76"/>
      <c r="G16" s="76"/>
      <c r="H16" s="76"/>
    </row>
    <row r="17" spans="2:8" x14ac:dyDescent="0.4">
      <c r="B17" s="52" t="s">
        <v>613</v>
      </c>
      <c r="C17" s="92"/>
      <c r="D17" s="76"/>
      <c r="E17" s="76"/>
      <c r="F17" s="76"/>
      <c r="G17" s="76"/>
      <c r="H17" s="76"/>
    </row>
    <row r="18" spans="2:8" x14ac:dyDescent="0.4">
      <c r="B18" s="37"/>
      <c r="C18" s="37"/>
      <c r="D18" s="37"/>
      <c r="E18" s="37"/>
      <c r="F18" s="37"/>
      <c r="G18" s="37"/>
      <c r="H18" s="37"/>
    </row>
    <row r="19" spans="2:8" x14ac:dyDescent="0.4">
      <c r="B19" s="81" t="s">
        <v>614</v>
      </c>
      <c r="C19" s="76"/>
      <c r="D19" s="76"/>
      <c r="E19" s="76"/>
      <c r="F19" s="76"/>
      <c r="G19" s="76"/>
      <c r="H19" s="76"/>
    </row>
    <row r="20" spans="2:8" x14ac:dyDescent="0.4">
      <c r="B20" s="31" t="s">
        <v>615</v>
      </c>
      <c r="C20" s="31" t="s">
        <v>60</v>
      </c>
      <c r="D20" s="31" t="s">
        <v>367</v>
      </c>
      <c r="E20" s="31" t="s">
        <v>616</v>
      </c>
      <c r="F20" s="31" t="s">
        <v>617</v>
      </c>
      <c r="G20" s="31" t="s">
        <v>618</v>
      </c>
      <c r="H20" s="37"/>
    </row>
    <row r="21" spans="2:8" x14ac:dyDescent="0.4">
      <c r="B21" s="36">
        <v>1</v>
      </c>
      <c r="C21" s="36">
        <f>IFERROR(INDEX(기초자료입력!$B$44:$B$53,I3),"")</f>
        <v>0</v>
      </c>
      <c r="D21" s="36"/>
      <c r="E21" s="57"/>
      <c r="F21" s="58"/>
      <c r="G21" s="36"/>
      <c r="H21" s="37"/>
    </row>
    <row r="22" spans="2:8" x14ac:dyDescent="0.4">
      <c r="B22" s="37"/>
      <c r="C22" s="37"/>
      <c r="D22" s="37"/>
      <c r="E22" s="37"/>
      <c r="F22" s="37"/>
      <c r="G22" s="37"/>
      <c r="H22" s="37"/>
    </row>
    <row r="23" spans="2:8" x14ac:dyDescent="0.4">
      <c r="B23" s="94" t="s">
        <v>619</v>
      </c>
      <c r="C23" s="86"/>
      <c r="D23" s="86"/>
      <c r="E23" s="86"/>
      <c r="F23" s="86"/>
      <c r="G23" s="86"/>
      <c r="H23" s="86"/>
    </row>
    <row r="24" spans="2:8" x14ac:dyDescent="0.4">
      <c r="B24" s="37"/>
      <c r="C24" s="37"/>
      <c r="D24" s="37"/>
      <c r="E24" s="37"/>
      <c r="F24" s="37"/>
      <c r="G24" s="37"/>
      <c r="H24" s="37"/>
    </row>
    <row r="25" spans="2:8" x14ac:dyDescent="0.4">
      <c r="B25" s="37"/>
      <c r="C25" s="37"/>
      <c r="D25" s="37"/>
      <c r="E25" s="37"/>
      <c r="F25" s="37"/>
      <c r="G25" s="37"/>
      <c r="H25" s="37"/>
    </row>
    <row r="26" spans="2:8" x14ac:dyDescent="0.4">
      <c r="B26" s="37"/>
      <c r="C26" s="37"/>
      <c r="D26" s="37"/>
      <c r="E26" s="37"/>
      <c r="F26" s="53" t="s">
        <v>278</v>
      </c>
      <c r="G26" s="53" t="s">
        <v>289</v>
      </c>
      <c r="H26" s="53" t="s">
        <v>279</v>
      </c>
    </row>
    <row r="27" spans="2:8" x14ac:dyDescent="0.4">
      <c r="B27" s="52" t="s">
        <v>290</v>
      </c>
      <c r="C27" s="76" t="str">
        <f>IF(기초자료입력!C9&lt;&gt;"",기초자료입력!C9,"")</f>
        <v/>
      </c>
      <c r="D27" s="76"/>
      <c r="E27" s="76"/>
      <c r="F27" s="53" t="s">
        <v>291</v>
      </c>
      <c r="G27" s="89"/>
      <c r="H27" s="89"/>
    </row>
    <row r="28" spans="2:8" x14ac:dyDescent="0.4">
      <c r="B28" s="52" t="s">
        <v>292</v>
      </c>
      <c r="C28" s="37"/>
      <c r="D28" s="52" t="s">
        <v>293</v>
      </c>
      <c r="E28" s="76"/>
      <c r="F28" s="89"/>
      <c r="G28" s="89"/>
      <c r="H28" s="89"/>
    </row>
    <row r="29" spans="2:8" x14ac:dyDescent="0.4">
      <c r="B29" s="52" t="s">
        <v>294</v>
      </c>
      <c r="C29" s="37"/>
      <c r="D29" s="52" t="s">
        <v>295</v>
      </c>
      <c r="E29" s="37"/>
      <c r="F29" s="53" t="s">
        <v>296</v>
      </c>
      <c r="G29" s="89"/>
      <c r="H29" s="89"/>
    </row>
  </sheetData>
  <mergeCells count="15">
    <mergeCell ref="B13:H13"/>
    <mergeCell ref="B3:H4"/>
    <mergeCell ref="C7:H7"/>
    <mergeCell ref="C8:H8"/>
    <mergeCell ref="C9:H9"/>
    <mergeCell ref="C11:H11"/>
    <mergeCell ref="E28:H28"/>
    <mergeCell ref="G29:H29"/>
    <mergeCell ref="C15:H15"/>
    <mergeCell ref="C16:H16"/>
    <mergeCell ref="C17:H17"/>
    <mergeCell ref="B19:H19"/>
    <mergeCell ref="B23:H23"/>
    <mergeCell ref="C27:E27"/>
    <mergeCell ref="G27:H27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94A7F-C5DA-49AA-BB5E-71BE807EA393}">
  <sheetPr codeName="Sheet20"/>
  <dimension ref="A1:H40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8" width="9.69921875" customWidth="1"/>
  </cols>
  <sheetData>
    <row r="1" spans="1:8" x14ac:dyDescent="0.4">
      <c r="A1" s="20" t="s">
        <v>589</v>
      </c>
    </row>
    <row r="3" spans="1:8" x14ac:dyDescent="0.4">
      <c r="B3" s="74" t="str">
        <f>IF(기초자료입력!C4&lt;&gt;"",기초자료입력!C4,"○○학교")&amp;" 교복 학교주관구매 계획(안)"</f>
        <v>○○학교 교복 학교주관구매 계획(안)</v>
      </c>
      <c r="C3" s="73"/>
      <c r="D3" s="73"/>
      <c r="E3" s="73"/>
      <c r="F3" s="73"/>
      <c r="G3" s="73"/>
      <c r="H3" s="73"/>
    </row>
    <row r="4" spans="1:8" x14ac:dyDescent="0.4">
      <c r="B4" s="73"/>
      <c r="C4" s="73"/>
      <c r="D4" s="73"/>
      <c r="E4" s="73"/>
      <c r="F4" s="73"/>
      <c r="G4" s="73"/>
      <c r="H4" s="73"/>
    </row>
    <row r="5" spans="1:8" x14ac:dyDescent="0.4">
      <c r="B5" s="21"/>
      <c r="C5" s="21"/>
      <c r="D5" s="21"/>
      <c r="E5" s="21"/>
      <c r="F5" s="21"/>
      <c r="G5" s="21"/>
      <c r="H5" s="21"/>
    </row>
    <row r="6" spans="1:8" x14ac:dyDescent="0.4">
      <c r="B6" s="25" t="s">
        <v>590</v>
      </c>
      <c r="C6" s="96"/>
      <c r="D6" s="96"/>
      <c r="E6" s="96"/>
      <c r="F6" s="96"/>
      <c r="G6" s="96"/>
      <c r="H6" s="96"/>
    </row>
    <row r="7" spans="1:8" x14ac:dyDescent="0.4">
      <c r="B7" s="25" t="s">
        <v>591</v>
      </c>
      <c r="C7" s="96"/>
      <c r="D7" s="96"/>
      <c r="E7" s="96"/>
      <c r="F7" s="96"/>
      <c r="G7" s="96"/>
      <c r="H7" s="96"/>
    </row>
    <row r="8" spans="1:8" x14ac:dyDescent="0.4">
      <c r="B8" s="25" t="s">
        <v>592</v>
      </c>
      <c r="C8" s="96"/>
      <c r="D8" s="96"/>
      <c r="E8" s="96"/>
      <c r="F8" s="96"/>
      <c r="G8" s="96"/>
      <c r="H8" s="96"/>
    </row>
    <row r="9" spans="1:8" x14ac:dyDescent="0.4">
      <c r="B9" s="25" t="s">
        <v>593</v>
      </c>
      <c r="C9" s="96"/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84" t="s">
        <v>594</v>
      </c>
      <c r="C11" s="83"/>
      <c r="D11" s="83"/>
      <c r="E11" s="83"/>
      <c r="F11" s="83"/>
      <c r="G11" s="83"/>
      <c r="H11" s="83"/>
    </row>
    <row r="12" spans="1:8" x14ac:dyDescent="0.4">
      <c r="B12" s="83" t="s">
        <v>595</v>
      </c>
      <c r="C12" s="83"/>
      <c r="D12" s="83"/>
      <c r="E12" s="83"/>
      <c r="F12" s="83"/>
      <c r="G12" s="83"/>
      <c r="H12" s="83"/>
    </row>
    <row r="13" spans="1:8" ht="28.05" customHeight="1" x14ac:dyDescent="0.4">
      <c r="B13" s="72" t="str">
        <f>"❍ 교복 가격의 안정화 및 교복 구매의 효율성 제고를 위한 "&amp;IF(기초자료입력!C4&lt;&gt;"",기초자료입력!C4,"○○학교")&amp;" "&amp;IF(기초자료입력!C5&lt;&gt;"",기초자료입력!C5,"○○")&amp;"학년도 교복 학교주관구매 계획(안)을 심의하고자 함."</f>
        <v>❍ 교복 가격의 안정화 및 교복 구매의 효율성 제고를 위한 ○○학교 ○○학년도 교복 학교주관구매 계획(안)을 심의하고자 함.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">
        <v>596</v>
      </c>
      <c r="C15" s="83"/>
      <c r="D15" s="83"/>
      <c r="E15" s="83"/>
      <c r="F15" s="83"/>
      <c r="G15" s="83"/>
      <c r="H15" s="83"/>
    </row>
    <row r="16" spans="1:8" x14ac:dyDescent="0.4">
      <c r="B16" s="84" t="s">
        <v>597</v>
      </c>
      <c r="C16" s="83"/>
      <c r="D16" s="83"/>
      <c r="E16" s="83"/>
      <c r="F16" s="83"/>
      <c r="G16" s="83"/>
      <c r="H16" s="83"/>
    </row>
    <row r="17" spans="2:8" x14ac:dyDescent="0.4">
      <c r="B17" s="83" t="s">
        <v>598</v>
      </c>
      <c r="C17" s="83"/>
      <c r="D17" s="83"/>
      <c r="E17" s="83"/>
      <c r="F17" s="83"/>
      <c r="G17" s="83"/>
      <c r="H17" s="83"/>
    </row>
    <row r="18" spans="2:8" x14ac:dyDescent="0.4">
      <c r="B18" s="83" t="s">
        <v>599</v>
      </c>
      <c r="C18" s="83"/>
      <c r="D18" s="83"/>
      <c r="E18" s="83"/>
      <c r="F18" s="83"/>
      <c r="G18" s="83"/>
      <c r="H18" s="83"/>
    </row>
    <row r="19" spans="2:8" x14ac:dyDescent="0.4">
      <c r="B19" s="84" t="s">
        <v>600</v>
      </c>
      <c r="C19" s="83"/>
      <c r="D19" s="83"/>
      <c r="E19" s="83"/>
      <c r="F19" s="83"/>
      <c r="G19" s="83"/>
      <c r="H19" s="83"/>
    </row>
    <row r="20" spans="2:8" x14ac:dyDescent="0.4">
      <c r="B20" s="83" t="s">
        <v>601</v>
      </c>
      <c r="C20" s="83"/>
      <c r="D20" s="83"/>
      <c r="E20" s="83"/>
      <c r="F20" s="83"/>
      <c r="G20" s="83"/>
      <c r="H20" s="83"/>
    </row>
    <row r="21" spans="2:8" x14ac:dyDescent="0.4">
      <c r="B21" s="84" t="s">
        <v>602</v>
      </c>
      <c r="C21" s="83"/>
      <c r="D21" s="83"/>
      <c r="E21" s="83"/>
      <c r="F21" s="83"/>
      <c r="G21" s="83"/>
      <c r="H21" s="83"/>
    </row>
    <row r="22" spans="2:8" x14ac:dyDescent="0.4">
      <c r="B22" s="83" t="str">
        <f>"❍ 하복："&amp;IF(SUM(기초자료입력!$D$33:$D$34)=0,"○○,○○○",TEXT(SUM(기초자료입력!$D$33:$D$34),"#,##0"))&amp;"원, 동복："&amp;IF(SUM(기초자료입력!$D$29:$D$32)=0,"○○○,○○○",TEXT(SUM(기초자료입력!$D$29:$D$32),"#,##0"))&amp;"원("&amp;IF(기초자료입력!C5&lt;&gt;"",기초자료입력!C5,"20○○")&amp;"년 기준)"</f>
        <v>❍ 하복：○○,○○○원, 동복：○○○,○○○원(20○○년 기준)</v>
      </c>
      <c r="C22" s="83"/>
      <c r="D22" s="83"/>
      <c r="E22" s="83"/>
      <c r="F22" s="83"/>
      <c r="G22" s="83"/>
      <c r="H22" s="83"/>
    </row>
    <row r="23" spans="2:8" x14ac:dyDescent="0.4">
      <c r="B23" s="84" t="s">
        <v>603</v>
      </c>
      <c r="C23" s="83"/>
      <c r="D23" s="83"/>
      <c r="E23" s="83"/>
      <c r="F23" s="83"/>
      <c r="G23" s="83"/>
      <c r="H23" s="83"/>
    </row>
    <row r="24" spans="2:8" x14ac:dyDescent="0.4">
      <c r="B24" s="83" t="s">
        <v>604</v>
      </c>
      <c r="C24" s="83"/>
      <c r="D24" s="83"/>
      <c r="E24" s="83"/>
      <c r="F24" s="83"/>
      <c r="G24" s="83"/>
      <c r="H24" s="83"/>
    </row>
    <row r="25" spans="2:8" x14ac:dyDescent="0.4">
      <c r="B25" s="26" t="s">
        <v>505</v>
      </c>
      <c r="C25" s="26" t="s">
        <v>312</v>
      </c>
      <c r="D25" s="26" t="s">
        <v>605</v>
      </c>
      <c r="E25" s="26" t="s">
        <v>507</v>
      </c>
      <c r="F25" s="97" t="s">
        <v>301</v>
      </c>
      <c r="G25" s="98"/>
      <c r="H25" s="98"/>
    </row>
    <row r="26" spans="2:8" x14ac:dyDescent="0.4">
      <c r="B26" s="22" t="str">
        <f>IF(기초자료입력!B58&lt;&gt;"",1,"")</f>
        <v/>
      </c>
      <c r="C26" s="22" t="str">
        <f>IF(기초자료입력!B58&lt;&gt;"","위원장","")</f>
        <v/>
      </c>
      <c r="D26" s="22" t="str">
        <f>IF(기초자료입력!B58&lt;&gt;"",기초자료입력!B58,"")</f>
        <v/>
      </c>
      <c r="E26" s="22" t="str">
        <f>IF(기초자료입력!C58&lt;&gt;"",기초자료입력!C58,"")</f>
        <v/>
      </c>
      <c r="F26" s="96"/>
      <c r="G26" s="96"/>
      <c r="H26" s="96"/>
    </row>
    <row r="27" spans="2:8" x14ac:dyDescent="0.4">
      <c r="B27" s="22" t="str">
        <f>IF(기초자료입력!B59&lt;&gt;"",2,"")</f>
        <v/>
      </c>
      <c r="C27" s="22" t="str">
        <f>IF(기초자료입력!B59&lt;&gt;"","위원","")</f>
        <v/>
      </c>
      <c r="D27" s="22" t="str">
        <f>IF(기초자료입력!B59&lt;&gt;"",기초자료입력!B59,"")</f>
        <v/>
      </c>
      <c r="E27" s="22" t="str">
        <f>IF(기초자료입력!C59&lt;&gt;"",기초자료입력!C59,"")</f>
        <v/>
      </c>
      <c r="F27" s="96"/>
      <c r="G27" s="96"/>
      <c r="H27" s="96"/>
    </row>
    <row r="28" spans="2:8" x14ac:dyDescent="0.4">
      <c r="B28" s="22" t="str">
        <f>IF(기초자료입력!B60&lt;&gt;"",3,"")</f>
        <v/>
      </c>
      <c r="C28" s="22" t="str">
        <f>IF(기초자료입력!B60&lt;&gt;"","위원","")</f>
        <v/>
      </c>
      <c r="D28" s="22" t="str">
        <f>IF(기초자료입력!B60&lt;&gt;"",기초자료입력!B60,"")</f>
        <v/>
      </c>
      <c r="E28" s="22" t="str">
        <f>IF(기초자료입력!C60&lt;&gt;"",기초자료입력!C60,"")</f>
        <v/>
      </c>
      <c r="F28" s="96"/>
      <c r="G28" s="96"/>
      <c r="H28" s="96"/>
    </row>
    <row r="29" spans="2:8" x14ac:dyDescent="0.4">
      <c r="B29" s="22" t="str">
        <f>IF(기초자료입력!B61&lt;&gt;"",4,"")</f>
        <v/>
      </c>
      <c r="C29" s="22" t="str">
        <f>IF(기초자료입력!B61&lt;&gt;"","위원","")</f>
        <v/>
      </c>
      <c r="D29" s="22" t="str">
        <f>IF(기초자료입력!B61&lt;&gt;"",기초자료입력!B61,"")</f>
        <v/>
      </c>
      <c r="E29" s="22" t="str">
        <f>IF(기초자료입력!C61&lt;&gt;"",기초자료입력!C61,"")</f>
        <v/>
      </c>
      <c r="F29" s="96"/>
      <c r="G29" s="96"/>
      <c r="H29" s="96"/>
    </row>
    <row r="30" spans="2:8" x14ac:dyDescent="0.4">
      <c r="B30" s="22" t="str">
        <f>IF(기초자료입력!B62&lt;&gt;"",5,"")</f>
        <v/>
      </c>
      <c r="C30" s="22" t="str">
        <f>IF(기초자료입력!B62&lt;&gt;"","위원","")</f>
        <v/>
      </c>
      <c r="D30" s="22" t="str">
        <f>IF(기초자료입력!B62&lt;&gt;"",기초자료입력!B62,"")</f>
        <v/>
      </c>
      <c r="E30" s="22" t="str">
        <f>IF(기초자료입력!C62&lt;&gt;"",기초자료입력!C62,"")</f>
        <v/>
      </c>
      <c r="F30" s="96"/>
      <c r="G30" s="96"/>
      <c r="H30" s="96"/>
    </row>
    <row r="31" spans="2:8" x14ac:dyDescent="0.4">
      <c r="B31" s="22" t="str">
        <f>IF(기초자료입력!B63&lt;&gt;"",6,"")</f>
        <v/>
      </c>
      <c r="C31" s="22" t="str">
        <f>IF(기초자료입력!B63&lt;&gt;"","위원","")</f>
        <v/>
      </c>
      <c r="D31" s="22" t="str">
        <f>IF(기초자료입력!B63&lt;&gt;"",기초자료입력!B63,"")</f>
        <v/>
      </c>
      <c r="E31" s="22" t="str">
        <f>IF(기초자료입력!C63&lt;&gt;"",기초자료입력!C63,"")</f>
        <v/>
      </c>
      <c r="F31" s="96"/>
      <c r="G31" s="96"/>
      <c r="H31" s="96"/>
    </row>
    <row r="32" spans="2:8" x14ac:dyDescent="0.4">
      <c r="B32" s="22" t="str">
        <f>IF(기초자료입력!B64&lt;&gt;"",7,"")</f>
        <v/>
      </c>
      <c r="C32" s="22" t="str">
        <f>IF(기초자료입력!B64&lt;&gt;"","위원","")</f>
        <v/>
      </c>
      <c r="D32" s="22" t="str">
        <f>IF(기초자료입력!B64&lt;&gt;"",기초자료입력!B64,"")</f>
        <v/>
      </c>
      <c r="E32" s="22" t="str">
        <f>IF(기초자료입력!C64&lt;&gt;"",기초자료입력!C64,"")</f>
        <v/>
      </c>
      <c r="F32" s="96"/>
      <c r="G32" s="96"/>
      <c r="H32" s="96"/>
    </row>
    <row r="33" spans="2:8" x14ac:dyDescent="0.4">
      <c r="B33" s="22" t="str">
        <f>IF(기초자료입력!B65&lt;&gt;"",8,"")</f>
        <v/>
      </c>
      <c r="C33" s="22" t="str">
        <f>IF(기초자료입력!B65&lt;&gt;"","위원","")</f>
        <v/>
      </c>
      <c r="D33" s="22" t="str">
        <f>IF(기초자료입력!B65&lt;&gt;"",기초자료입력!B65,"")</f>
        <v/>
      </c>
      <c r="E33" s="22" t="str">
        <f>IF(기초자료입력!C65&lt;&gt;"",기초자료입력!C65,"")</f>
        <v/>
      </c>
      <c r="F33" s="96"/>
      <c r="G33" s="96"/>
      <c r="H33" s="96"/>
    </row>
    <row r="34" spans="2:8" x14ac:dyDescent="0.4">
      <c r="B34" s="22" t="str">
        <f>IF(기초자료입력!B66&lt;&gt;"",9,"")</f>
        <v/>
      </c>
      <c r="C34" s="22" t="str">
        <f>IF(기초자료입력!B66&lt;&gt;"","위원","")</f>
        <v/>
      </c>
      <c r="D34" s="22" t="str">
        <f>IF(기초자료입력!B66&lt;&gt;"",기초자료입력!B66,"")</f>
        <v/>
      </c>
      <c r="E34" s="22" t="str">
        <f>IF(기초자료입력!C66&lt;&gt;"",기초자료입력!C66,"")</f>
        <v/>
      </c>
      <c r="F34" s="96"/>
      <c r="G34" s="96"/>
      <c r="H34" s="96"/>
    </row>
    <row r="35" spans="2:8" x14ac:dyDescent="0.4">
      <c r="B35" s="22" t="str">
        <f>IF(기초자료입력!B67&lt;&gt;"",10,"")</f>
        <v/>
      </c>
      <c r="C35" s="22" t="str">
        <f>IF(기초자료입력!B67&lt;&gt;"","위원","")</f>
        <v/>
      </c>
      <c r="D35" s="22" t="str">
        <f>IF(기초자료입력!B67&lt;&gt;"",기초자료입력!B67,"")</f>
        <v/>
      </c>
      <c r="E35" s="22" t="str">
        <f>IF(기초자료입력!C67&lt;&gt;"",기초자료입력!C67,"")</f>
        <v/>
      </c>
      <c r="F35" s="96"/>
      <c r="G35" s="96"/>
      <c r="H35" s="96"/>
    </row>
    <row r="36" spans="2:8" x14ac:dyDescent="0.4">
      <c r="B36" s="83" t="s">
        <v>606</v>
      </c>
      <c r="C36" s="83"/>
      <c r="D36" s="83"/>
      <c r="E36" s="83"/>
      <c r="F36" s="83"/>
      <c r="G36" s="83"/>
      <c r="H36" s="83"/>
    </row>
    <row r="37" spans="2:8" x14ac:dyDescent="0.4">
      <c r="B37" s="21"/>
      <c r="C37" s="21"/>
      <c r="D37" s="21"/>
      <c r="E37" s="21"/>
      <c r="F37" s="21"/>
      <c r="G37" s="21"/>
      <c r="H37" s="21"/>
    </row>
    <row r="38" spans="2:8" x14ac:dyDescent="0.4">
      <c r="B38" s="83" t="str">
        <f>"붙임  "&amp;IF(기초자료입력!C5&lt;&gt;"",기초자료입력!C5,"○○")&amp;"학년도 "&amp;IF(기초자료입력!C4&lt;&gt;"",기초자료입력!C4,"○○학교")&amp;" 교복 학교주관구매 계획안 1부.  끝."</f>
        <v>붙임  ○○학년도 ○○학교 교복 학교주관구매 계획안 1부.  끝.</v>
      </c>
      <c r="C38" s="83"/>
      <c r="D38" s="83"/>
      <c r="E38" s="83"/>
      <c r="F38" s="83"/>
      <c r="G38" s="83"/>
      <c r="H38" s="83"/>
    </row>
    <row r="39" spans="2:8" x14ac:dyDescent="0.4">
      <c r="B39" s="21"/>
      <c r="C39" s="21"/>
      <c r="D39" s="21"/>
      <c r="E39" s="21"/>
      <c r="F39" s="21"/>
      <c r="G39" s="21"/>
      <c r="H39" s="21"/>
    </row>
    <row r="40" spans="2:8" x14ac:dyDescent="0.4">
      <c r="B40" s="83" t="s">
        <v>607</v>
      </c>
      <c r="C40" s="83"/>
      <c r="D40" s="83"/>
      <c r="E40" s="83"/>
      <c r="F40" s="83"/>
      <c r="G40" s="83"/>
      <c r="H40" s="83"/>
    </row>
  </sheetData>
  <mergeCells count="32">
    <mergeCell ref="B18:H18"/>
    <mergeCell ref="B3:H4"/>
    <mergeCell ref="C6:H6"/>
    <mergeCell ref="C7:H7"/>
    <mergeCell ref="C8:H8"/>
    <mergeCell ref="C9:H9"/>
    <mergeCell ref="B11:H11"/>
    <mergeCell ref="B12:H12"/>
    <mergeCell ref="B13:H13"/>
    <mergeCell ref="B15:H15"/>
    <mergeCell ref="B16:H16"/>
    <mergeCell ref="B17:H17"/>
    <mergeCell ref="F30:H30"/>
    <mergeCell ref="B19:H19"/>
    <mergeCell ref="B20:H20"/>
    <mergeCell ref="B21:H21"/>
    <mergeCell ref="B22:H22"/>
    <mergeCell ref="B23:H23"/>
    <mergeCell ref="B24:H24"/>
    <mergeCell ref="F25:H25"/>
    <mergeCell ref="F26:H26"/>
    <mergeCell ref="F27:H27"/>
    <mergeCell ref="F28:H28"/>
    <mergeCell ref="F29:H29"/>
    <mergeCell ref="B38:H38"/>
    <mergeCell ref="B40:H40"/>
    <mergeCell ref="F31:H31"/>
    <mergeCell ref="F32:H32"/>
    <mergeCell ref="F33:H33"/>
    <mergeCell ref="F34:H34"/>
    <mergeCell ref="F35:H35"/>
    <mergeCell ref="B36:H36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BED4B-F153-4E8C-9EBD-CDB86AB620CA}">
  <sheetPr codeName="Sheet21"/>
  <dimension ref="A1:G90"/>
  <sheetViews>
    <sheetView workbookViewId="0"/>
  </sheetViews>
  <sheetFormatPr defaultRowHeight="17.399999999999999" x14ac:dyDescent="0.4"/>
  <cols>
    <col min="1" max="1" width="3.19921875" customWidth="1"/>
    <col min="2" max="2" width="13.69921875" customWidth="1"/>
    <col min="3" max="3" width="11.69921875" customWidth="1"/>
    <col min="4" max="4" width="13.69921875" customWidth="1"/>
    <col min="5" max="6" width="11.69921875" customWidth="1"/>
    <col min="7" max="7" width="13.69921875" customWidth="1"/>
  </cols>
  <sheetData>
    <row r="1" spans="1:7" ht="24" x14ac:dyDescent="0.4">
      <c r="A1" s="20" t="s">
        <v>520</v>
      </c>
      <c r="B1" s="87" t="str">
        <f>"2026학년도 교복 학교주관구매 추진 계획(안)"</f>
        <v>2026학년도 교복 학교주관구매 추진 계획(안)</v>
      </c>
      <c r="C1" s="88"/>
      <c r="D1" s="88"/>
      <c r="E1" s="88"/>
      <c r="F1" s="88"/>
      <c r="G1" s="88"/>
    </row>
    <row r="2" spans="1:7" ht="16.95" customHeight="1" x14ac:dyDescent="0.4">
      <c r="B2" s="71" t="str">
        <f>IF(기초자료입력!C4&lt;&gt;"",기초자료입력!C4&amp;"장",  "○○○학교장")</f>
        <v>○○○학교장</v>
      </c>
      <c r="C2" s="71"/>
      <c r="D2" s="71"/>
      <c r="E2" s="71"/>
      <c r="F2" s="71"/>
      <c r="G2" s="71"/>
    </row>
    <row r="3" spans="1:7" ht="6" customHeight="1" x14ac:dyDescent="0.4">
      <c r="B3" s="46"/>
      <c r="C3" s="37"/>
      <c r="D3" s="37"/>
      <c r="E3" s="37"/>
      <c r="F3" s="37"/>
      <c r="G3" s="37"/>
    </row>
    <row r="4" spans="1:7" x14ac:dyDescent="0.4">
      <c r="B4" s="37"/>
      <c r="C4" s="37"/>
      <c r="D4" s="37"/>
      <c r="E4" s="37"/>
      <c r="F4" s="37"/>
      <c r="G4" s="37"/>
    </row>
    <row r="5" spans="1:7" x14ac:dyDescent="0.4">
      <c r="B5" s="99" t="str">
        <f>"1  개요"</f>
        <v>1  개요</v>
      </c>
      <c r="C5" s="76"/>
      <c r="D5" s="76"/>
      <c r="E5" s="76"/>
      <c r="F5" s="76"/>
      <c r="G5" s="76"/>
    </row>
    <row r="6" spans="1:7" ht="16.95" customHeight="1" x14ac:dyDescent="0.4">
      <c r="B6" s="86" t="str">
        <f>"❍ 사업명："&amp;IF(기초자료입력!C5&lt;&gt;"",기초자료입력!C5,"20○○")&amp;"학년도 교복 학교주관구매"</f>
        <v>❍ 사업명：20○○학년도 교복 학교주관구매</v>
      </c>
      <c r="C6" s="86"/>
      <c r="D6" s="86"/>
      <c r="E6" s="86"/>
      <c r="F6" s="86"/>
      <c r="G6" s="86"/>
    </row>
    <row r="7" spans="1:7" ht="30" customHeight="1" x14ac:dyDescent="0.4">
      <c r="B7" s="86" t="s">
        <v>521</v>
      </c>
      <c r="C7" s="86"/>
      <c r="D7" s="86"/>
      <c r="E7" s="86"/>
      <c r="F7" s="86"/>
      <c r="G7" s="86"/>
    </row>
    <row r="8" spans="1:7" ht="30" customHeight="1" x14ac:dyDescent="0.4">
      <c r="B8" s="86" t="s">
        <v>522</v>
      </c>
      <c r="C8" s="86"/>
      <c r="D8" s="86"/>
      <c r="E8" s="86"/>
      <c r="F8" s="86"/>
      <c r="G8" s="86"/>
    </row>
    <row r="9" spans="1:7" ht="16.95" customHeight="1" x14ac:dyDescent="0.4">
      <c r="B9" s="86" t="s">
        <v>523</v>
      </c>
      <c r="C9" s="86"/>
      <c r="D9" s="86"/>
      <c r="E9" s="86"/>
      <c r="F9" s="86"/>
      <c r="G9" s="86"/>
    </row>
    <row r="10" spans="1:7" ht="16.95" customHeight="1" x14ac:dyDescent="0.4">
      <c r="B10" s="86" t="s">
        <v>524</v>
      </c>
      <c r="C10" s="86"/>
      <c r="D10" s="86"/>
      <c r="E10" s="86"/>
      <c r="F10" s="86"/>
      <c r="G10" s="86"/>
    </row>
    <row r="11" spans="1:7" ht="6" customHeight="1" x14ac:dyDescent="0.4">
      <c r="B11" s="37"/>
      <c r="C11" s="37"/>
      <c r="D11" s="37"/>
      <c r="E11" s="37"/>
      <c r="F11" s="37"/>
      <c r="G11" s="37"/>
    </row>
    <row r="12" spans="1:7" x14ac:dyDescent="0.4">
      <c r="B12" s="37"/>
      <c r="C12" s="37"/>
      <c r="D12" s="37"/>
      <c r="E12" s="37"/>
      <c r="F12" s="37"/>
      <c r="G12" s="37"/>
    </row>
    <row r="13" spans="1:7" x14ac:dyDescent="0.4">
      <c r="B13" s="99" t="str">
        <f>"2  기본방향"</f>
        <v>2  기본방향</v>
      </c>
      <c r="C13" s="76"/>
      <c r="D13" s="76"/>
      <c r="E13" s="76"/>
      <c r="F13" s="76"/>
      <c r="G13" s="76"/>
    </row>
    <row r="14" spans="1:7" ht="30" customHeight="1" x14ac:dyDescent="0.4">
      <c r="B14" s="86" t="s">
        <v>525</v>
      </c>
      <c r="C14" s="86"/>
      <c r="D14" s="86"/>
      <c r="E14" s="86"/>
      <c r="F14" s="86"/>
      <c r="G14" s="86"/>
    </row>
    <row r="15" spans="1:7" ht="30" customHeight="1" x14ac:dyDescent="0.4">
      <c r="B15" s="86" t="s">
        <v>526</v>
      </c>
      <c r="C15" s="86"/>
      <c r="D15" s="86"/>
      <c r="E15" s="86"/>
      <c r="F15" s="86"/>
      <c r="G15" s="86"/>
    </row>
    <row r="16" spans="1:7" ht="30" customHeight="1" x14ac:dyDescent="0.4">
      <c r="B16" s="86" t="s">
        <v>527</v>
      </c>
      <c r="C16" s="86"/>
      <c r="D16" s="86"/>
      <c r="E16" s="86"/>
      <c r="F16" s="86"/>
      <c r="G16" s="86"/>
    </row>
    <row r="17" spans="2:7" ht="6" customHeight="1" x14ac:dyDescent="0.4">
      <c r="B17" s="37"/>
      <c r="C17" s="37"/>
      <c r="D17" s="37"/>
      <c r="E17" s="37"/>
      <c r="F17" s="37"/>
      <c r="G17" s="37"/>
    </row>
    <row r="18" spans="2:7" x14ac:dyDescent="0.4">
      <c r="B18" s="37"/>
      <c r="C18" s="37"/>
      <c r="D18" s="37"/>
      <c r="E18" s="37"/>
      <c r="F18" s="37"/>
      <c r="G18" s="37"/>
    </row>
    <row r="19" spans="2:7" x14ac:dyDescent="0.4">
      <c r="B19" s="99" t="str">
        <f>"3  추진 절차 개요"</f>
        <v>3  추진 절차 개요</v>
      </c>
      <c r="C19" s="76"/>
      <c r="D19" s="76"/>
      <c r="E19" s="76"/>
      <c r="F19" s="76"/>
      <c r="G19" s="76"/>
    </row>
    <row r="20" spans="2:7" x14ac:dyDescent="0.4">
      <c r="B20" s="75" t="s">
        <v>528</v>
      </c>
      <c r="C20" s="89"/>
      <c r="D20" s="75" t="s">
        <v>529</v>
      </c>
      <c r="E20" s="89"/>
      <c r="F20" s="89"/>
      <c r="G20" s="31" t="s">
        <v>278</v>
      </c>
    </row>
    <row r="21" spans="2:7" ht="43.05" customHeight="1" x14ac:dyDescent="0.4">
      <c r="B21" s="102" t="s">
        <v>530</v>
      </c>
      <c r="C21" s="102"/>
      <c r="D21" s="102" t="s">
        <v>531</v>
      </c>
      <c r="E21" s="102"/>
      <c r="F21" s="102"/>
      <c r="G21" s="36" t="s">
        <v>532</v>
      </c>
    </row>
    <row r="22" spans="2:7" ht="30" customHeight="1" x14ac:dyDescent="0.4">
      <c r="B22" s="102" t="s">
        <v>533</v>
      </c>
      <c r="C22" s="102"/>
      <c r="D22" s="102" t="s">
        <v>534</v>
      </c>
      <c r="E22" s="102"/>
      <c r="F22" s="102"/>
      <c r="G22" s="36" t="s">
        <v>532</v>
      </c>
    </row>
    <row r="23" spans="2:7" ht="43.05" customHeight="1" x14ac:dyDescent="0.4">
      <c r="B23" s="102" t="s">
        <v>535</v>
      </c>
      <c r="C23" s="102"/>
      <c r="D23" s="102" t="s">
        <v>536</v>
      </c>
      <c r="E23" s="102"/>
      <c r="F23" s="102"/>
      <c r="G23" s="36" t="s">
        <v>537</v>
      </c>
    </row>
    <row r="24" spans="2:7" ht="30" customHeight="1" x14ac:dyDescent="0.4">
      <c r="B24" s="102" t="s">
        <v>538</v>
      </c>
      <c r="C24" s="102"/>
      <c r="D24" s="102" t="s">
        <v>539</v>
      </c>
      <c r="E24" s="102"/>
      <c r="F24" s="102"/>
      <c r="G24" s="36" t="s">
        <v>540</v>
      </c>
    </row>
    <row r="25" spans="2:7" ht="16.95" customHeight="1" x14ac:dyDescent="0.4">
      <c r="B25" s="102" t="s">
        <v>541</v>
      </c>
      <c r="C25" s="102"/>
      <c r="D25" s="102" t="s">
        <v>542</v>
      </c>
      <c r="E25" s="102"/>
      <c r="F25" s="102"/>
      <c r="G25" s="36" t="s">
        <v>537</v>
      </c>
    </row>
    <row r="26" spans="2:7" ht="30" customHeight="1" x14ac:dyDescent="0.4">
      <c r="B26" s="102" t="s">
        <v>543</v>
      </c>
      <c r="C26" s="102"/>
      <c r="D26" s="102" t="s">
        <v>544</v>
      </c>
      <c r="E26" s="102"/>
      <c r="F26" s="102"/>
      <c r="G26" s="36" t="s">
        <v>540</v>
      </c>
    </row>
    <row r="27" spans="2:7" ht="30" customHeight="1" x14ac:dyDescent="0.4">
      <c r="B27" s="102" t="s">
        <v>545</v>
      </c>
      <c r="C27" s="102"/>
      <c r="D27" s="102" t="s">
        <v>546</v>
      </c>
      <c r="E27" s="102"/>
      <c r="F27" s="102"/>
      <c r="G27" s="36" t="s">
        <v>532</v>
      </c>
    </row>
    <row r="28" spans="2:7" ht="43.05" customHeight="1" x14ac:dyDescent="0.4">
      <c r="B28" s="102" t="s">
        <v>547</v>
      </c>
      <c r="C28" s="102"/>
      <c r="D28" s="102" t="s">
        <v>548</v>
      </c>
      <c r="E28" s="102"/>
      <c r="F28" s="102"/>
      <c r="G28" s="36" t="s">
        <v>532</v>
      </c>
    </row>
    <row r="29" spans="2:7" ht="30" customHeight="1" x14ac:dyDescent="0.4">
      <c r="B29" s="102" t="s">
        <v>549</v>
      </c>
      <c r="C29" s="102"/>
      <c r="D29" s="102" t="s">
        <v>550</v>
      </c>
      <c r="E29" s="102"/>
      <c r="F29" s="102"/>
      <c r="G29" s="36" t="s">
        <v>540</v>
      </c>
    </row>
    <row r="30" spans="2:7" ht="30" customHeight="1" x14ac:dyDescent="0.4">
      <c r="B30" s="102" t="s">
        <v>551</v>
      </c>
      <c r="C30" s="102"/>
      <c r="D30" s="102" t="s">
        <v>552</v>
      </c>
      <c r="E30" s="102"/>
      <c r="F30" s="102"/>
      <c r="G30" s="36" t="s">
        <v>537</v>
      </c>
    </row>
    <row r="31" spans="2:7" ht="43.05" customHeight="1" x14ac:dyDescent="0.4">
      <c r="B31" s="102" t="s">
        <v>553</v>
      </c>
      <c r="C31" s="102"/>
      <c r="D31" s="102" t="s">
        <v>554</v>
      </c>
      <c r="E31" s="102"/>
      <c r="F31" s="102"/>
      <c r="G31" s="36" t="s">
        <v>540</v>
      </c>
    </row>
    <row r="32" spans="2:7" ht="6" customHeight="1" x14ac:dyDescent="0.4">
      <c r="B32" s="37"/>
      <c r="C32" s="37"/>
      <c r="D32" s="37"/>
      <c r="E32" s="37"/>
      <c r="F32" s="37"/>
      <c r="G32" s="37"/>
    </row>
    <row r="33" spans="2:7" x14ac:dyDescent="0.4">
      <c r="B33" s="37"/>
      <c r="C33" s="37"/>
      <c r="D33" s="37"/>
      <c r="E33" s="37"/>
      <c r="F33" s="37"/>
      <c r="G33" s="37"/>
    </row>
    <row r="34" spans="2:7" x14ac:dyDescent="0.4">
      <c r="B34" s="99" t="str">
        <f>"4  세부 추진 절차"</f>
        <v>4  세부 추진 절차</v>
      </c>
      <c r="C34" s="76"/>
      <c r="D34" s="76"/>
      <c r="E34" s="76"/>
      <c r="F34" s="76"/>
      <c r="G34" s="76"/>
    </row>
    <row r="35" spans="2:7" x14ac:dyDescent="0.4">
      <c r="B35" s="81" t="s">
        <v>555</v>
      </c>
      <c r="C35" s="76"/>
      <c r="D35" s="76"/>
      <c r="E35" s="76"/>
      <c r="F35" s="76"/>
      <c r="G35" s="76"/>
    </row>
    <row r="36" spans="2:7" ht="16.95" customHeight="1" x14ac:dyDescent="0.4">
      <c r="B36" s="86" t="s">
        <v>556</v>
      </c>
      <c r="C36" s="86"/>
      <c r="D36" s="86"/>
      <c r="E36" s="86"/>
      <c r="F36" s="86"/>
      <c r="G36" s="86"/>
    </row>
    <row r="37" spans="2:7" ht="43.05" customHeight="1" x14ac:dyDescent="0.4">
      <c r="B37" s="86" t="s">
        <v>557</v>
      </c>
      <c r="C37" s="86"/>
      <c r="D37" s="86"/>
      <c r="E37" s="86"/>
      <c r="F37" s="86"/>
      <c r="G37" s="86"/>
    </row>
    <row r="38" spans="2:7" ht="25.95" customHeight="1" x14ac:dyDescent="0.4">
      <c r="B38" s="86" t="s">
        <v>558</v>
      </c>
      <c r="C38" s="86"/>
      <c r="D38" s="86"/>
      <c r="E38" s="86"/>
      <c r="F38" s="86"/>
      <c r="G38" s="86"/>
    </row>
    <row r="39" spans="2:7" ht="6" customHeight="1" x14ac:dyDescent="0.4">
      <c r="B39" s="37"/>
      <c r="C39" s="37"/>
      <c r="D39" s="37"/>
      <c r="E39" s="37"/>
      <c r="F39" s="37"/>
      <c r="G39" s="37"/>
    </row>
    <row r="40" spans="2:7" x14ac:dyDescent="0.4">
      <c r="B40" s="81" t="s">
        <v>559</v>
      </c>
      <c r="C40" s="76"/>
      <c r="D40" s="76"/>
      <c r="E40" s="76"/>
      <c r="F40" s="76"/>
      <c r="G40" s="76"/>
    </row>
    <row r="41" spans="2:7" ht="30" customHeight="1" x14ac:dyDescent="0.4">
      <c r="B41" s="86" t="s">
        <v>560</v>
      </c>
      <c r="C41" s="86"/>
      <c r="D41" s="86"/>
      <c r="E41" s="86"/>
      <c r="F41" s="86"/>
      <c r="G41" s="86"/>
    </row>
    <row r="42" spans="2:7" x14ac:dyDescent="0.4">
      <c r="B42" s="31" t="s">
        <v>505</v>
      </c>
      <c r="C42" s="31" t="s">
        <v>312</v>
      </c>
      <c r="D42" s="31" t="s">
        <v>506</v>
      </c>
      <c r="E42" s="31" t="s">
        <v>507</v>
      </c>
      <c r="F42" s="75" t="s">
        <v>301</v>
      </c>
      <c r="G42" s="75"/>
    </row>
    <row r="43" spans="2:7" x14ac:dyDescent="0.4">
      <c r="B43" s="56" t="str">
        <f>IF(기초자료입력!B58&lt;&gt;"",1,"")</f>
        <v/>
      </c>
      <c r="C43" s="56" t="str">
        <f>IF(기초자료입력!B58&lt;&gt;"","위원장","")</f>
        <v/>
      </c>
      <c r="D43" s="56" t="str">
        <f>IF(기초자료입력!B58&lt;&gt;"",기초자료입력!B58,"")</f>
        <v/>
      </c>
      <c r="E43" s="56" t="str">
        <f>IF(기초자료입력!C58&lt;&gt;"",기초자료입력!C58,"")</f>
        <v/>
      </c>
      <c r="F43" s="101"/>
      <c r="G43" s="101"/>
    </row>
    <row r="44" spans="2:7" x14ac:dyDescent="0.4">
      <c r="B44" s="56" t="str">
        <f>IF(기초자료입력!B59&lt;&gt;"",2,"")</f>
        <v/>
      </c>
      <c r="C44" s="56" t="str">
        <f>IF(기초자료입력!B59&lt;&gt;"","위원","")</f>
        <v/>
      </c>
      <c r="D44" s="56" t="str">
        <f>IF(기초자료입력!B59&lt;&gt;"",기초자료입력!B59,"")</f>
        <v/>
      </c>
      <c r="E44" s="56" t="str">
        <f>IF(기초자료입력!C59&lt;&gt;"",기초자료입력!C59,"")</f>
        <v/>
      </c>
      <c r="F44" s="101"/>
      <c r="G44" s="101"/>
    </row>
    <row r="45" spans="2:7" x14ac:dyDescent="0.4">
      <c r="B45" s="56" t="str">
        <f>IF(기초자료입력!B60&lt;&gt;"",3,"")</f>
        <v/>
      </c>
      <c r="C45" s="56" t="str">
        <f>IF(기초자료입력!B60&lt;&gt;"","위원","")</f>
        <v/>
      </c>
      <c r="D45" s="56" t="str">
        <f>IF(기초자료입력!B60&lt;&gt;"",기초자료입력!B60,"")</f>
        <v/>
      </c>
      <c r="E45" s="56" t="str">
        <f>IF(기초자료입력!C60&lt;&gt;"",기초자료입력!C60,"")</f>
        <v/>
      </c>
      <c r="F45" s="101"/>
      <c r="G45" s="101"/>
    </row>
    <row r="46" spans="2:7" x14ac:dyDescent="0.4">
      <c r="B46" s="56" t="str">
        <f>IF(기초자료입력!B61&lt;&gt;"",4,"")</f>
        <v/>
      </c>
      <c r="C46" s="56" t="str">
        <f>IF(기초자료입력!B61&lt;&gt;"","위원","")</f>
        <v/>
      </c>
      <c r="D46" s="56" t="str">
        <f>IF(기초자료입력!B61&lt;&gt;"",기초자료입력!B61,"")</f>
        <v/>
      </c>
      <c r="E46" s="56" t="str">
        <f>IF(기초자료입력!C61&lt;&gt;"",기초자료입력!C61,"")</f>
        <v/>
      </c>
      <c r="F46" s="101"/>
      <c r="G46" s="101"/>
    </row>
    <row r="47" spans="2:7" x14ac:dyDescent="0.4">
      <c r="B47" s="56" t="str">
        <f>IF(기초자료입력!B62&lt;&gt;"",5,"")</f>
        <v/>
      </c>
      <c r="C47" s="56" t="str">
        <f>IF(기초자료입력!B62&lt;&gt;"","위원","")</f>
        <v/>
      </c>
      <c r="D47" s="56" t="str">
        <f>IF(기초자료입력!B62&lt;&gt;"",기초자료입력!B62,"")</f>
        <v/>
      </c>
      <c r="E47" s="56" t="str">
        <f>IF(기초자료입력!C62&lt;&gt;"",기초자료입력!C62,"")</f>
        <v/>
      </c>
      <c r="F47" s="101"/>
      <c r="G47" s="101"/>
    </row>
    <row r="48" spans="2:7" x14ac:dyDescent="0.4">
      <c r="B48" s="56" t="str">
        <f>IF(기초자료입력!B63&lt;&gt;"",6,"")</f>
        <v/>
      </c>
      <c r="C48" s="56" t="str">
        <f>IF(기초자료입력!B63&lt;&gt;"","위원","")</f>
        <v/>
      </c>
      <c r="D48" s="56" t="str">
        <f>IF(기초자료입력!B63&lt;&gt;"",기초자료입력!B63,"")</f>
        <v/>
      </c>
      <c r="E48" s="56" t="str">
        <f>IF(기초자료입력!C63&lt;&gt;"",기초자료입력!C63,"")</f>
        <v/>
      </c>
      <c r="F48" s="101"/>
      <c r="G48" s="101"/>
    </row>
    <row r="49" spans="2:7" x14ac:dyDescent="0.4">
      <c r="B49" s="56" t="str">
        <f>IF(기초자료입력!B64&lt;&gt;"",7,"")</f>
        <v/>
      </c>
      <c r="C49" s="56" t="str">
        <f>IF(기초자료입력!B64&lt;&gt;"","위원","")</f>
        <v/>
      </c>
      <c r="D49" s="56" t="str">
        <f>IF(기초자료입력!B64&lt;&gt;"",기초자료입력!B64,"")</f>
        <v/>
      </c>
      <c r="E49" s="56" t="str">
        <f>IF(기초자료입력!C64&lt;&gt;"",기초자료입력!C64,"")</f>
        <v/>
      </c>
      <c r="F49" s="101"/>
      <c r="G49" s="101"/>
    </row>
    <row r="50" spans="2:7" x14ac:dyDescent="0.4">
      <c r="B50" s="56" t="str">
        <f>IF(기초자료입력!B65&lt;&gt;"",8,"")</f>
        <v/>
      </c>
      <c r="C50" s="56" t="str">
        <f>IF(기초자료입력!B65&lt;&gt;"","위원","")</f>
        <v/>
      </c>
      <c r="D50" s="56" t="str">
        <f>IF(기초자료입력!B65&lt;&gt;"",기초자료입력!B65,"")</f>
        <v/>
      </c>
      <c r="E50" s="56" t="str">
        <f>IF(기초자료입력!C65&lt;&gt;"",기초자료입력!C65,"")</f>
        <v/>
      </c>
      <c r="F50" s="101"/>
      <c r="G50" s="101"/>
    </row>
    <row r="51" spans="2:7" x14ac:dyDescent="0.4">
      <c r="B51" s="56" t="str">
        <f>IF(기초자료입력!B66&lt;&gt;"",9,"")</f>
        <v/>
      </c>
      <c r="C51" s="56" t="str">
        <f>IF(기초자료입력!B66&lt;&gt;"","위원","")</f>
        <v/>
      </c>
      <c r="D51" s="56" t="str">
        <f>IF(기초자료입력!B66&lt;&gt;"",기초자료입력!B66,"")</f>
        <v/>
      </c>
      <c r="E51" s="56" t="str">
        <f>IF(기초자료입력!C66&lt;&gt;"",기초자료입력!C66,"")</f>
        <v/>
      </c>
      <c r="F51" s="101"/>
      <c r="G51" s="101"/>
    </row>
    <row r="52" spans="2:7" x14ac:dyDescent="0.4">
      <c r="B52" s="56" t="str">
        <f>IF(기초자료입력!B67&lt;&gt;"",10,"")</f>
        <v/>
      </c>
      <c r="C52" s="56" t="str">
        <f>IF(기초자료입력!B67&lt;&gt;"","위원","")</f>
        <v/>
      </c>
      <c r="D52" s="56" t="str">
        <f>IF(기초자료입력!B67&lt;&gt;"",기초자료입력!B67,"")</f>
        <v/>
      </c>
      <c r="E52" s="56" t="str">
        <f>IF(기초자료입력!C67&lt;&gt;"",기초자료입력!C67,"")</f>
        <v/>
      </c>
      <c r="F52" s="101"/>
      <c r="G52" s="101"/>
    </row>
    <row r="53" spans="2:7" ht="94.95" customHeight="1" x14ac:dyDescent="0.4">
      <c r="B53" s="100" t="s">
        <v>561</v>
      </c>
      <c r="C53" s="100"/>
      <c r="D53" s="100"/>
      <c r="E53" s="100"/>
      <c r="F53" s="100"/>
      <c r="G53" s="100"/>
    </row>
    <row r="54" spans="2:7" ht="25.95" customHeight="1" x14ac:dyDescent="0.4">
      <c r="B54" s="86" t="s">
        <v>562</v>
      </c>
      <c r="C54" s="86"/>
      <c r="D54" s="86"/>
      <c r="E54" s="86"/>
      <c r="F54" s="86"/>
      <c r="G54" s="86"/>
    </row>
    <row r="55" spans="2:7" ht="6" customHeight="1" x14ac:dyDescent="0.4">
      <c r="B55" s="37"/>
      <c r="C55" s="37"/>
      <c r="D55" s="37"/>
      <c r="E55" s="37"/>
      <c r="F55" s="37"/>
      <c r="G55" s="37"/>
    </row>
    <row r="56" spans="2:7" x14ac:dyDescent="0.4">
      <c r="B56" s="81" t="s">
        <v>563</v>
      </c>
      <c r="C56" s="76"/>
      <c r="D56" s="76"/>
      <c r="E56" s="76"/>
      <c r="F56" s="76"/>
      <c r="G56" s="76"/>
    </row>
    <row r="57" spans="2:7" ht="43.05" customHeight="1" x14ac:dyDescent="0.4">
      <c r="B57" s="86" t="s">
        <v>564</v>
      </c>
      <c r="C57" s="86"/>
      <c r="D57" s="86"/>
      <c r="E57" s="86"/>
      <c r="F57" s="86"/>
      <c r="G57" s="86"/>
    </row>
    <row r="58" spans="2:7" ht="43.05" customHeight="1" x14ac:dyDescent="0.4">
      <c r="B58" s="86" t="str">
        <f>"※ 상한가격(참고용 자동 계산)：동복(4pcs 기준)："&amp;IF(SUM(기초자료입력!$D$29:$D$32)=0,"○○○,○○○",TEXT(SUM(기초자료입력!$D$29:$D$32),"#,##0"))&amp;"원 / 하복(2pcs 기준)："&amp;IF(SUM(기초자료입력!$D$33:$D$34)=0,"○○,○○○",TEXT(SUM(기초자료입력!$D$33:$D$34),"#,##0"))&amp;"원 (계약일 기준 적용기간은 교육청 고시에 따름)"</f>
        <v>※ 상한가격(참고용 자동 계산)：동복(4pcs 기준)：○○○,○○○원 / 하복(2pcs 기준)：○○,○○○원 (계약일 기준 적용기간은 교육청 고시에 따름)</v>
      </c>
      <c r="C58" s="86"/>
      <c r="D58" s="86"/>
      <c r="E58" s="86"/>
      <c r="F58" s="86"/>
      <c r="G58" s="86"/>
    </row>
    <row r="59" spans="2:7" ht="30" customHeight="1" x14ac:dyDescent="0.4">
      <c r="B59" s="86" t="s">
        <v>565</v>
      </c>
      <c r="C59" s="86"/>
      <c r="D59" s="86"/>
      <c r="E59" s="86"/>
      <c r="F59" s="86"/>
      <c r="G59" s="86"/>
    </row>
    <row r="60" spans="2:7" ht="6" customHeight="1" x14ac:dyDescent="0.4">
      <c r="B60" s="37"/>
      <c r="C60" s="37"/>
      <c r="D60" s="37"/>
      <c r="E60" s="37"/>
      <c r="F60" s="37"/>
      <c r="G60" s="37"/>
    </row>
    <row r="61" spans="2:7" x14ac:dyDescent="0.4">
      <c r="B61" s="81" t="s">
        <v>566</v>
      </c>
      <c r="C61" s="76"/>
      <c r="D61" s="76"/>
      <c r="E61" s="76"/>
      <c r="F61" s="76"/>
      <c r="G61" s="76"/>
    </row>
    <row r="62" spans="2:7" ht="43.05" customHeight="1" x14ac:dyDescent="0.4">
      <c r="B62" s="86" t="s">
        <v>567</v>
      </c>
      <c r="C62" s="86"/>
      <c r="D62" s="86"/>
      <c r="E62" s="86"/>
      <c r="F62" s="86"/>
      <c r="G62" s="86"/>
    </row>
    <row r="63" spans="2:7" ht="55.95" customHeight="1" x14ac:dyDescent="0.4">
      <c r="B63" s="86" t="s">
        <v>568</v>
      </c>
      <c r="C63" s="86"/>
      <c r="D63" s="86"/>
      <c r="E63" s="86"/>
      <c r="F63" s="86"/>
      <c r="G63" s="86"/>
    </row>
    <row r="64" spans="2:7" ht="30" customHeight="1" x14ac:dyDescent="0.4">
      <c r="B64" s="86" t="s">
        <v>569</v>
      </c>
      <c r="C64" s="86"/>
      <c r="D64" s="86"/>
      <c r="E64" s="86"/>
      <c r="F64" s="86"/>
      <c r="G64" s="86"/>
    </row>
    <row r="65" spans="2:7" ht="16.95" customHeight="1" x14ac:dyDescent="0.4">
      <c r="B65" s="86" t="s">
        <v>570</v>
      </c>
      <c r="C65" s="86"/>
      <c r="D65" s="86"/>
      <c r="E65" s="86"/>
      <c r="F65" s="86"/>
      <c r="G65" s="86"/>
    </row>
    <row r="66" spans="2:7" ht="43.05" customHeight="1" x14ac:dyDescent="0.4">
      <c r="B66" s="86" t="s">
        <v>571</v>
      </c>
      <c r="C66" s="86"/>
      <c r="D66" s="86"/>
      <c r="E66" s="86"/>
      <c r="F66" s="86"/>
      <c r="G66" s="86"/>
    </row>
    <row r="67" spans="2:7" ht="30" customHeight="1" x14ac:dyDescent="0.4">
      <c r="B67" s="86" t="s">
        <v>572</v>
      </c>
      <c r="C67" s="86"/>
      <c r="D67" s="86"/>
      <c r="E67" s="86"/>
      <c r="F67" s="86"/>
      <c r="G67" s="86"/>
    </row>
    <row r="68" spans="2:7" ht="6" customHeight="1" x14ac:dyDescent="0.4">
      <c r="B68" s="37"/>
      <c r="C68" s="37"/>
      <c r="D68" s="37"/>
      <c r="E68" s="37"/>
      <c r="F68" s="37"/>
      <c r="G68" s="37"/>
    </row>
    <row r="69" spans="2:7" x14ac:dyDescent="0.4">
      <c r="B69" s="81" t="s">
        <v>573</v>
      </c>
      <c r="C69" s="76"/>
      <c r="D69" s="76"/>
      <c r="E69" s="76"/>
      <c r="F69" s="76"/>
      <c r="G69" s="76"/>
    </row>
    <row r="70" spans="2:7" ht="30" customHeight="1" x14ac:dyDescent="0.4">
      <c r="B70" s="86" t="s">
        <v>574</v>
      </c>
      <c r="C70" s="86"/>
      <c r="D70" s="86"/>
      <c r="E70" s="86"/>
      <c r="F70" s="86"/>
      <c r="G70" s="86"/>
    </row>
    <row r="71" spans="2:7" ht="43.05" customHeight="1" x14ac:dyDescent="0.4">
      <c r="B71" s="86" t="s">
        <v>575</v>
      </c>
      <c r="C71" s="86"/>
      <c r="D71" s="86"/>
      <c r="E71" s="86"/>
      <c r="F71" s="86"/>
      <c r="G71" s="86"/>
    </row>
    <row r="72" spans="2:7" ht="43.05" customHeight="1" x14ac:dyDescent="0.4">
      <c r="B72" s="86" t="s">
        <v>576</v>
      </c>
      <c r="C72" s="86"/>
      <c r="D72" s="86"/>
      <c r="E72" s="86"/>
      <c r="F72" s="86"/>
      <c r="G72" s="86"/>
    </row>
    <row r="73" spans="2:7" ht="43.05" customHeight="1" x14ac:dyDescent="0.4">
      <c r="B73" s="86" t="s">
        <v>577</v>
      </c>
      <c r="C73" s="86"/>
      <c r="D73" s="86"/>
      <c r="E73" s="86"/>
      <c r="F73" s="86"/>
      <c r="G73" s="86"/>
    </row>
    <row r="74" spans="2:7" ht="37.049999999999997" customHeight="1" x14ac:dyDescent="0.4">
      <c r="B74" s="86" t="s">
        <v>578</v>
      </c>
      <c r="C74" s="86"/>
      <c r="D74" s="86"/>
      <c r="E74" s="86"/>
      <c r="F74" s="86"/>
      <c r="G74" s="86"/>
    </row>
    <row r="75" spans="2:7" ht="6" customHeight="1" x14ac:dyDescent="0.4">
      <c r="B75" s="37"/>
      <c r="C75" s="37"/>
      <c r="D75" s="37"/>
      <c r="E75" s="37"/>
      <c r="F75" s="37"/>
      <c r="G75" s="37"/>
    </row>
    <row r="76" spans="2:7" x14ac:dyDescent="0.4">
      <c r="B76" s="81" t="s">
        <v>579</v>
      </c>
      <c r="C76" s="76"/>
      <c r="D76" s="76"/>
      <c r="E76" s="76"/>
      <c r="F76" s="76"/>
      <c r="G76" s="76"/>
    </row>
    <row r="77" spans="2:7" ht="30" customHeight="1" x14ac:dyDescent="0.4">
      <c r="B77" s="86" t="s">
        <v>580</v>
      </c>
      <c r="C77" s="86"/>
      <c r="D77" s="86"/>
      <c r="E77" s="86"/>
      <c r="F77" s="86"/>
      <c r="G77" s="86"/>
    </row>
    <row r="78" spans="2:7" ht="15" customHeight="1" x14ac:dyDescent="0.4">
      <c r="B78" s="86" t="s">
        <v>581</v>
      </c>
      <c r="C78" s="86"/>
      <c r="D78" s="86"/>
      <c r="E78" s="86"/>
      <c r="F78" s="86"/>
      <c r="G78" s="86"/>
    </row>
    <row r="79" spans="2:7" ht="6" customHeight="1" x14ac:dyDescent="0.4">
      <c r="B79" s="37"/>
      <c r="C79" s="37"/>
      <c r="D79" s="37"/>
      <c r="E79" s="37"/>
      <c r="F79" s="37"/>
      <c r="G79" s="37"/>
    </row>
    <row r="80" spans="2:7" x14ac:dyDescent="0.4">
      <c r="B80" s="81" t="s">
        <v>582</v>
      </c>
      <c r="C80" s="76"/>
      <c r="D80" s="76"/>
      <c r="E80" s="76"/>
      <c r="F80" s="76"/>
      <c r="G80" s="76"/>
    </row>
    <row r="81" spans="2:7" ht="30" customHeight="1" x14ac:dyDescent="0.4">
      <c r="B81" s="86" t="s">
        <v>583</v>
      </c>
      <c r="C81" s="86"/>
      <c r="D81" s="86"/>
      <c r="E81" s="86"/>
      <c r="F81" s="86"/>
      <c r="G81" s="86"/>
    </row>
    <row r="82" spans="2:7" ht="43.05" customHeight="1" x14ac:dyDescent="0.4">
      <c r="B82" s="86" t="s">
        <v>584</v>
      </c>
      <c r="C82" s="86"/>
      <c r="D82" s="86"/>
      <c r="E82" s="86"/>
      <c r="F82" s="86"/>
      <c r="G82" s="86"/>
    </row>
    <row r="83" spans="2:7" ht="16.95" customHeight="1" x14ac:dyDescent="0.4">
      <c r="B83" s="86" t="s">
        <v>585</v>
      </c>
      <c r="C83" s="86"/>
      <c r="D83" s="86"/>
      <c r="E83" s="86"/>
      <c r="F83" s="86"/>
      <c r="G83" s="86"/>
    </row>
    <row r="84" spans="2:7" ht="30" customHeight="1" x14ac:dyDescent="0.4">
      <c r="B84" s="86" t="s">
        <v>586</v>
      </c>
      <c r="C84" s="86"/>
      <c r="D84" s="86"/>
      <c r="E84" s="86"/>
      <c r="F84" s="86"/>
      <c r="G84" s="86"/>
    </row>
    <row r="85" spans="2:7" ht="6" customHeight="1" x14ac:dyDescent="0.4">
      <c r="B85" s="37"/>
      <c r="C85" s="37"/>
      <c r="D85" s="37"/>
      <c r="E85" s="37"/>
      <c r="F85" s="37"/>
      <c r="G85" s="37"/>
    </row>
    <row r="86" spans="2:7" x14ac:dyDescent="0.4">
      <c r="B86" s="37"/>
      <c r="C86" s="37"/>
      <c r="D86" s="37"/>
      <c r="E86" s="37"/>
      <c r="F86" s="37"/>
      <c r="G86" s="37"/>
    </row>
    <row r="87" spans="2:7" x14ac:dyDescent="0.4">
      <c r="B87" s="99" t="str">
        <f>"5  기대효과"</f>
        <v>5  기대효과</v>
      </c>
      <c r="C87" s="76"/>
      <c r="D87" s="76"/>
      <c r="E87" s="76"/>
      <c r="F87" s="76"/>
      <c r="G87" s="76"/>
    </row>
    <row r="88" spans="2:7" ht="43.05" customHeight="1" x14ac:dyDescent="0.4">
      <c r="B88" s="86" t="s">
        <v>587</v>
      </c>
      <c r="C88" s="86"/>
      <c r="D88" s="86"/>
      <c r="E88" s="86"/>
      <c r="F88" s="86"/>
      <c r="G88" s="86"/>
    </row>
    <row r="89" spans="2:7" ht="6" customHeight="1" x14ac:dyDescent="0.4">
      <c r="B89" s="37"/>
      <c r="C89" s="37"/>
      <c r="D89" s="37"/>
      <c r="E89" s="37"/>
      <c r="F89" s="37"/>
      <c r="G89" s="37"/>
    </row>
    <row r="90" spans="2:7" ht="16.95" customHeight="1" x14ac:dyDescent="0.4">
      <c r="B90" s="86" t="s">
        <v>588</v>
      </c>
      <c r="C90" s="86"/>
      <c r="D90" s="86"/>
      <c r="E90" s="86"/>
      <c r="F90" s="86"/>
      <c r="G90" s="86"/>
    </row>
  </sheetData>
  <mergeCells count="85">
    <mergeCell ref="B8:G8"/>
    <mergeCell ref="B1:G1"/>
    <mergeCell ref="B2:G2"/>
    <mergeCell ref="B5:G5"/>
    <mergeCell ref="B6:G6"/>
    <mergeCell ref="B7:G7"/>
    <mergeCell ref="B22:C22"/>
    <mergeCell ref="D22:F22"/>
    <mergeCell ref="B9:G9"/>
    <mergeCell ref="B10:G10"/>
    <mergeCell ref="B13:G13"/>
    <mergeCell ref="B14:G14"/>
    <mergeCell ref="B15:G15"/>
    <mergeCell ref="B16:G16"/>
    <mergeCell ref="B19:G19"/>
    <mergeCell ref="B20:C20"/>
    <mergeCell ref="D20:F20"/>
    <mergeCell ref="B21:C21"/>
    <mergeCell ref="D21:F21"/>
    <mergeCell ref="B23:C23"/>
    <mergeCell ref="D23:F23"/>
    <mergeCell ref="B24:C24"/>
    <mergeCell ref="D24:F24"/>
    <mergeCell ref="B25:C25"/>
    <mergeCell ref="D25:F25"/>
    <mergeCell ref="B26:C26"/>
    <mergeCell ref="D26:F26"/>
    <mergeCell ref="B27:C27"/>
    <mergeCell ref="D27:F27"/>
    <mergeCell ref="B28:C28"/>
    <mergeCell ref="D28:F28"/>
    <mergeCell ref="B29:C29"/>
    <mergeCell ref="D29:F29"/>
    <mergeCell ref="B30:C30"/>
    <mergeCell ref="D30:F30"/>
    <mergeCell ref="B31:C31"/>
    <mergeCell ref="D31:F31"/>
    <mergeCell ref="F46:G46"/>
    <mergeCell ref="B34:G34"/>
    <mergeCell ref="B35:G35"/>
    <mergeCell ref="B36:G36"/>
    <mergeCell ref="B37:G37"/>
    <mergeCell ref="B38:G38"/>
    <mergeCell ref="B40:G40"/>
    <mergeCell ref="B41:G41"/>
    <mergeCell ref="F42:G42"/>
    <mergeCell ref="F43:G43"/>
    <mergeCell ref="F44:G44"/>
    <mergeCell ref="F45:G45"/>
    <mergeCell ref="B59:G59"/>
    <mergeCell ref="F47:G47"/>
    <mergeCell ref="F48:G48"/>
    <mergeCell ref="F49:G49"/>
    <mergeCell ref="F50:G50"/>
    <mergeCell ref="F51:G51"/>
    <mergeCell ref="F52:G52"/>
    <mergeCell ref="B53:G53"/>
    <mergeCell ref="B54:G54"/>
    <mergeCell ref="B56:G56"/>
    <mergeCell ref="B57:G57"/>
    <mergeCell ref="B58:G58"/>
    <mergeCell ref="B73:G73"/>
    <mergeCell ref="B61:G61"/>
    <mergeCell ref="B62:G62"/>
    <mergeCell ref="B63:G63"/>
    <mergeCell ref="B64:G64"/>
    <mergeCell ref="B65:G65"/>
    <mergeCell ref="B66:G66"/>
    <mergeCell ref="B67:G67"/>
    <mergeCell ref="B69:G69"/>
    <mergeCell ref="B70:G70"/>
    <mergeCell ref="B71:G71"/>
    <mergeCell ref="B72:G72"/>
    <mergeCell ref="B90:G90"/>
    <mergeCell ref="B74:G74"/>
    <mergeCell ref="B76:G76"/>
    <mergeCell ref="B77:G77"/>
    <mergeCell ref="B78:G78"/>
    <mergeCell ref="B80:G80"/>
    <mergeCell ref="B81:G81"/>
    <mergeCell ref="B82:G82"/>
    <mergeCell ref="B83:G83"/>
    <mergeCell ref="B84:G84"/>
    <mergeCell ref="B87:G87"/>
    <mergeCell ref="B88:G88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9A8E5-96F8-46B8-AEF2-B261847F787B}">
  <sheetPr codeName="Sheet22"/>
  <dimension ref="A1:H20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518</v>
      </c>
    </row>
    <row r="3" spans="1:8" ht="24" x14ac:dyDescent="0.4">
      <c r="B3" s="87" t="s">
        <v>519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274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275</v>
      </c>
      <c r="C7" s="96" t="s">
        <v>495</v>
      </c>
      <c r="D7" s="96"/>
      <c r="E7" s="96"/>
      <c r="F7" s="96"/>
      <c r="G7" s="96"/>
      <c r="H7" s="96"/>
    </row>
    <row r="8" spans="1:8" x14ac:dyDescent="0.4">
      <c r="B8" s="25" t="s">
        <v>282</v>
      </c>
      <c r="C8" s="96"/>
      <c r="D8" s="96"/>
      <c r="E8" s="96"/>
      <c r="F8" s="96"/>
      <c r="G8" s="96"/>
      <c r="H8" s="96"/>
    </row>
    <row r="9" spans="1:8" x14ac:dyDescent="0.4">
      <c r="B9" s="25" t="s">
        <v>276</v>
      </c>
      <c r="C9" s="98" t="str">
        <f>IF(기초자료입력!C5&lt;&gt;"",기초자료입력!C5&amp;"학년도 교복 학교주관구매 추진 계획(안)","교복 학교주관구매 추진 계획(안)")</f>
        <v>교복 학교주관구매 추진 계획(안)</v>
      </c>
      <c r="D9" s="96"/>
      <c r="E9" s="96"/>
      <c r="F9" s="96"/>
      <c r="G9" s="96"/>
      <c r="H9" s="96"/>
    </row>
    <row r="10" spans="1:8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3" t="s">
        <v>283</v>
      </c>
      <c r="C11" s="83" t="str">
        <f>IF(기초자료입력!C23&lt;&gt;"",기초자료입력!C23,"")</f>
        <v/>
      </c>
      <c r="D11" s="83"/>
      <c r="E11" s="83"/>
      <c r="F11" s="83"/>
      <c r="G11" s="83"/>
      <c r="H11" s="83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ht="28.05" customHeight="1" x14ac:dyDescent="0.4">
      <c r="B13" s="72" t="str">
        <f>"2. 공정하고 투명한 교복 선정 및 합리적인 교복 구매를 위해 "&amp;IF(기초자료입력!C4&lt;&gt;"",기초자료입력!C4,"○○학교")&amp;" "&amp;IF(기초자료입력!C5&lt;&gt;"",기초자료입력!C5,"○○")&amp;"학년도 교복 학교주관구매 계획을 붙임과 같이 수립하여 업무 추진에 만전을 기하고자 합니다."</f>
        <v>2. 공정하고 투명한 교복 선정 및 합리적인 교복 구매를 위해 ○○학교 ○○학년도 교복 학교주관구매 계획을 붙임과 같이 수립하여 업무 추진에 만전을 기하고자 합니다.</v>
      </c>
      <c r="C13" s="72"/>
      <c r="D13" s="72"/>
      <c r="E13" s="72"/>
      <c r="F13" s="72"/>
      <c r="G13" s="72"/>
      <c r="H13" s="72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84" t="str">
        <f>"붙임  "&amp;IF(기초자료입력!C5&lt;&gt;"",기초자료입력!C5,"○○")&amp;"학년도 교복 학교주관구매 추진 계획(안) 1부.  끝."</f>
        <v>붙임  ○○학년도 교복 학교주관구매 추진 계획(안) 1부.  끝.</v>
      </c>
      <c r="C15" s="83"/>
      <c r="D15" s="83"/>
      <c r="E15" s="83"/>
      <c r="F15" s="83"/>
      <c r="G15" s="83"/>
      <c r="H15" s="83"/>
    </row>
    <row r="16" spans="1:8" x14ac:dyDescent="0.4">
      <c r="B16" s="21"/>
      <c r="C16" s="21"/>
      <c r="D16" s="21"/>
      <c r="E16" s="21"/>
      <c r="F16" s="21"/>
      <c r="G16" s="21"/>
      <c r="H16" s="21"/>
    </row>
    <row r="17" spans="2:8" x14ac:dyDescent="0.4">
      <c r="B17" s="22"/>
      <c r="C17" s="22"/>
      <c r="D17" s="22"/>
      <c r="E17" s="22"/>
      <c r="F17" s="22" t="s">
        <v>278</v>
      </c>
      <c r="G17" s="22" t="s">
        <v>289</v>
      </c>
      <c r="H17" s="22" t="s">
        <v>279</v>
      </c>
    </row>
    <row r="18" spans="2:8" x14ac:dyDescent="0.4">
      <c r="B18" s="25" t="s">
        <v>290</v>
      </c>
      <c r="C18" s="96" t="str">
        <f>IF(기초자료입력!C9&lt;&gt;"",기초자료입력!C9,"")</f>
        <v/>
      </c>
      <c r="D18" s="96"/>
      <c r="E18" s="96"/>
      <c r="F18" s="25" t="s">
        <v>291</v>
      </c>
      <c r="G18" s="96"/>
      <c r="H18" s="96"/>
    </row>
    <row r="19" spans="2:8" x14ac:dyDescent="0.4">
      <c r="B19" s="25" t="s">
        <v>292</v>
      </c>
      <c r="C19" s="22"/>
      <c r="D19" s="25" t="s">
        <v>293</v>
      </c>
      <c r="E19" s="96"/>
      <c r="F19" s="96"/>
      <c r="G19" s="96"/>
      <c r="H19" s="96"/>
    </row>
    <row r="20" spans="2:8" x14ac:dyDescent="0.4">
      <c r="B20" s="25" t="s">
        <v>294</v>
      </c>
      <c r="C20" s="22"/>
      <c r="D20" s="25" t="s">
        <v>295</v>
      </c>
      <c r="E20" s="22"/>
      <c r="F20" s="25" t="s">
        <v>296</v>
      </c>
      <c r="G20" s="96"/>
      <c r="H20" s="96"/>
    </row>
  </sheetData>
  <mergeCells count="11">
    <mergeCell ref="B13:H13"/>
    <mergeCell ref="B3:H3"/>
    <mergeCell ref="C7:H7"/>
    <mergeCell ref="C8:H8"/>
    <mergeCell ref="C9:H9"/>
    <mergeCell ref="C11:H11"/>
    <mergeCell ref="B15:H15"/>
    <mergeCell ref="C18:E18"/>
    <mergeCell ref="G18:H18"/>
    <mergeCell ref="E19:H19"/>
    <mergeCell ref="G20:H20"/>
  </mergeCells>
  <phoneticPr fontId="6" type="noConversion"/>
  <pageMargins left="0.50000076388888881" right="0.50000076388888881" top="0.50000076388888881" bottom="0.50000076388888881" header="0.3" footer="0.3"/>
  <pageSetup paperSize="9" fitToWidth="0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CAE92-7FC8-46E0-9C2F-FE146A89A326}">
  <sheetPr codeName="Sheet23"/>
  <dimension ref="A1:E20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516</v>
      </c>
    </row>
    <row r="3" spans="1:5" ht="25.95" customHeight="1" x14ac:dyDescent="0.4">
      <c r="B3" s="105" t="s">
        <v>517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     년      월      일 "&amp;IF(기초자료입력!C4&lt;&gt;"",기초자료입력!C4,"○○학교")&amp;"에서 실시하는 교복 학교주관구매업체 선정을 위한 평가함에 있어 「부패 없는 투명한 사회」 구현 등을 위하여 다음 사항을 준수할 것을 서약합니다."</f>
        <v>본인은      년      월      일 ○○학교에서 실시하는 교복 학교주관구매업체 선정을 위한 평가함에 있어 「부패 없는 투명한 사회」 구현 등을 위하여 다음 사항을 준수할 것을 서약합니다.</v>
      </c>
      <c r="C6" s="106"/>
      <c r="D6" s="106"/>
      <c r="E6" s="106"/>
    </row>
    <row r="7" spans="1:5" ht="10.050000000000001" customHeight="1" x14ac:dyDescent="0.4">
      <c r="B7" s="54"/>
      <c r="C7" s="54"/>
      <c r="D7" s="54"/>
      <c r="E7" s="54"/>
    </row>
    <row r="8" spans="1:5" ht="25.95" customHeight="1" x14ac:dyDescent="0.4">
      <c r="B8" s="106" t="str">
        <f>"1. 20○○학년도 "&amp;IF(기초자료입력!C4&lt;&gt;"",기초자료입력!C4,"○○학교")&amp;" 교복 학교주관구매업체 선정을 위해 제시된 항목에 따라 객관적이고 공정하게 심사할 것을 약속합니다."</f>
        <v>1. 20○○학년도 ○○학교 교복 학교주관구매업체 선정을 위해 제시된 항목에 따라 객관적이고 공정하게 심사할 것을 약속합니다.</v>
      </c>
      <c r="C8" s="106"/>
      <c r="D8" s="106"/>
      <c r="E8" s="106"/>
    </row>
    <row r="9" spans="1:5" ht="25.95" customHeight="1" x14ac:dyDescent="0.4">
      <c r="B9" s="106" t="str">
        <f>"2.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하겠습니다."</f>
        <v>2. ○○학교 교복 학교 주관 교복선정 위원회 지위를 이용하여 관련업체로부터 어떠한 경우에도 금품·향응·편의 등을 수수하거나 제공받지 않을 것이며, 이러한 상황이 발생하면 사업부서에 통보하여 공정한 평가가 이루어지도록 하겠습니다.</v>
      </c>
      <c r="C9" s="106"/>
      <c r="D9" s="106"/>
      <c r="E9" s="106"/>
    </row>
    <row r="10" spans="1:5" ht="25.95" customHeight="1" x14ac:dyDescent="0.4">
      <c r="B10" s="106" t="str">
        <f>"3. 업무상 취득한 비밀을 준수하고 보안관계 규정 및 지침을 성실히 수행하겠습니다."</f>
        <v>3. 업무상 취득한 비밀을 준수하고 보안관계 규정 및 지침을 성실히 수행하겠습니다.</v>
      </c>
      <c r="C10" s="106"/>
      <c r="D10" s="106"/>
      <c r="E10" s="106"/>
    </row>
    <row r="11" spans="1:5" ht="25.95" customHeight="1" x14ac:dyDescent="0.4">
      <c r="B11" s="106" t="str">
        <f>"4. 평가와 관련하여 알게 된 업무상 비밀을 타인에게 누설하지 않겠으며, 업무상 취득한 비밀을 누설할 때에는 관계법규에 따라 처벌을 받는 것에 이의를 제기하지 않겠습니다."</f>
        <v>4. 평가와 관련하여 알게 된 업무상 비밀을 타인에게 누설하지 않겠으며, 업무상 취득한 비밀을 누설할 때에는 관계법규에 따라 처벌을 받는 것에 이의를 제기하지 않겠습니다.</v>
      </c>
      <c r="C11" s="106"/>
      <c r="D11" s="106"/>
      <c r="E11" s="106"/>
    </row>
    <row r="12" spans="1:5" ht="10.050000000000001" customHeight="1" x14ac:dyDescent="0.4">
      <c r="B12" s="54"/>
      <c r="C12" s="54"/>
      <c r="D12" s="54"/>
      <c r="E12" s="54"/>
    </row>
    <row r="13" spans="1:5" ht="13.95" customHeight="1" x14ac:dyDescent="0.4">
      <c r="B13" s="54"/>
      <c r="C13" s="54"/>
      <c r="D13" s="54"/>
      <c r="E13" s="54"/>
    </row>
    <row r="14" spans="1:5" ht="19.95" customHeight="1" x14ac:dyDescent="0.4">
      <c r="B14" s="103" t="str">
        <f>"20      년      월      일"</f>
        <v>20      년      월      일</v>
      </c>
      <c r="C14" s="103"/>
      <c r="D14" s="103"/>
      <c r="E14" s="103"/>
    </row>
    <row r="15" spans="1:5" ht="13.95" customHeight="1" x14ac:dyDescent="0.4">
      <c r="B15" s="54"/>
      <c r="C15" s="54"/>
      <c r="D15" s="54"/>
      <c r="E15" s="54"/>
    </row>
    <row r="16" spans="1:5" ht="13.95" customHeight="1" x14ac:dyDescent="0.4">
      <c r="B16" s="54"/>
      <c r="C16" s="54"/>
      <c r="D16" s="54"/>
      <c r="E16" s="54"/>
    </row>
    <row r="17" spans="2:5" ht="22.05" customHeight="1" x14ac:dyDescent="0.4">
      <c r="B17" s="104" t="str">
        <f>"서 약 자 성 명 :                              (인)"</f>
        <v>서 약 자 성 명 :                              (인)</v>
      </c>
      <c r="C17" s="104"/>
      <c r="D17" s="104"/>
      <c r="E17" s="104"/>
    </row>
    <row r="18" spans="2:5" ht="13.95" customHeight="1" x14ac:dyDescent="0.4">
      <c r="B18" s="54"/>
      <c r="C18" s="54"/>
      <c r="D18" s="54"/>
      <c r="E18" s="54"/>
    </row>
    <row r="19" spans="2:5" ht="10.050000000000001" customHeight="1" x14ac:dyDescent="0.4">
      <c r="B19" s="54"/>
      <c r="C19" s="54"/>
      <c r="D19" s="54"/>
      <c r="E19" s="54"/>
    </row>
    <row r="20" spans="2:5" ht="19.95" customHeight="1" x14ac:dyDescent="0.4">
      <c r="B20" s="103" t="str">
        <f>IF(기초자료입력!$C$4="","○○○학교장 귀하",기초자료입력!$C$4&amp;"장 귀하")</f>
        <v>○○○학교장 귀하</v>
      </c>
      <c r="C20" s="103"/>
      <c r="D20" s="103"/>
      <c r="E20" s="103"/>
    </row>
  </sheetData>
  <mergeCells count="9">
    <mergeCell ref="B14:E14"/>
    <mergeCell ref="B17:E17"/>
    <mergeCell ref="B20:E20"/>
    <mergeCell ref="B3:E4"/>
    <mergeCell ref="B6:E6"/>
    <mergeCell ref="B8:E8"/>
    <mergeCell ref="B9:E9"/>
    <mergeCell ref="B10:E10"/>
    <mergeCell ref="B11:E11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45506-43E4-4986-B016-C1B5E5C11E1F}">
  <sheetPr codeName="Sheet24"/>
  <dimension ref="A1:E2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1:5" ht="12" customHeight="1" x14ac:dyDescent="0.4">
      <c r="A1" s="20" t="s">
        <v>510</v>
      </c>
    </row>
    <row r="3" spans="1:5" ht="25.95" customHeight="1" x14ac:dyDescent="0.4">
      <c r="B3" s="105" t="s">
        <v>511</v>
      </c>
      <c r="C3" s="103"/>
      <c r="D3" s="103"/>
      <c r="E3" s="103"/>
    </row>
    <row r="4" spans="1:5" ht="25.95" customHeight="1" x14ac:dyDescent="0.4">
      <c r="B4" s="103"/>
      <c r="C4" s="103"/>
      <c r="D4" s="103"/>
      <c r="E4" s="103"/>
    </row>
    <row r="5" spans="1:5" ht="10.050000000000001" customHeight="1" x14ac:dyDescent="0.4">
      <c r="B5" s="54"/>
      <c r="C5" s="54"/>
      <c r="D5" s="54"/>
      <c r="E5" s="54"/>
    </row>
    <row r="6" spans="1:5" ht="28.05" customHeight="1" x14ac:dyDescent="0.4">
      <c r="B6" s="106" t="str">
        <f>"본인은 "&amp;IF(기초자료입력!C4&lt;&gt;"",기초자료입력!C4,"○○학교")&amp;" 교복선정위원회 활동을 공정하게 수행할 것이며, 교복가격 안정화에 적극 노력하겠습니다."</f>
        <v>본인은 ○○학교 교복선정위원회 활동을 공정하게 수행할 것이며, 교복가격 안정화에 적극 노력하겠습니다.</v>
      </c>
      <c r="C6" s="106"/>
      <c r="D6" s="106"/>
      <c r="E6" s="106"/>
    </row>
    <row r="7" spans="1:5" ht="28.05" customHeight="1" x14ac:dyDescent="0.4">
      <c r="B7" s="106" t="str">
        <f>"아울러 본인은 "&amp;IF(기초자료입력!C4&lt;&gt;"",기초자료입력!C4,"○○학교")&amp;" 교복 입찰에 참가한(또는 앞으로 참가할) 업체와 전혀 관련이 없음을 확인합니다."</f>
        <v>아울러 본인은 ○○학교 교복 입찰에 참가한(또는 앞으로 참가할) 업체와 전혀 관련이 없음을 확인합니다.</v>
      </c>
      <c r="C7" s="106"/>
      <c r="D7" s="106"/>
      <c r="E7" s="106"/>
    </row>
    <row r="8" spans="1:5" ht="28.05" customHeight="1" x14ac:dyDescent="0.4">
      <c r="B8" s="106" t="s">
        <v>512</v>
      </c>
      <c r="C8" s="106"/>
      <c r="D8" s="106"/>
      <c r="E8" s="106"/>
    </row>
    <row r="9" spans="1:5" ht="13.95" customHeight="1" x14ac:dyDescent="0.4">
      <c r="B9" s="54"/>
      <c r="C9" s="54"/>
      <c r="D9" s="54"/>
      <c r="E9" s="54"/>
    </row>
    <row r="10" spans="1:5" ht="13.95" customHeight="1" x14ac:dyDescent="0.4">
      <c r="B10" s="54"/>
      <c r="C10" s="54"/>
      <c r="D10" s="54"/>
      <c r="E10" s="54"/>
    </row>
    <row r="11" spans="1:5" ht="10.050000000000001" customHeight="1" x14ac:dyDescent="0.4">
      <c r="B11" s="54"/>
      <c r="C11" s="54"/>
      <c r="D11" s="54"/>
      <c r="E11" s="54"/>
    </row>
    <row r="12" spans="1:5" ht="19.95" customHeight="1" x14ac:dyDescent="0.4">
      <c r="B12" s="103" t="str">
        <f>IF(기초자료입력!$C$5="","20○○.  ○○  .  ○○  .","20"&amp;RIGHT(기초자료입력!$C$5,2)&amp;".  ○○  .  ○○  .")</f>
        <v>20○○.  ○○  .  ○○  .</v>
      </c>
      <c r="C12" s="103"/>
      <c r="D12" s="103"/>
      <c r="E12" s="103"/>
    </row>
    <row r="13" spans="1:5" ht="13.95" customHeight="1" x14ac:dyDescent="0.4">
      <c r="B13" s="54"/>
      <c r="C13" s="54"/>
      <c r="D13" s="54"/>
      <c r="E13" s="54"/>
    </row>
    <row r="14" spans="1:5" ht="22.05" customHeight="1" x14ac:dyDescent="0.4">
      <c r="B14" s="104" t="s">
        <v>513</v>
      </c>
      <c r="C14" s="104"/>
      <c r="D14" s="104"/>
      <c r="E14" s="104"/>
    </row>
    <row r="15" spans="1:5" ht="13.95" customHeight="1" x14ac:dyDescent="0.4">
      <c r="B15" s="55"/>
      <c r="C15" s="55"/>
      <c r="D15" s="55"/>
      <c r="E15" s="55"/>
    </row>
    <row r="16" spans="1:5" ht="22.05" customHeight="1" x14ac:dyDescent="0.4">
      <c r="B16" s="104" t="s">
        <v>514</v>
      </c>
      <c r="C16" s="104"/>
      <c r="D16" s="104"/>
      <c r="E16" s="104"/>
    </row>
    <row r="17" spans="2:5" ht="13.95" customHeight="1" x14ac:dyDescent="0.4">
      <c r="B17" s="55"/>
      <c r="C17" s="55"/>
      <c r="D17" s="55"/>
      <c r="E17" s="55"/>
    </row>
    <row r="18" spans="2:5" ht="22.05" customHeight="1" x14ac:dyDescent="0.4">
      <c r="B18" s="104" t="s">
        <v>515</v>
      </c>
      <c r="C18" s="104"/>
      <c r="D18" s="104"/>
      <c r="E18" s="104"/>
    </row>
    <row r="19" spans="2:5" ht="13.95" customHeight="1" x14ac:dyDescent="0.4">
      <c r="B19" s="54"/>
      <c r="C19" s="54"/>
      <c r="D19" s="54"/>
      <c r="E19" s="54"/>
    </row>
    <row r="20" spans="2:5" ht="10.050000000000001" customHeight="1" x14ac:dyDescent="0.4">
      <c r="B20" s="54"/>
      <c r="C20" s="54"/>
      <c r="D20" s="54"/>
      <c r="E20" s="54"/>
    </row>
    <row r="21" spans="2:5" ht="19.95" customHeight="1" x14ac:dyDescent="0.4">
      <c r="B21" s="103" t="str">
        <f>IF(기초자료입력!$C$4="","○○학교장 귀하",기초자료입력!$C$4&amp;"장 귀하")</f>
        <v>○○학교장 귀하</v>
      </c>
      <c r="C21" s="103"/>
      <c r="D21" s="103"/>
      <c r="E21" s="103"/>
    </row>
  </sheetData>
  <mergeCells count="9">
    <mergeCell ref="B16:E16"/>
    <mergeCell ref="B18:E18"/>
    <mergeCell ref="B21:E21"/>
    <mergeCell ref="B3:E4"/>
    <mergeCell ref="B6:E6"/>
    <mergeCell ref="B7:E7"/>
    <mergeCell ref="B8:E8"/>
    <mergeCell ref="B12:E12"/>
    <mergeCell ref="B14:E14"/>
  </mergeCells>
  <phoneticPr fontId="6" type="noConversion"/>
  <pageMargins left="0.39370138888888889" right="0.39370138888888889" top="0.39370138888888889" bottom="0.39370138888888889" header="0.19685069444444445" footer="0.19685069444444445"/>
  <pageSetup paperSize="9" fitToWidth="0" fitToHeight="0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38869-E364-4330-B653-D4B79060D98D}">
  <sheetPr codeName="Sheet25"/>
  <dimension ref="A1:H43"/>
  <sheetViews>
    <sheetView workbookViewId="0"/>
  </sheetViews>
  <sheetFormatPr defaultRowHeight="17.399999999999999" x14ac:dyDescent="0.4"/>
  <cols>
    <col min="1" max="1" width="3.19921875" customWidth="1"/>
    <col min="2" max="3" width="8.69921875" customWidth="1"/>
    <col min="4" max="4" width="12.69921875" customWidth="1"/>
    <col min="5" max="5" width="10.69921875" customWidth="1"/>
    <col min="6" max="8" width="8.69921875" customWidth="1"/>
  </cols>
  <sheetData>
    <row r="1" spans="1:8" x14ac:dyDescent="0.4">
      <c r="A1" s="20" t="s">
        <v>493</v>
      </c>
    </row>
    <row r="3" spans="1:8" ht="24" customHeight="1" x14ac:dyDescent="0.4">
      <c r="B3" s="87" t="s">
        <v>494</v>
      </c>
      <c r="C3" s="88"/>
      <c r="D3" s="88"/>
      <c r="E3" s="88"/>
      <c r="F3" s="88"/>
      <c r="G3" s="88"/>
      <c r="H3" s="88"/>
    </row>
    <row r="5" spans="1:8" ht="14.55" customHeight="1" x14ac:dyDescent="0.4">
      <c r="B5" s="53" t="s">
        <v>25</v>
      </c>
      <c r="C5" s="36" t="str">
        <f>IF(기초자료입력!C9&lt;&gt;"",기초자료입력!C9,"")</f>
        <v/>
      </c>
      <c r="D5" s="36"/>
      <c r="E5" s="53" t="s">
        <v>274</v>
      </c>
      <c r="F5" s="36" t="str">
        <f>IF(기초자료입력!C8&lt;&gt;"",TEXT(기초자료입력!C8,"yyyy-mm-dd"),"")</f>
        <v/>
      </c>
      <c r="G5" s="36"/>
      <c r="H5" s="36"/>
    </row>
    <row r="6" spans="1:8" ht="14.55" customHeight="1" x14ac:dyDescent="0.4">
      <c r="B6" s="36"/>
      <c r="C6" s="36"/>
      <c r="D6" s="36"/>
      <c r="E6" s="36"/>
      <c r="F6" s="36"/>
      <c r="G6" s="36"/>
      <c r="H6" s="36"/>
    </row>
    <row r="7" spans="1:8" ht="14.55" customHeight="1" x14ac:dyDescent="0.4">
      <c r="B7" s="53" t="s">
        <v>275</v>
      </c>
      <c r="C7" s="89" t="s">
        <v>495</v>
      </c>
      <c r="D7" s="89"/>
      <c r="E7" s="89"/>
      <c r="F7" s="89"/>
      <c r="G7" s="89"/>
      <c r="H7" s="89"/>
    </row>
    <row r="8" spans="1:8" ht="14.55" customHeight="1" x14ac:dyDescent="0.4">
      <c r="B8" s="53" t="s">
        <v>282</v>
      </c>
      <c r="C8" s="89"/>
      <c r="D8" s="89"/>
      <c r="E8" s="89"/>
      <c r="F8" s="89"/>
      <c r="G8" s="89"/>
      <c r="H8" s="89"/>
    </row>
    <row r="9" spans="1:8" ht="14.55" customHeight="1" x14ac:dyDescent="0.4">
      <c r="B9" s="53" t="s">
        <v>276</v>
      </c>
      <c r="C9" s="91" t="str">
        <f>IF(기초자료입력!C5&lt;&gt;"",기초자료입력!C5&amp;"학년도 교복선정위원회 구성(안)","교복선정위원회 구성(안)")</f>
        <v>교복선정위원회 구성(안)</v>
      </c>
      <c r="D9" s="89"/>
      <c r="E9" s="89"/>
      <c r="F9" s="89"/>
      <c r="G9" s="89"/>
      <c r="H9" s="89"/>
    </row>
    <row r="10" spans="1:8" ht="14.55" customHeight="1" x14ac:dyDescent="0.4">
      <c r="B10" s="36"/>
      <c r="C10" s="36"/>
      <c r="D10" s="36"/>
      <c r="E10" s="36"/>
      <c r="F10" s="36"/>
      <c r="G10" s="36"/>
      <c r="H10" s="36"/>
    </row>
    <row r="11" spans="1:8" ht="14.55" customHeight="1" x14ac:dyDescent="0.4">
      <c r="B11" s="53" t="s">
        <v>283</v>
      </c>
      <c r="C11" s="89" t="str">
        <f>IF(기초자료입력!C23&lt;&gt;"",기초자료입력!C23,"")</f>
        <v/>
      </c>
      <c r="D11" s="89"/>
      <c r="E11" s="89"/>
      <c r="F11" s="89"/>
      <c r="G11" s="89"/>
      <c r="H11" s="89"/>
    </row>
    <row r="12" spans="1:8" ht="14.55" customHeight="1" x14ac:dyDescent="0.4">
      <c r="B12" s="36"/>
      <c r="C12" s="36"/>
      <c r="D12" s="36"/>
      <c r="E12" s="36"/>
      <c r="F12" s="36"/>
      <c r="G12" s="36"/>
      <c r="H12" s="36"/>
    </row>
    <row r="13" spans="1:8" ht="25.95" customHeight="1" x14ac:dyDescent="0.4">
      <c r="B13" s="102" t="str">
        <f>"2. "&amp;IF(기초자료입력!C4&lt;&gt;"",기초자료입력!C4,"○○학교")&amp;" "&amp;IF(기초자료입력!C5&lt;&gt;"",기초자료입력!C5,"○○")&amp;"학년도 교복선정을 위한 교복선정위원회를 아래와 같이 구성하고자 합니다."</f>
        <v>2. ○○학교 ○○학년도 교복선정을 위한 교복선정위원회를 아래와 같이 구성하고자 합니다.</v>
      </c>
      <c r="C13" s="102"/>
      <c r="D13" s="102"/>
      <c r="E13" s="102"/>
      <c r="F13" s="102"/>
      <c r="G13" s="102"/>
      <c r="H13" s="102"/>
    </row>
    <row r="14" spans="1:8" ht="14.55" customHeight="1" x14ac:dyDescent="0.4">
      <c r="B14" s="36"/>
      <c r="C14" s="36"/>
      <c r="D14" s="36"/>
      <c r="E14" s="36"/>
      <c r="F14" s="36"/>
      <c r="G14" s="36"/>
      <c r="H14" s="36"/>
    </row>
    <row r="15" spans="1:8" ht="14.55" customHeight="1" x14ac:dyDescent="0.4">
      <c r="B15" s="91" t="s">
        <v>496</v>
      </c>
      <c r="C15" s="89"/>
      <c r="D15" s="89"/>
      <c r="E15" s="89"/>
      <c r="F15" s="89"/>
      <c r="G15" s="89"/>
      <c r="H15" s="89"/>
    </row>
    <row r="16" spans="1:8" ht="19.95" customHeight="1" x14ac:dyDescent="0.4">
      <c r="B16" s="107" t="s">
        <v>497</v>
      </c>
      <c r="C16" s="102"/>
      <c r="D16" s="102"/>
      <c r="E16" s="102"/>
      <c r="F16" s="102"/>
      <c r="G16" s="102"/>
      <c r="H16" s="102"/>
    </row>
    <row r="17" spans="2:8" ht="12" customHeight="1" x14ac:dyDescent="0.4">
      <c r="B17" s="102" t="s">
        <v>498</v>
      </c>
      <c r="C17" s="102"/>
      <c r="D17" s="102"/>
      <c r="E17" s="102"/>
      <c r="F17" s="102"/>
      <c r="G17" s="102"/>
      <c r="H17" s="102"/>
    </row>
    <row r="18" spans="2:8" ht="14.55" customHeight="1" x14ac:dyDescent="0.4">
      <c r="B18" s="91" t="s">
        <v>499</v>
      </c>
      <c r="C18" s="89"/>
      <c r="D18" s="89"/>
      <c r="E18" s="89"/>
      <c r="F18" s="89"/>
      <c r="G18" s="89"/>
      <c r="H18" s="89"/>
    </row>
    <row r="19" spans="2:8" ht="14.55" customHeight="1" x14ac:dyDescent="0.4">
      <c r="B19" s="89" t="s">
        <v>500</v>
      </c>
      <c r="C19" s="89"/>
      <c r="D19" s="89"/>
      <c r="E19" s="89"/>
      <c r="F19" s="89"/>
      <c r="G19" s="89"/>
      <c r="H19" s="89"/>
    </row>
    <row r="20" spans="2:8" ht="14.55" customHeight="1" x14ac:dyDescent="0.4">
      <c r="B20" s="89" t="s">
        <v>501</v>
      </c>
      <c r="C20" s="89"/>
      <c r="D20" s="89"/>
      <c r="E20" s="89"/>
      <c r="F20" s="89"/>
      <c r="G20" s="89"/>
      <c r="H20" s="89"/>
    </row>
    <row r="21" spans="2:8" ht="14.55" customHeight="1" x14ac:dyDescent="0.4">
      <c r="B21" s="89" t="s">
        <v>502</v>
      </c>
      <c r="C21" s="89"/>
      <c r="D21" s="89"/>
      <c r="E21" s="89"/>
      <c r="F21" s="89"/>
      <c r="G21" s="89"/>
      <c r="H21" s="89"/>
    </row>
    <row r="22" spans="2:8" ht="14.55" customHeight="1" x14ac:dyDescent="0.4">
      <c r="B22" s="89" t="s">
        <v>503</v>
      </c>
      <c r="C22" s="89"/>
      <c r="D22" s="89"/>
      <c r="E22" s="89"/>
      <c r="F22" s="89"/>
      <c r="G22" s="89"/>
      <c r="H22" s="89"/>
    </row>
    <row r="23" spans="2:8" ht="14.55" customHeight="1" x14ac:dyDescent="0.4">
      <c r="B23" s="36"/>
      <c r="C23" s="36"/>
      <c r="D23" s="36"/>
      <c r="E23" s="36"/>
      <c r="F23" s="36"/>
      <c r="G23" s="36"/>
      <c r="H23" s="36"/>
    </row>
    <row r="24" spans="2:8" ht="14.55" customHeight="1" x14ac:dyDescent="0.4">
      <c r="B24" s="91" t="s">
        <v>504</v>
      </c>
      <c r="C24" s="89"/>
      <c r="D24" s="89"/>
      <c r="E24" s="89"/>
      <c r="F24" s="89"/>
      <c r="G24" s="89"/>
      <c r="H24" s="89"/>
    </row>
    <row r="25" spans="2:8" ht="14.55" customHeight="1" x14ac:dyDescent="0.4">
      <c r="B25" s="31" t="s">
        <v>505</v>
      </c>
      <c r="C25" s="31" t="s">
        <v>312</v>
      </c>
      <c r="D25" s="31" t="s">
        <v>506</v>
      </c>
      <c r="E25" s="31" t="s">
        <v>507</v>
      </c>
      <c r="F25" s="75" t="s">
        <v>301</v>
      </c>
      <c r="G25" s="89"/>
      <c r="H25" s="89"/>
    </row>
    <row r="26" spans="2:8" ht="14.55" customHeight="1" x14ac:dyDescent="0.4">
      <c r="B26" s="36" t="str">
        <f>IF(기초자료입력!B58&lt;&gt;"",1,"")</f>
        <v/>
      </c>
      <c r="C26" s="36" t="str">
        <f>IF(기초자료입력!B58&lt;&gt;"","위원장","")</f>
        <v/>
      </c>
      <c r="D26" s="36" t="str">
        <f>IF(기초자료입력!B58&lt;&gt;"",기초자료입력!B58,"")</f>
        <v/>
      </c>
      <c r="E26" s="36" t="str">
        <f>IF(기초자료입력!C58&lt;&gt;"",기초자료입력!C58,"")</f>
        <v/>
      </c>
      <c r="F26" s="89"/>
      <c r="G26" s="89"/>
      <c r="H26" s="89"/>
    </row>
    <row r="27" spans="2:8" ht="14.55" customHeight="1" x14ac:dyDescent="0.4">
      <c r="B27" s="36" t="str">
        <f>IF(기초자료입력!B59&lt;&gt;"",2,"")</f>
        <v/>
      </c>
      <c r="C27" s="36" t="str">
        <f>IF(기초자료입력!B59&lt;&gt;"","위원","")</f>
        <v/>
      </c>
      <c r="D27" s="36" t="str">
        <f>IF(기초자료입력!B59&lt;&gt;"",기초자료입력!B59,"")</f>
        <v/>
      </c>
      <c r="E27" s="36" t="str">
        <f>IF(기초자료입력!C59&lt;&gt;"",기초자료입력!C59,"")</f>
        <v/>
      </c>
      <c r="F27" s="89"/>
      <c r="G27" s="89"/>
      <c r="H27" s="89"/>
    </row>
    <row r="28" spans="2:8" ht="14.55" customHeight="1" x14ac:dyDescent="0.4">
      <c r="B28" s="36" t="str">
        <f>IF(기초자료입력!B60&lt;&gt;"",3,"")</f>
        <v/>
      </c>
      <c r="C28" s="36" t="str">
        <f>IF(기초자료입력!B60&lt;&gt;"","위원","")</f>
        <v/>
      </c>
      <c r="D28" s="36" t="str">
        <f>IF(기초자료입력!B60&lt;&gt;"",기초자료입력!B60,"")</f>
        <v/>
      </c>
      <c r="E28" s="36" t="str">
        <f>IF(기초자료입력!C60&lt;&gt;"",기초자료입력!C60,"")</f>
        <v/>
      </c>
      <c r="F28" s="89"/>
      <c r="G28" s="89"/>
      <c r="H28" s="89"/>
    </row>
    <row r="29" spans="2:8" ht="14.55" customHeight="1" x14ac:dyDescent="0.4">
      <c r="B29" s="36" t="str">
        <f>IF(기초자료입력!B61&lt;&gt;"",4,"")</f>
        <v/>
      </c>
      <c r="C29" s="36" t="str">
        <f>IF(기초자료입력!B61&lt;&gt;"","위원","")</f>
        <v/>
      </c>
      <c r="D29" s="36" t="str">
        <f>IF(기초자료입력!B61&lt;&gt;"",기초자료입력!B61,"")</f>
        <v/>
      </c>
      <c r="E29" s="36" t="str">
        <f>IF(기초자료입력!C61&lt;&gt;"",기초자료입력!C61,"")</f>
        <v/>
      </c>
      <c r="F29" s="89"/>
      <c r="G29" s="89"/>
      <c r="H29" s="89"/>
    </row>
    <row r="30" spans="2:8" ht="14.55" customHeight="1" x14ac:dyDescent="0.4">
      <c r="B30" s="36" t="str">
        <f>IF(기초자료입력!B62&lt;&gt;"",5,"")</f>
        <v/>
      </c>
      <c r="C30" s="36" t="str">
        <f>IF(기초자료입력!B62&lt;&gt;"","위원","")</f>
        <v/>
      </c>
      <c r="D30" s="36" t="str">
        <f>IF(기초자료입력!B62&lt;&gt;"",기초자료입력!B62,"")</f>
        <v/>
      </c>
      <c r="E30" s="36" t="str">
        <f>IF(기초자료입력!C62&lt;&gt;"",기초자료입력!C62,"")</f>
        <v/>
      </c>
      <c r="F30" s="89"/>
      <c r="G30" s="89"/>
      <c r="H30" s="89"/>
    </row>
    <row r="31" spans="2:8" ht="14.55" customHeight="1" x14ac:dyDescent="0.4">
      <c r="B31" s="36" t="str">
        <f>IF(기초자료입력!B63&lt;&gt;"",6,"")</f>
        <v/>
      </c>
      <c r="C31" s="36" t="str">
        <f>IF(기초자료입력!B63&lt;&gt;"","위원","")</f>
        <v/>
      </c>
      <c r="D31" s="36" t="str">
        <f>IF(기초자료입력!B63&lt;&gt;"",기초자료입력!B63,"")</f>
        <v/>
      </c>
      <c r="E31" s="36" t="str">
        <f>IF(기초자료입력!C63&lt;&gt;"",기초자료입력!C63,"")</f>
        <v/>
      </c>
      <c r="F31" s="89"/>
      <c r="G31" s="89"/>
      <c r="H31" s="89"/>
    </row>
    <row r="32" spans="2:8" ht="14.55" customHeight="1" x14ac:dyDescent="0.4">
      <c r="B32" s="36" t="str">
        <f>IF(기초자료입력!B64&lt;&gt;"",7,"")</f>
        <v/>
      </c>
      <c r="C32" s="36" t="str">
        <f>IF(기초자료입력!B64&lt;&gt;"","위원","")</f>
        <v/>
      </c>
      <c r="D32" s="36" t="str">
        <f>IF(기초자료입력!B64&lt;&gt;"",기초자료입력!B64,"")</f>
        <v/>
      </c>
      <c r="E32" s="36" t="str">
        <f>IF(기초자료입력!C64&lt;&gt;"",기초자료입력!C64,"")</f>
        <v/>
      </c>
      <c r="F32" s="89"/>
      <c r="G32" s="89"/>
      <c r="H32" s="89"/>
    </row>
    <row r="33" spans="2:8" ht="14.55" customHeight="1" x14ac:dyDescent="0.4">
      <c r="B33" s="36" t="str">
        <f>IF(기초자료입력!B65&lt;&gt;"",8,"")</f>
        <v/>
      </c>
      <c r="C33" s="36" t="str">
        <f>IF(기초자료입력!B65&lt;&gt;"","위원","")</f>
        <v/>
      </c>
      <c r="D33" s="36" t="str">
        <f>IF(기초자료입력!B65&lt;&gt;"",기초자료입력!B65,"")</f>
        <v/>
      </c>
      <c r="E33" s="36" t="str">
        <f>IF(기초자료입력!C65&lt;&gt;"",기초자료입력!C65,"")</f>
        <v/>
      </c>
      <c r="F33" s="89"/>
      <c r="G33" s="89"/>
      <c r="H33" s="89"/>
    </row>
    <row r="34" spans="2:8" ht="14.55" customHeight="1" x14ac:dyDescent="0.4">
      <c r="B34" s="36" t="str">
        <f>IF(기초자료입력!B66&lt;&gt;"",9,"")</f>
        <v/>
      </c>
      <c r="C34" s="36" t="str">
        <f>IF(기초자료입력!B66&lt;&gt;"","위원","")</f>
        <v/>
      </c>
      <c r="D34" s="36" t="str">
        <f>IF(기초자료입력!B66&lt;&gt;"",기초자료입력!B66,"")</f>
        <v/>
      </c>
      <c r="E34" s="36" t="str">
        <f>IF(기초자료입력!C66&lt;&gt;"",기초자료입력!C66,"")</f>
        <v/>
      </c>
      <c r="F34" s="89"/>
      <c r="G34" s="89"/>
      <c r="H34" s="89"/>
    </row>
    <row r="35" spans="2:8" ht="14.55" customHeight="1" x14ac:dyDescent="0.4">
      <c r="B35" s="36" t="str">
        <f>IF(기초자료입력!B67&lt;&gt;"",10,"")</f>
        <v/>
      </c>
      <c r="C35" s="36" t="str">
        <f>IF(기초자료입력!B67&lt;&gt;"","위원","")</f>
        <v/>
      </c>
      <c r="D35" s="36" t="str">
        <f>IF(기초자료입력!B67&lt;&gt;"",기초자료입력!B67,"")</f>
        <v/>
      </c>
      <c r="E35" s="36" t="str">
        <f>IF(기초자료입력!C67&lt;&gt;"",기초자료입력!C67,"")</f>
        <v/>
      </c>
      <c r="F35" s="89"/>
      <c r="G35" s="89"/>
      <c r="H35" s="89"/>
    </row>
    <row r="36" spans="2:8" ht="14.55" customHeight="1" x14ac:dyDescent="0.4">
      <c r="B36" s="37"/>
      <c r="C36" s="37"/>
      <c r="D36" s="37"/>
      <c r="E36" s="37"/>
      <c r="F36" s="37"/>
      <c r="G36" s="37"/>
      <c r="H36" s="37"/>
    </row>
    <row r="37" spans="2:8" ht="14.55" customHeight="1" x14ac:dyDescent="0.4">
      <c r="B37" s="81" t="s">
        <v>508</v>
      </c>
      <c r="C37" s="76"/>
      <c r="D37" s="76"/>
      <c r="E37" s="76"/>
      <c r="F37" s="76"/>
      <c r="G37" s="76"/>
      <c r="H37" s="76"/>
    </row>
    <row r="38" spans="2:8" ht="14.55" customHeight="1" x14ac:dyDescent="0.4">
      <c r="B38" s="76" t="s">
        <v>509</v>
      </c>
      <c r="C38" s="76"/>
      <c r="D38" s="76"/>
      <c r="E38" s="76"/>
      <c r="F38" s="76"/>
      <c r="G38" s="76"/>
      <c r="H38" s="76"/>
    </row>
    <row r="39" spans="2:8" ht="14.55" customHeight="1" x14ac:dyDescent="0.4">
      <c r="B39" s="37"/>
      <c r="C39" s="37"/>
      <c r="D39" s="37"/>
      <c r="E39" s="37"/>
      <c r="F39" s="37"/>
      <c r="G39" s="37"/>
      <c r="H39" s="37"/>
    </row>
    <row r="40" spans="2:8" ht="14.55" customHeight="1" x14ac:dyDescent="0.4">
      <c r="B40" s="37"/>
      <c r="C40" s="37"/>
      <c r="D40" s="37"/>
      <c r="E40" s="37"/>
      <c r="F40" s="53" t="s">
        <v>278</v>
      </c>
      <c r="G40" s="53" t="s">
        <v>289</v>
      </c>
      <c r="H40" s="53" t="s">
        <v>279</v>
      </c>
    </row>
    <row r="41" spans="2:8" ht="14.55" customHeight="1" x14ac:dyDescent="0.4">
      <c r="B41" s="52" t="s">
        <v>290</v>
      </c>
      <c r="C41" s="76" t="str">
        <f>IF(기초자료입력!C9&lt;&gt;"",기초자료입력!C9,"")</f>
        <v/>
      </c>
      <c r="D41" s="76"/>
      <c r="E41" s="76"/>
      <c r="F41" s="53" t="s">
        <v>291</v>
      </c>
      <c r="G41" s="89"/>
      <c r="H41" s="89"/>
    </row>
    <row r="42" spans="2:8" ht="14.55" customHeight="1" x14ac:dyDescent="0.4">
      <c r="B42" s="52" t="s">
        <v>292</v>
      </c>
      <c r="C42" s="37"/>
      <c r="D42" s="52" t="s">
        <v>293</v>
      </c>
      <c r="E42" s="76"/>
      <c r="F42" s="89"/>
      <c r="G42" s="89"/>
      <c r="H42" s="89"/>
    </row>
    <row r="43" spans="2:8" ht="14.55" customHeight="1" x14ac:dyDescent="0.4">
      <c r="B43" s="52" t="s">
        <v>294</v>
      </c>
      <c r="C43" s="37"/>
      <c r="D43" s="52" t="s">
        <v>295</v>
      </c>
      <c r="E43" s="37"/>
      <c r="F43" s="53" t="s">
        <v>296</v>
      </c>
      <c r="G43" s="89"/>
      <c r="H43" s="89"/>
    </row>
  </sheetData>
  <mergeCells count="32">
    <mergeCell ref="B20:H20"/>
    <mergeCell ref="B3:H3"/>
    <mergeCell ref="C7:H7"/>
    <mergeCell ref="C8:H8"/>
    <mergeCell ref="C9:H9"/>
    <mergeCell ref="C11:H11"/>
    <mergeCell ref="B13:H13"/>
    <mergeCell ref="B15:H15"/>
    <mergeCell ref="B16:H16"/>
    <mergeCell ref="B17:H17"/>
    <mergeCell ref="B18:H18"/>
    <mergeCell ref="B19:H19"/>
    <mergeCell ref="F33:H33"/>
    <mergeCell ref="B21:H21"/>
    <mergeCell ref="B22:H22"/>
    <mergeCell ref="B24:H24"/>
    <mergeCell ref="F25:H25"/>
    <mergeCell ref="F26:H26"/>
    <mergeCell ref="F27:H27"/>
    <mergeCell ref="F28:H28"/>
    <mergeCell ref="F29:H29"/>
    <mergeCell ref="F30:H30"/>
    <mergeCell ref="F31:H31"/>
    <mergeCell ref="F32:H32"/>
    <mergeCell ref="E42:H42"/>
    <mergeCell ref="G43:H43"/>
    <mergeCell ref="F34:H34"/>
    <mergeCell ref="F35:H35"/>
    <mergeCell ref="B37:H37"/>
    <mergeCell ref="B38:H38"/>
    <mergeCell ref="C41:E41"/>
    <mergeCell ref="G41:H4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A51EB-34E9-4B1D-B957-532855F7F510}">
  <sheetPr codeName="Sheet26"/>
  <dimension ref="B1:G31"/>
  <sheetViews>
    <sheetView workbookViewId="0"/>
  </sheetViews>
  <sheetFormatPr defaultRowHeight="17.399999999999999" x14ac:dyDescent="0.4"/>
  <cols>
    <col min="1" max="1" width="3.19921875" customWidth="1"/>
    <col min="2" max="5" width="20.69921875" customWidth="1"/>
  </cols>
  <sheetData>
    <row r="1" spans="2:7" ht="12" customHeight="1" x14ac:dyDescent="0.4">
      <c r="B1" s="113" t="s">
        <v>475</v>
      </c>
      <c r="C1" s="114"/>
      <c r="D1" s="114"/>
      <c r="E1" s="114"/>
    </row>
    <row r="2" spans="2:7" ht="7.95" customHeight="1" x14ac:dyDescent="0.4">
      <c r="G2" s="35" t="s">
        <v>323</v>
      </c>
    </row>
    <row r="3" spans="2:7" ht="25.95" customHeight="1" x14ac:dyDescent="0.4">
      <c r="B3" s="97" t="s">
        <v>200</v>
      </c>
      <c r="C3" s="109"/>
      <c r="D3" s="109"/>
      <c r="E3" s="109"/>
      <c r="G3">
        <v>1</v>
      </c>
    </row>
    <row r="4" spans="2:7" ht="25.95" customHeight="1" x14ac:dyDescent="0.4">
      <c r="B4" s="109"/>
      <c r="C4" s="109"/>
      <c r="D4" s="109"/>
      <c r="E4" s="109"/>
    </row>
    <row r="5" spans="2:7" ht="6" customHeight="1" x14ac:dyDescent="0.4">
      <c r="B5" s="48"/>
      <c r="C5" s="48"/>
      <c r="D5" s="48"/>
      <c r="E5" s="48"/>
    </row>
    <row r="6" spans="2:7" ht="18" customHeight="1" x14ac:dyDescent="0.4">
      <c r="B6" s="111" t="s">
        <v>476</v>
      </c>
      <c r="C6" s="108"/>
      <c r="D6" s="108"/>
      <c r="E6" s="108"/>
    </row>
    <row r="7" spans="2:7" ht="19.95" customHeight="1" x14ac:dyDescent="0.4">
      <c r="B7" s="110" t="s">
        <v>477</v>
      </c>
      <c r="C7" s="110"/>
      <c r="D7" s="110"/>
      <c r="E7" s="110"/>
    </row>
    <row r="8" spans="2:7" ht="6" customHeight="1" x14ac:dyDescent="0.4">
      <c r="B8" s="48"/>
      <c r="C8" s="48"/>
      <c r="D8" s="48"/>
      <c r="E8" s="48"/>
    </row>
    <row r="9" spans="2:7" ht="18" customHeight="1" x14ac:dyDescent="0.4">
      <c r="B9" s="111" t="s">
        <v>478</v>
      </c>
      <c r="C9" s="108"/>
      <c r="D9" s="108"/>
      <c r="E9" s="108"/>
    </row>
    <row r="10" spans="2:7" ht="19.95" customHeight="1" x14ac:dyDescent="0.4">
      <c r="B10" s="110" t="s">
        <v>479</v>
      </c>
      <c r="C10" s="110"/>
      <c r="D10" s="110"/>
      <c r="E10" s="110"/>
    </row>
    <row r="11" spans="2:7" ht="19.95" customHeight="1" x14ac:dyDescent="0.4">
      <c r="B11" s="110" t="s">
        <v>480</v>
      </c>
      <c r="C11" s="110"/>
      <c r="D11" s="110"/>
      <c r="E11" s="110"/>
    </row>
    <row r="12" spans="2:7" ht="19.95" customHeight="1" x14ac:dyDescent="0.4">
      <c r="B12" s="110" t="s">
        <v>481</v>
      </c>
      <c r="C12" s="110"/>
      <c r="D12" s="110"/>
      <c r="E12" s="110"/>
    </row>
    <row r="13" spans="2:7" ht="19.95" customHeight="1" x14ac:dyDescent="0.4">
      <c r="B13" s="110" t="s">
        <v>482</v>
      </c>
      <c r="C13" s="110"/>
      <c r="D13" s="110"/>
      <c r="E13" s="110"/>
    </row>
    <row r="14" spans="2:7" ht="6" customHeight="1" x14ac:dyDescent="0.4">
      <c r="B14" s="48"/>
      <c r="C14" s="48"/>
      <c r="D14" s="48"/>
      <c r="E14" s="48"/>
    </row>
    <row r="15" spans="2:7" ht="25.95" customHeight="1" x14ac:dyDescent="0.4">
      <c r="B15" s="112" t="s">
        <v>483</v>
      </c>
      <c r="C15" s="110"/>
      <c r="D15" s="110"/>
      <c r="E15" s="110"/>
    </row>
    <row r="16" spans="2:7" ht="18" customHeight="1" x14ac:dyDescent="0.4">
      <c r="B16" s="110" t="s">
        <v>484</v>
      </c>
      <c r="C16" s="110"/>
      <c r="D16" s="110"/>
      <c r="E16" s="110"/>
    </row>
    <row r="17" spans="2:5" ht="18" customHeight="1" x14ac:dyDescent="0.4">
      <c r="B17" s="110" t="s">
        <v>485</v>
      </c>
      <c r="C17" s="110"/>
      <c r="D17" s="110"/>
      <c r="E17" s="110"/>
    </row>
    <row r="18" spans="2:5" ht="19.95" customHeight="1" x14ac:dyDescent="0.4">
      <c r="B18" s="110" t="s">
        <v>486</v>
      </c>
      <c r="C18" s="110"/>
      <c r="D18" s="110"/>
      <c r="E18" s="110"/>
    </row>
    <row r="19" spans="2:5" ht="6" customHeight="1" x14ac:dyDescent="0.4">
      <c r="B19" s="48"/>
      <c r="C19" s="48"/>
      <c r="D19" s="48"/>
      <c r="E19" s="48"/>
    </row>
    <row r="20" spans="2:5" ht="18" customHeight="1" x14ac:dyDescent="0.4">
      <c r="B20" s="111" t="s">
        <v>487</v>
      </c>
      <c r="C20" s="108"/>
      <c r="D20" s="108"/>
      <c r="E20" s="108"/>
    </row>
    <row r="21" spans="2:5" ht="19.95" customHeight="1" x14ac:dyDescent="0.4">
      <c r="B21" s="110" t="s">
        <v>488</v>
      </c>
      <c r="C21" s="110"/>
      <c r="D21" s="110"/>
      <c r="E21" s="110"/>
    </row>
    <row r="22" spans="2:5" ht="18" customHeight="1" x14ac:dyDescent="0.4">
      <c r="B22" s="110" t="s">
        <v>489</v>
      </c>
      <c r="C22" s="110"/>
      <c r="D22" s="110"/>
      <c r="E22" s="110"/>
    </row>
    <row r="23" spans="2:5" ht="22.05" customHeight="1" x14ac:dyDescent="0.4">
      <c r="B23" s="110" t="s">
        <v>490</v>
      </c>
      <c r="C23" s="110"/>
      <c r="D23" s="110"/>
      <c r="E23" s="110"/>
    </row>
    <row r="24" spans="2:5" ht="22.05" customHeight="1" x14ac:dyDescent="0.4">
      <c r="B24" s="110"/>
      <c r="C24" s="110"/>
      <c r="D24" s="110"/>
      <c r="E24" s="110"/>
    </row>
    <row r="25" spans="2:5" ht="18" customHeight="1" x14ac:dyDescent="0.4">
      <c r="B25" s="110" t="s">
        <v>491</v>
      </c>
      <c r="C25" s="110"/>
      <c r="D25" s="110"/>
      <c r="E25" s="110"/>
    </row>
    <row r="26" spans="2:5" ht="18" customHeight="1" x14ac:dyDescent="0.4">
      <c r="B26" s="108" t="s">
        <v>492</v>
      </c>
      <c r="C26" s="108"/>
      <c r="D26" s="108"/>
      <c r="E26" s="108"/>
    </row>
    <row r="27" spans="2:5" ht="18" customHeight="1" x14ac:dyDescent="0.4">
      <c r="B27" s="108" t="s">
        <v>492</v>
      </c>
      <c r="C27" s="108"/>
      <c r="D27" s="108"/>
      <c r="E27" s="108"/>
    </row>
    <row r="28" spans="2:5" ht="7.95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IF(기초자료입력!$C$5="","20○○년   월   일","20"&amp;RIGHT(기초자료입력!$C$5,2)&amp;"년   월   일")</f>
        <v>20○○년   월   일</v>
      </c>
      <c r="C29" s="109"/>
      <c r="D29" s="109"/>
      <c r="E29" s="109"/>
    </row>
    <row r="30" spans="2:5" ht="18" customHeight="1" x14ac:dyDescent="0.4">
      <c r="B30" s="109" t="s">
        <v>460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23">
    <mergeCell ref="B10:E10"/>
    <mergeCell ref="B1:E1"/>
    <mergeCell ref="B3:E4"/>
    <mergeCell ref="B6:E6"/>
    <mergeCell ref="B7:E7"/>
    <mergeCell ref="B9:E9"/>
    <mergeCell ref="B25:E25"/>
    <mergeCell ref="B11:E11"/>
    <mergeCell ref="B12:E12"/>
    <mergeCell ref="B13:E13"/>
    <mergeCell ref="B15:E15"/>
    <mergeCell ref="B16:E16"/>
    <mergeCell ref="B17:E17"/>
    <mergeCell ref="B18:E18"/>
    <mergeCell ref="B20:E20"/>
    <mergeCell ref="B21:E21"/>
    <mergeCell ref="B22:E22"/>
    <mergeCell ref="B23:E24"/>
    <mergeCell ref="B26:E26"/>
    <mergeCell ref="B27:E27"/>
    <mergeCell ref="B29:E29"/>
    <mergeCell ref="B30:E30"/>
    <mergeCell ref="B31:E3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D2F84-7933-4264-85D9-233DD8722FDE}">
  <sheetPr codeName="Sheet27"/>
  <dimension ref="B1:G21"/>
  <sheetViews>
    <sheetView workbookViewId="0"/>
  </sheetViews>
  <sheetFormatPr defaultRowHeight="17.399999999999999" x14ac:dyDescent="0.4"/>
  <cols>
    <col min="1" max="1" width="3.19921875" customWidth="1"/>
    <col min="2" max="2" width="10.69921875" customWidth="1"/>
    <col min="3" max="4" width="16.69921875" customWidth="1"/>
    <col min="5" max="5" width="24.69921875" customWidth="1"/>
  </cols>
  <sheetData>
    <row r="1" spans="2:7" ht="12" customHeight="1" x14ac:dyDescent="0.4">
      <c r="B1" s="113" t="s">
        <v>461</v>
      </c>
      <c r="C1" s="114"/>
      <c r="D1" s="114"/>
      <c r="E1" s="114"/>
    </row>
    <row r="2" spans="2:7" ht="7.95" customHeight="1" x14ac:dyDescent="0.4">
      <c r="G2" s="35" t="s">
        <v>323</v>
      </c>
    </row>
    <row r="3" spans="2:7" ht="24" customHeight="1" x14ac:dyDescent="0.4">
      <c r="B3" s="97" t="s">
        <v>462</v>
      </c>
      <c r="C3" s="109"/>
      <c r="D3" s="109"/>
      <c r="E3" s="109"/>
      <c r="G3">
        <v>1</v>
      </c>
    </row>
    <row r="4" spans="2:7" ht="24" customHeight="1" x14ac:dyDescent="0.4">
      <c r="B4" s="109"/>
      <c r="C4" s="109"/>
      <c r="D4" s="109"/>
      <c r="E4" s="109"/>
    </row>
    <row r="5" spans="2:7" ht="19.95" customHeight="1" x14ac:dyDescent="0.4">
      <c r="B5" s="109" t="str">
        <f>"(제안자: "&amp;IFERROR(IF(INDEX(기초자료입력!$B$44:$B$53,$G$3)=0,"",INDEX(기초자료입력!$B$44:$B$53,$G$3)),"")&amp;")"</f>
        <v>(제안자: )</v>
      </c>
      <c r="C5" s="109"/>
      <c r="D5" s="109"/>
      <c r="E5" s="109"/>
    </row>
    <row r="6" spans="2:7" ht="16.05" customHeight="1" x14ac:dyDescent="0.4">
      <c r="B6" s="109" t="s">
        <v>463</v>
      </c>
      <c r="C6" s="109"/>
      <c r="D6" s="109"/>
      <c r="E6" s="109"/>
    </row>
    <row r="7" spans="2:7" ht="18" customHeight="1" x14ac:dyDescent="0.4">
      <c r="B7" s="111" t="s">
        <v>464</v>
      </c>
      <c r="C7" s="108"/>
      <c r="D7" s="108"/>
      <c r="E7" s="108"/>
    </row>
    <row r="8" spans="2:7" ht="6" customHeight="1" x14ac:dyDescent="0.4">
      <c r="B8" s="48"/>
      <c r="C8" s="48"/>
      <c r="D8" s="48"/>
      <c r="E8" s="48"/>
    </row>
    <row r="9" spans="2:7" ht="22.05" customHeight="1" x14ac:dyDescent="0.4">
      <c r="B9" s="49" t="s">
        <v>312</v>
      </c>
      <c r="C9" s="49" t="s">
        <v>465</v>
      </c>
      <c r="D9" s="49" t="s">
        <v>466</v>
      </c>
      <c r="E9" s="49" t="s">
        <v>467</v>
      </c>
    </row>
    <row r="10" spans="2:7" ht="22.05" customHeight="1" x14ac:dyDescent="0.4">
      <c r="B10" s="109" t="s">
        <v>302</v>
      </c>
      <c r="C10" s="50" t="s">
        <v>468</v>
      </c>
      <c r="D10" s="50"/>
      <c r="E10" s="50"/>
    </row>
    <row r="11" spans="2:7" ht="22.05" customHeight="1" x14ac:dyDescent="0.4">
      <c r="B11" s="109"/>
      <c r="C11" s="50" t="s">
        <v>469</v>
      </c>
      <c r="D11" s="50"/>
      <c r="E11" s="50"/>
    </row>
    <row r="12" spans="2:7" ht="22.05" customHeight="1" x14ac:dyDescent="0.4">
      <c r="B12" s="109"/>
      <c r="C12" s="50" t="s">
        <v>470</v>
      </c>
      <c r="D12" s="50"/>
      <c r="E12" s="50"/>
    </row>
    <row r="13" spans="2:7" ht="22.05" customHeight="1" x14ac:dyDescent="0.4">
      <c r="B13" s="109"/>
      <c r="C13" s="50" t="s">
        <v>471</v>
      </c>
      <c r="D13" s="50"/>
      <c r="E13" s="50"/>
    </row>
    <row r="14" spans="2:7" ht="22.05" customHeight="1" x14ac:dyDescent="0.4">
      <c r="B14" s="109" t="s">
        <v>303</v>
      </c>
      <c r="C14" s="50" t="s">
        <v>472</v>
      </c>
      <c r="D14" s="50"/>
      <c r="E14" s="50"/>
    </row>
    <row r="15" spans="2:7" ht="22.05" customHeight="1" x14ac:dyDescent="0.4">
      <c r="B15" s="109"/>
      <c r="C15" s="50" t="s">
        <v>473</v>
      </c>
      <c r="D15" s="50"/>
      <c r="E15" s="50"/>
    </row>
    <row r="16" spans="2:7" ht="6" customHeight="1" x14ac:dyDescent="0.4">
      <c r="B16" s="48"/>
      <c r="C16" s="48"/>
      <c r="D16" s="48"/>
      <c r="E16" s="48"/>
    </row>
    <row r="17" spans="2:5" ht="19.95" customHeight="1" x14ac:dyDescent="0.4">
      <c r="B17" s="110" t="s">
        <v>474</v>
      </c>
      <c r="C17" s="110"/>
      <c r="D17" s="110"/>
      <c r="E17" s="110"/>
    </row>
    <row r="18" spans="2:5" ht="7.95" customHeight="1" x14ac:dyDescent="0.4">
      <c r="B18" s="48"/>
      <c r="C18" s="48"/>
      <c r="D18" s="48"/>
      <c r="E18" s="48"/>
    </row>
    <row r="19" spans="2:5" ht="18" customHeight="1" x14ac:dyDescent="0.4">
      <c r="B19" s="109" t="str">
        <f>IF(기초자료입력!$C$5="","20○○.  .  .","20"&amp;RIGHT(기초자료입력!$C$5,2)&amp;".  .  .")</f>
        <v>20○○.  .  .</v>
      </c>
      <c r="C19" s="109"/>
      <c r="D19" s="109"/>
      <c r="E19" s="109"/>
    </row>
    <row r="20" spans="2:5" ht="18" customHeight="1" x14ac:dyDescent="0.4">
      <c r="B20" s="109" t="s">
        <v>460</v>
      </c>
      <c r="C20" s="109"/>
      <c r="D20" s="109"/>
      <c r="E20" s="109"/>
    </row>
    <row r="21" spans="2:5" ht="18" customHeight="1" x14ac:dyDescent="0.4">
      <c r="B21" s="109" t="str">
        <f>IF(기초자료입력!$C$4="","○○○○학교장 귀하",기초자료입력!$C$4&amp;"장 귀하")</f>
        <v>○○○○학교장 귀하</v>
      </c>
      <c r="C21" s="109"/>
      <c r="D21" s="109"/>
      <c r="E21" s="109"/>
    </row>
  </sheetData>
  <mergeCells count="11">
    <mergeCell ref="B10:B13"/>
    <mergeCell ref="B1:E1"/>
    <mergeCell ref="B3:E4"/>
    <mergeCell ref="B5:E5"/>
    <mergeCell ref="B6:E6"/>
    <mergeCell ref="B7:E7"/>
    <mergeCell ref="B14:B15"/>
    <mergeCell ref="B17:E17"/>
    <mergeCell ref="B19:E19"/>
    <mergeCell ref="B20:E20"/>
    <mergeCell ref="B21:E21"/>
  </mergeCells>
  <phoneticPr fontId="6" type="noConversion"/>
  <pageMargins left="0.39370138888888889" right="0.39370138888888889" top="0.31496111111111108" bottom="0.31496111111111108" header="0.11811041666666666" footer="0.11811041666666666"/>
  <pageSetup paperSize="9" fitToWidth="0" fitToHeight="0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3FF1C-3459-4EDC-9C97-D17AFEF4D60D}">
  <sheetPr codeName="Sheet28"/>
  <dimension ref="B1:I25"/>
  <sheetViews>
    <sheetView workbookViewId="0"/>
  </sheetViews>
  <sheetFormatPr defaultRowHeight="17.399999999999999" x14ac:dyDescent="0.4"/>
  <cols>
    <col min="1" max="1" width="3.19921875" customWidth="1"/>
    <col min="2" max="2" width="6.69921875" customWidth="1"/>
    <col min="3" max="3" width="20.69921875" customWidth="1"/>
    <col min="4" max="4" width="14.69921875" customWidth="1"/>
    <col min="5" max="5" width="12.69921875" customWidth="1"/>
    <col min="6" max="6" width="15.69921875" customWidth="1"/>
    <col min="7" max="7" width="13.69921875" customWidth="1"/>
  </cols>
  <sheetData>
    <row r="1" spans="2:9" ht="12" customHeight="1" x14ac:dyDescent="0.4">
      <c r="B1" s="113" t="s">
        <v>452</v>
      </c>
      <c r="C1" s="114"/>
      <c r="D1" s="114"/>
      <c r="E1" s="114"/>
      <c r="F1" s="114"/>
      <c r="G1" s="114"/>
    </row>
    <row r="2" spans="2:9" ht="7.95" customHeight="1" x14ac:dyDescent="0.4">
      <c r="I2" s="35" t="s">
        <v>323</v>
      </c>
    </row>
    <row r="3" spans="2:9" ht="24" customHeight="1" x14ac:dyDescent="0.4">
      <c r="B3" s="97" t="s">
        <v>191</v>
      </c>
      <c r="C3" s="109"/>
      <c r="D3" s="109"/>
      <c r="E3" s="109"/>
      <c r="F3" s="109"/>
      <c r="G3" s="109"/>
      <c r="I3">
        <v>1</v>
      </c>
    </row>
    <row r="4" spans="2:9" ht="24" customHeight="1" x14ac:dyDescent="0.4">
      <c r="B4" s="109"/>
      <c r="C4" s="109"/>
      <c r="D4" s="109"/>
      <c r="E4" s="109"/>
      <c r="F4" s="109"/>
      <c r="G4" s="109"/>
    </row>
    <row r="5" spans="2:9" ht="19.95" customHeight="1" x14ac:dyDescent="0.4">
      <c r="B5" s="109" t="str">
        <f>"(제안자: "&amp;IFERROR(IF(INDEX(기초자료입력!$B$44:$B$53,$I$3)=0,"",INDEX(기초자료입력!$B$44:$B$53,$I$3)),"")&amp;")"</f>
        <v>(제안자: )</v>
      </c>
      <c r="C5" s="109"/>
      <c r="D5" s="109"/>
      <c r="E5" s="109"/>
      <c r="F5" s="109"/>
      <c r="G5" s="109"/>
    </row>
    <row r="6" spans="2:9" ht="6" customHeight="1" x14ac:dyDescent="0.4">
      <c r="B6" s="48"/>
      <c r="C6" s="48"/>
      <c r="D6" s="48"/>
      <c r="E6" s="48"/>
      <c r="F6" s="48"/>
      <c r="G6" s="48"/>
    </row>
    <row r="7" spans="2:9" ht="19.95" customHeight="1" x14ac:dyDescent="0.4">
      <c r="B7" s="97" t="s">
        <v>453</v>
      </c>
      <c r="C7" s="109"/>
      <c r="D7" s="109"/>
      <c r="E7" s="109"/>
      <c r="F7" s="109"/>
      <c r="G7" s="109"/>
    </row>
    <row r="8" spans="2:9" ht="6" customHeight="1" x14ac:dyDescent="0.4">
      <c r="B8" s="48"/>
      <c r="C8" s="48"/>
      <c r="D8" s="48"/>
      <c r="E8" s="48"/>
      <c r="F8" s="48"/>
      <c r="G8" s="48"/>
    </row>
    <row r="9" spans="2:9" ht="30" customHeight="1" x14ac:dyDescent="0.4">
      <c r="B9" s="49" t="s">
        <v>86</v>
      </c>
      <c r="C9" s="49" t="s">
        <v>454</v>
      </c>
      <c r="D9" s="49" t="s">
        <v>455</v>
      </c>
      <c r="E9" s="49" t="s">
        <v>456</v>
      </c>
      <c r="F9" s="49" t="s">
        <v>457</v>
      </c>
      <c r="G9" s="49" t="s">
        <v>301</v>
      </c>
    </row>
    <row r="10" spans="2:9" ht="24" customHeight="1" x14ac:dyDescent="0.4">
      <c r="B10" s="50">
        <v>1</v>
      </c>
      <c r="C10" s="51"/>
      <c r="D10" s="51"/>
      <c r="E10" s="51"/>
      <c r="F10" s="51"/>
      <c r="G10" s="51"/>
    </row>
    <row r="11" spans="2:9" ht="24" customHeight="1" x14ac:dyDescent="0.4">
      <c r="B11" s="50">
        <v>2</v>
      </c>
      <c r="C11" s="51"/>
      <c r="D11" s="51"/>
      <c r="E11" s="51"/>
      <c r="F11" s="51"/>
      <c r="G11" s="51"/>
    </row>
    <row r="12" spans="2:9" ht="24" customHeight="1" x14ac:dyDescent="0.4">
      <c r="B12" s="50">
        <v>3</v>
      </c>
      <c r="C12" s="51"/>
      <c r="D12" s="51"/>
      <c r="E12" s="51"/>
      <c r="F12" s="51"/>
      <c r="G12" s="51"/>
    </row>
    <row r="13" spans="2:9" ht="24" customHeight="1" x14ac:dyDescent="0.4">
      <c r="B13" s="50">
        <v>4</v>
      </c>
      <c r="C13" s="51"/>
      <c r="D13" s="51"/>
      <c r="E13" s="51"/>
      <c r="F13" s="51"/>
      <c r="G13" s="51"/>
    </row>
    <row r="14" spans="2:9" ht="24" customHeight="1" x14ac:dyDescent="0.4">
      <c r="B14" s="50">
        <v>5</v>
      </c>
      <c r="C14" s="51"/>
      <c r="D14" s="51"/>
      <c r="E14" s="51"/>
      <c r="F14" s="51"/>
      <c r="G14" s="51"/>
    </row>
    <row r="15" spans="2:9" ht="24" customHeight="1" x14ac:dyDescent="0.4">
      <c r="B15" s="50">
        <v>6</v>
      </c>
      <c r="C15" s="51"/>
      <c r="D15" s="51"/>
      <c r="E15" s="51"/>
      <c r="F15" s="51"/>
      <c r="G15" s="51"/>
    </row>
    <row r="16" spans="2:9" ht="24" customHeight="1" x14ac:dyDescent="0.4">
      <c r="B16" s="50">
        <v>7</v>
      </c>
      <c r="C16" s="51"/>
      <c r="D16" s="51"/>
      <c r="E16" s="51"/>
      <c r="F16" s="51"/>
      <c r="G16" s="51"/>
    </row>
    <row r="17" spans="2:7" ht="24" customHeight="1" x14ac:dyDescent="0.4">
      <c r="B17" s="50">
        <v>8</v>
      </c>
      <c r="C17" s="51"/>
      <c r="D17" s="51"/>
      <c r="E17" s="51"/>
      <c r="F17" s="51"/>
      <c r="G17" s="51"/>
    </row>
    <row r="18" spans="2:7" ht="24" customHeight="1" x14ac:dyDescent="0.4">
      <c r="B18" s="50">
        <v>9</v>
      </c>
      <c r="C18" s="51"/>
      <c r="D18" s="51"/>
      <c r="E18" s="51"/>
      <c r="F18" s="51"/>
      <c r="G18" s="51"/>
    </row>
    <row r="19" spans="2:7" ht="6" customHeight="1" x14ac:dyDescent="0.4">
      <c r="B19" s="48"/>
      <c r="C19" s="48"/>
      <c r="D19" s="48"/>
      <c r="E19" s="48"/>
      <c r="F19" s="48"/>
      <c r="G19" s="48"/>
    </row>
    <row r="20" spans="2:7" ht="18" customHeight="1" x14ac:dyDescent="0.4">
      <c r="B20" s="108" t="s">
        <v>458</v>
      </c>
      <c r="C20" s="108"/>
      <c r="D20" s="108"/>
      <c r="E20" s="108"/>
      <c r="F20" s="108"/>
      <c r="G20" s="108"/>
    </row>
    <row r="21" spans="2:7" ht="18" customHeight="1" x14ac:dyDescent="0.4">
      <c r="B21" s="108" t="s">
        <v>459</v>
      </c>
      <c r="C21" s="108"/>
      <c r="D21" s="108"/>
      <c r="E21" s="108"/>
      <c r="F21" s="108"/>
      <c r="G21" s="108"/>
    </row>
    <row r="22" spans="2:7" ht="7.95" customHeight="1" x14ac:dyDescent="0.4">
      <c r="B22" s="48"/>
      <c r="C22" s="48"/>
      <c r="D22" s="48"/>
      <c r="E22" s="48"/>
      <c r="F22" s="48"/>
      <c r="G22" s="48"/>
    </row>
    <row r="23" spans="2:7" ht="18" customHeight="1" x14ac:dyDescent="0.4">
      <c r="B23" s="109" t="str">
        <f>IF(기초자료입력!$C$5="","20○○.  .  .","20"&amp;RIGHT(기초자료입력!$C$5,2)&amp;".  .  .")</f>
        <v>20○○.  .  .</v>
      </c>
      <c r="C23" s="109"/>
      <c r="D23" s="109"/>
      <c r="E23" s="109"/>
      <c r="F23" s="109"/>
      <c r="G23" s="109"/>
    </row>
    <row r="24" spans="2:7" ht="18" customHeight="1" x14ac:dyDescent="0.4">
      <c r="B24" s="109" t="s">
        <v>460</v>
      </c>
      <c r="C24" s="109"/>
      <c r="D24" s="109"/>
      <c r="E24" s="109"/>
      <c r="F24" s="109"/>
      <c r="G24" s="109"/>
    </row>
    <row r="25" spans="2:7" ht="18" customHeight="1" x14ac:dyDescent="0.4">
      <c r="B25" s="109" t="str">
        <f>IF(기초자료입력!$C$4="","○○○○학교장 귀하",기초자료입력!$C$4&amp;"장 귀하")</f>
        <v>○○○○학교장 귀하</v>
      </c>
      <c r="C25" s="109"/>
      <c r="D25" s="109"/>
      <c r="E25" s="109"/>
      <c r="F25" s="109"/>
      <c r="G25" s="109"/>
    </row>
  </sheetData>
  <mergeCells count="9">
    <mergeCell ref="B23:G23"/>
    <mergeCell ref="B24:G24"/>
    <mergeCell ref="B25:G25"/>
    <mergeCell ref="B1:G1"/>
    <mergeCell ref="B3:G4"/>
    <mergeCell ref="B5:G5"/>
    <mergeCell ref="B7:G7"/>
    <mergeCell ref="B20:G20"/>
    <mergeCell ref="B21:G21"/>
  </mergeCells>
  <phoneticPr fontId="6" type="noConversion"/>
  <pageMargins left="0.23622083333333332" right="0.23622083333333332" top="0.31496111111111108" bottom="0.31496111111111108" header="0.11811041666666666" footer="0.11811041666666666"/>
  <pageSetup paperSize="9" fitToWidth="0" fitToHeight="0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EA2D4-D2D0-4C69-B112-55B31A54EAA3}">
  <sheetPr codeName="Sheet29"/>
  <dimension ref="B1:G31"/>
  <sheetViews>
    <sheetView workbookViewId="0"/>
  </sheetViews>
  <sheetFormatPr defaultRowHeight="17.399999999999999" x14ac:dyDescent="0.4"/>
  <cols>
    <col min="1" max="1" width="3.19921875" customWidth="1"/>
    <col min="2" max="2" width="19.69921875" customWidth="1"/>
    <col min="3" max="3" width="17.69921875" customWidth="1"/>
    <col min="4" max="4" width="14.69921875" customWidth="1"/>
    <col min="5" max="5" width="18.69921875" customWidth="1"/>
  </cols>
  <sheetData>
    <row r="1" spans="2:7" ht="12" customHeight="1" x14ac:dyDescent="0.4">
      <c r="B1" s="113" t="s">
        <v>439</v>
      </c>
      <c r="C1" s="114"/>
      <c r="D1" s="114"/>
      <c r="E1" s="114"/>
    </row>
    <row r="2" spans="2:7" ht="7.95" customHeight="1" x14ac:dyDescent="0.4">
      <c r="G2" s="35" t="s">
        <v>323</v>
      </c>
    </row>
    <row r="3" spans="2:7" ht="25.05" customHeight="1" x14ac:dyDescent="0.4">
      <c r="B3" s="115" t="str">
        <f>IF(기초자료입력!$C$5="","20○○학년도","20"&amp;RIGHT(기초자료입력!$C$5,2)&amp;"학년도")&amp;" "&amp;IF(기초자료입력!$C$4="","○○○○학교",기초자료입력!$C$4)&amp;" 교복(동·하복) 납품 제안서"</f>
        <v>20○○학년도 ○○○○학교 교복(동·하복) 납품 제안서</v>
      </c>
      <c r="C3" s="116"/>
      <c r="D3" s="116"/>
      <c r="E3" s="116"/>
      <c r="G3">
        <v>1</v>
      </c>
    </row>
    <row r="4" spans="2:7" ht="25.05" customHeight="1" x14ac:dyDescent="0.4">
      <c r="B4" s="116"/>
      <c r="C4" s="116"/>
      <c r="D4" s="116"/>
      <c r="E4" s="116"/>
    </row>
    <row r="5" spans="2:7" ht="28.05" customHeight="1" x14ac:dyDescent="0.4">
      <c r="B5" s="117" t="s">
        <v>440</v>
      </c>
      <c r="C5" s="72"/>
      <c r="D5" s="72"/>
      <c r="E5" s="72"/>
    </row>
    <row r="6" spans="2:7" ht="6" customHeight="1" x14ac:dyDescent="0.4">
      <c r="B6" s="21"/>
      <c r="C6" s="21"/>
      <c r="D6" s="21"/>
      <c r="E6" s="21"/>
    </row>
    <row r="7" spans="2:7" ht="18" customHeight="1" x14ac:dyDescent="0.4">
      <c r="B7" s="111" t="s">
        <v>441</v>
      </c>
      <c r="C7" s="108"/>
      <c r="D7" s="108"/>
      <c r="E7" s="108"/>
    </row>
    <row r="8" spans="2:7" ht="18" customHeight="1" x14ac:dyDescent="0.4">
      <c r="B8" s="47" t="s">
        <v>442</v>
      </c>
      <c r="C8" s="108" t="str">
        <f>IFERROR(IF(INDEX(기초자료입력!$B$44:$B$53,$G$3)=0,"",INDEX(기초자료입력!$B$44:$B$53,$G$3)),"")</f>
        <v/>
      </c>
      <c r="D8" s="108"/>
      <c r="E8" s="108"/>
    </row>
    <row r="9" spans="2:7" ht="18" customHeight="1" x14ac:dyDescent="0.4">
      <c r="B9" s="47" t="s">
        <v>367</v>
      </c>
      <c r="C9" s="108"/>
      <c r="D9" s="108"/>
      <c r="E9" s="108"/>
    </row>
    <row r="10" spans="2:7" ht="18" customHeight="1" x14ac:dyDescent="0.4">
      <c r="B10" s="47" t="s">
        <v>443</v>
      </c>
      <c r="C10" s="108"/>
      <c r="D10" s="108"/>
      <c r="E10" s="108"/>
    </row>
    <row r="11" spans="2:7" ht="18" customHeight="1" x14ac:dyDescent="0.4">
      <c r="B11" s="47" t="s">
        <v>293</v>
      </c>
      <c r="C11" s="108"/>
      <c r="D11" s="108"/>
      <c r="E11" s="108"/>
    </row>
    <row r="12" spans="2:7" ht="18" customHeight="1" x14ac:dyDescent="0.4">
      <c r="B12" s="47" t="s">
        <v>368</v>
      </c>
      <c r="C12" s="108" t="s">
        <v>447</v>
      </c>
      <c r="D12" s="108"/>
      <c r="E12" s="108"/>
    </row>
    <row r="13" spans="2:7" ht="18" customHeight="1" x14ac:dyDescent="0.4">
      <c r="B13" s="47" t="s">
        <v>444</v>
      </c>
      <c r="C13" s="108"/>
      <c r="D13" s="108"/>
      <c r="E13" s="108"/>
    </row>
    <row r="14" spans="2:7" ht="18" customHeight="1" x14ac:dyDescent="0.4">
      <c r="B14" s="47" t="s">
        <v>445</v>
      </c>
      <c r="C14" s="108"/>
      <c r="D14" s="108"/>
      <c r="E14" s="108"/>
    </row>
    <row r="15" spans="2:7" ht="18" customHeight="1" x14ac:dyDescent="0.4">
      <c r="B15" s="47" t="s">
        <v>446</v>
      </c>
      <c r="C15" s="108"/>
      <c r="D15" s="108"/>
      <c r="E15" s="108"/>
    </row>
    <row r="16" spans="2:7" ht="24" customHeight="1" x14ac:dyDescent="0.4">
      <c r="B16" s="108" t="s">
        <v>448</v>
      </c>
      <c r="C16" s="108"/>
      <c r="D16" s="108"/>
      <c r="E16" s="108"/>
    </row>
    <row r="17" spans="2:5" ht="24" customHeight="1" x14ac:dyDescent="0.4">
      <c r="B17" s="108"/>
      <c r="C17" s="108"/>
      <c r="D17" s="108"/>
      <c r="E17" s="108"/>
    </row>
    <row r="18" spans="2:5" ht="6" customHeight="1" x14ac:dyDescent="0.4">
      <c r="B18" s="48"/>
      <c r="C18" s="48"/>
      <c r="D18" s="48"/>
      <c r="E18" s="48"/>
    </row>
    <row r="19" spans="2:5" ht="18" customHeight="1" x14ac:dyDescent="0.4">
      <c r="B19" s="111" t="s">
        <v>449</v>
      </c>
      <c r="C19" s="108"/>
      <c r="D19" s="108"/>
      <c r="E19" s="108"/>
    </row>
    <row r="20" spans="2:5" ht="16.05" customHeight="1" x14ac:dyDescent="0.4">
      <c r="B20" s="110" t="s">
        <v>450</v>
      </c>
      <c r="C20" s="110"/>
      <c r="D20" s="110"/>
      <c r="E20" s="110"/>
    </row>
    <row r="21" spans="2:5" ht="16.05" customHeight="1" x14ac:dyDescent="0.4">
      <c r="B21" s="110"/>
      <c r="C21" s="110"/>
      <c r="D21" s="110"/>
      <c r="E21" s="110"/>
    </row>
    <row r="22" spans="2:5" ht="16.05" customHeight="1" x14ac:dyDescent="0.4">
      <c r="B22" s="110"/>
      <c r="C22" s="110"/>
      <c r="D22" s="110"/>
      <c r="E22" s="110"/>
    </row>
    <row r="23" spans="2:5" ht="16.05" customHeight="1" x14ac:dyDescent="0.4">
      <c r="B23" s="110"/>
      <c r="C23" s="110"/>
      <c r="D23" s="110"/>
      <c r="E23" s="110"/>
    </row>
    <row r="24" spans="2:5" ht="16.05" customHeight="1" x14ac:dyDescent="0.4">
      <c r="B24" s="110"/>
      <c r="C24" s="110"/>
      <c r="D24" s="110"/>
      <c r="E24" s="110"/>
    </row>
    <row r="25" spans="2:5" ht="16.05" customHeight="1" x14ac:dyDescent="0.4">
      <c r="B25" s="110"/>
      <c r="C25" s="110"/>
      <c r="D25" s="110"/>
      <c r="E25" s="110"/>
    </row>
    <row r="26" spans="2:5" ht="16.05" customHeight="1" x14ac:dyDescent="0.4">
      <c r="B26" s="110"/>
      <c r="C26" s="110"/>
      <c r="D26" s="110"/>
      <c r="E26" s="110"/>
    </row>
    <row r="27" spans="2:5" ht="16.05" customHeight="1" x14ac:dyDescent="0.4">
      <c r="B27" s="110"/>
      <c r="C27" s="110"/>
      <c r="D27" s="110"/>
      <c r="E27" s="110"/>
    </row>
    <row r="28" spans="2:5" ht="6" customHeight="1" x14ac:dyDescent="0.4">
      <c r="B28" s="48"/>
      <c r="C28" s="48"/>
      <c r="D28" s="48"/>
      <c r="E28" s="48"/>
    </row>
    <row r="29" spans="2:5" ht="18" customHeight="1" x14ac:dyDescent="0.4">
      <c r="B29" s="109" t="str">
        <f>IF(기초자료입력!$C$5="","20○○. ○○. ○○","20"&amp;RIGHT(기초자료입력!$C$5,2)&amp;". ○○. ○○")</f>
        <v>20○○. ○○. ○○</v>
      </c>
      <c r="C29" s="109"/>
      <c r="D29" s="109"/>
      <c r="E29" s="109"/>
    </row>
    <row r="30" spans="2:5" ht="18" customHeight="1" x14ac:dyDescent="0.4">
      <c r="B30" s="109" t="s">
        <v>451</v>
      </c>
      <c r="C30" s="109"/>
      <c r="D30" s="109"/>
      <c r="E30" s="109"/>
    </row>
    <row r="31" spans="2:5" ht="18" customHeight="1" x14ac:dyDescent="0.4">
      <c r="B31" s="109" t="str">
        <f>IF(기초자료입력!$C$4="","○○○○학교장 귀하",기초자료입력!$C$4&amp;"장 귀하")</f>
        <v>○○○○학교장 귀하</v>
      </c>
      <c r="C31" s="109"/>
      <c r="D31" s="109"/>
      <c r="E31" s="109"/>
    </row>
  </sheetData>
  <mergeCells count="18">
    <mergeCell ref="C9:E9"/>
    <mergeCell ref="B1:E1"/>
    <mergeCell ref="B3:E4"/>
    <mergeCell ref="B5:E5"/>
    <mergeCell ref="B7:E7"/>
    <mergeCell ref="C8:E8"/>
    <mergeCell ref="B31:E31"/>
    <mergeCell ref="C10:E10"/>
    <mergeCell ref="C11:E11"/>
    <mergeCell ref="C12:E12"/>
    <mergeCell ref="C13:E13"/>
    <mergeCell ref="C14:E14"/>
    <mergeCell ref="C15:E15"/>
    <mergeCell ref="B16:E17"/>
    <mergeCell ref="B19:E19"/>
    <mergeCell ref="B20:E27"/>
    <mergeCell ref="B29:E29"/>
    <mergeCell ref="B30:E30"/>
  </mergeCells>
  <phoneticPr fontId="6" type="noConversion"/>
  <pageMargins left="0.35433124999999999" right="0.35433124999999999" top="0.27559097222222223" bottom="0.27559097222222223" header="0.11811041666666666" footer="0.11811041666666666"/>
  <pageSetup paperSize="9" fitToWidth="0" fitToHeight="0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6B847-29C0-43EA-A88A-264B11AE1758}">
  <sheetPr codeName="Sheet30"/>
  <dimension ref="A1:G2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ht="10.050000000000001" customHeight="1" x14ac:dyDescent="0.4">
      <c r="A1" s="20" t="s">
        <v>431</v>
      </c>
    </row>
    <row r="2" spans="1:7" ht="10.050000000000001" customHeight="1" x14ac:dyDescent="0.4">
      <c r="G2" s="35" t="s">
        <v>323</v>
      </c>
    </row>
    <row r="3" spans="1:7" ht="22.05" customHeight="1" x14ac:dyDescent="0.4">
      <c r="B3" s="97" t="s">
        <v>432</v>
      </c>
      <c r="C3" s="109"/>
      <c r="D3" s="109"/>
      <c r="E3" s="109"/>
      <c r="G3">
        <v>1</v>
      </c>
    </row>
    <row r="4" spans="1:7" ht="22.05" customHeight="1" x14ac:dyDescent="0.4">
      <c r="B4" s="109"/>
      <c r="C4" s="109"/>
      <c r="D4" s="109"/>
      <c r="E4" s="109"/>
    </row>
    <row r="5" spans="1:7" ht="28.05" customHeight="1" x14ac:dyDescent="0.4">
      <c r="B5" s="110" t="s">
        <v>433</v>
      </c>
      <c r="C5" s="110"/>
      <c r="D5" s="110"/>
      <c r="E5" s="110"/>
    </row>
    <row r="6" spans="1:7" ht="7.95" customHeight="1" x14ac:dyDescent="0.4">
      <c r="B6" s="21"/>
      <c r="C6" s="21"/>
      <c r="D6" s="21"/>
      <c r="E6" s="21"/>
    </row>
    <row r="7" spans="1:7" ht="19.95" customHeight="1" x14ac:dyDescent="0.4">
      <c r="B7" s="47" t="s">
        <v>434</v>
      </c>
      <c r="C7" s="108" t="str">
        <f>IFERROR(IF(INDEX(기초자료입력!$B$44:$B$53,$G$3)=0,"",INDEX(기초자료입력!$B$44:$B$53,$G$3)),"")</f>
        <v/>
      </c>
      <c r="D7" s="108"/>
      <c r="E7" s="108"/>
    </row>
    <row r="8" spans="1:7" ht="19.95" customHeight="1" x14ac:dyDescent="0.4">
      <c r="B8" s="47" t="s">
        <v>435</v>
      </c>
      <c r="C8" s="108"/>
      <c r="D8" s="108"/>
      <c r="E8" s="108"/>
    </row>
    <row r="9" spans="1:7" ht="19.95" customHeight="1" x14ac:dyDescent="0.4">
      <c r="B9" s="47" t="s">
        <v>436</v>
      </c>
      <c r="C9" s="108"/>
      <c r="D9" s="108"/>
      <c r="E9" s="108"/>
    </row>
    <row r="10" spans="1:7" ht="7.95" customHeight="1" x14ac:dyDescent="0.4">
      <c r="B10" s="21"/>
      <c r="C10" s="21"/>
      <c r="D10" s="21"/>
      <c r="E10" s="21"/>
    </row>
    <row r="11" spans="1:7" ht="18" customHeight="1" x14ac:dyDescent="0.4">
      <c r="B11" s="110" t="str">
        <f>"위 사업자는 전북특별자치도교육청의 교복 가격 안정화를 위한 교복 ‘학교주관구매’ 실시에 따라, "&amp;IF(기초자료입력!$C$4="","○○○○학교",기초자료입력!$C$4)&amp;"(주소지 전북 )가 시행하는 교복 ‘학교주관구매’가 원만히 추진될 수 있도록 20○○.00.00. 일자로 공고한 입찰에 참가하기에 신고합니다."</f>
        <v>위 사업자는 전북특별자치도교육청의 교복 가격 안정화를 위한 교복 ‘학교주관구매’ 실시에 따라, ○○○○학교(주소지 전북 )가 시행하는 교복 ‘학교주관구매’가 원만히 추진될 수 있도록 20○○.00.00. 일자로 공고한 입찰에 참가하기에 신고합니다.</v>
      </c>
      <c r="C11" s="110"/>
      <c r="D11" s="110"/>
      <c r="E11" s="110"/>
    </row>
    <row r="12" spans="1:7" ht="18" customHeight="1" x14ac:dyDescent="0.4">
      <c r="B12" s="110"/>
      <c r="C12" s="110"/>
      <c r="D12" s="110"/>
      <c r="E12" s="110"/>
    </row>
    <row r="13" spans="1:7" ht="18" customHeight="1" x14ac:dyDescent="0.4">
      <c r="B13" s="110"/>
      <c r="C13" s="110"/>
      <c r="D13" s="110"/>
      <c r="E13" s="110"/>
    </row>
    <row r="14" spans="1:7" ht="7.95" customHeight="1" x14ac:dyDescent="0.4">
      <c r="B14" s="48"/>
      <c r="C14" s="48"/>
      <c r="D14" s="48"/>
      <c r="E14" s="48"/>
    </row>
    <row r="15" spans="1:7" ht="22.05" customHeight="1" x14ac:dyDescent="0.4">
      <c r="B15" s="110" t="s">
        <v>437</v>
      </c>
      <c r="C15" s="110"/>
      <c r="D15" s="110"/>
      <c r="E15" s="110"/>
    </row>
    <row r="16" spans="1:7" ht="22.05" customHeight="1" x14ac:dyDescent="0.4">
      <c r="B16" s="110"/>
      <c r="C16" s="110"/>
      <c r="D16" s="110"/>
      <c r="E16" s="110"/>
    </row>
    <row r="17" spans="2:5" ht="7.95" customHeight="1" x14ac:dyDescent="0.4">
      <c r="B17" s="21"/>
      <c r="C17" s="21"/>
      <c r="D17" s="21"/>
      <c r="E17" s="21"/>
    </row>
    <row r="18" spans="2:5" ht="19.95" customHeight="1" x14ac:dyDescent="0.4">
      <c r="B18" s="109" t="str">
        <f>IF(기초자료입력!$C$5="","20○○. ○○. ○○","20"&amp;RIGHT(기초자료입력!$C$5,2)&amp;". ○○. ○○")</f>
        <v>20○○. ○○. ○○</v>
      </c>
      <c r="C18" s="109"/>
      <c r="D18" s="109"/>
      <c r="E18" s="109"/>
    </row>
    <row r="19" spans="2:5" ht="19.95" customHeight="1" x14ac:dyDescent="0.4">
      <c r="B19" s="109" t="s">
        <v>438</v>
      </c>
      <c r="C19" s="109"/>
      <c r="D19" s="109"/>
      <c r="E19" s="109"/>
    </row>
    <row r="20" spans="2:5" ht="19.95" customHeight="1" x14ac:dyDescent="0.4">
      <c r="B20" s="109" t="str">
        <f>IF(기초자료입력!$C$4="","○○○○학교장 귀하",기초자료입력!$C$4&amp;"장 귀하")</f>
        <v>○○○○학교장 귀하</v>
      </c>
      <c r="C20" s="109"/>
      <c r="D20" s="109"/>
      <c r="E20" s="109"/>
    </row>
  </sheetData>
  <mergeCells count="10">
    <mergeCell ref="B15:E16"/>
    <mergeCell ref="B18:E18"/>
    <mergeCell ref="B19:E19"/>
    <mergeCell ref="B20:E20"/>
    <mergeCell ref="B3:E4"/>
    <mergeCell ref="B5:E5"/>
    <mergeCell ref="C7:E7"/>
    <mergeCell ref="C8:E8"/>
    <mergeCell ref="C9:E9"/>
    <mergeCell ref="B11:E13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AC500-F2E4-48B4-874D-7052B64B9A2B}">
  <sheetPr codeName="Sheet31"/>
  <dimension ref="A1:N25"/>
  <sheetViews>
    <sheetView workbookViewId="0"/>
  </sheetViews>
  <sheetFormatPr defaultRowHeight="17.399999999999999" x14ac:dyDescent="0.4"/>
  <cols>
    <col min="1" max="1" width="2.69921875" customWidth="1"/>
    <col min="2" max="3" width="5.69921875" customWidth="1"/>
    <col min="4" max="5" width="8.69921875" customWidth="1"/>
    <col min="6" max="7" width="10.69921875" customWidth="1"/>
    <col min="8" max="8" width="8.69921875" customWidth="1"/>
    <col min="9" max="9" width="9.69921875" customWidth="1"/>
    <col min="10" max="12" width="8.69921875" customWidth="1"/>
  </cols>
  <sheetData>
    <row r="1" spans="1:14" ht="10.050000000000001" customHeight="1" x14ac:dyDescent="0.4">
      <c r="A1" s="20" t="s">
        <v>412</v>
      </c>
    </row>
    <row r="2" spans="1:14" ht="10.050000000000001" customHeight="1" x14ac:dyDescent="0.4">
      <c r="N2" s="35" t="s">
        <v>323</v>
      </c>
    </row>
    <row r="3" spans="1:14" ht="30" customHeight="1" x14ac:dyDescent="0.4">
      <c r="B3" s="119" t="s">
        <v>413</v>
      </c>
      <c r="C3" s="80"/>
      <c r="D3" s="80"/>
      <c r="E3" s="80"/>
      <c r="F3" s="80"/>
      <c r="G3" s="80"/>
      <c r="H3" s="80"/>
      <c r="I3" s="80"/>
      <c r="J3" s="80"/>
      <c r="K3" s="80" t="s">
        <v>414</v>
      </c>
      <c r="L3" s="80"/>
      <c r="N3">
        <v>1</v>
      </c>
    </row>
    <row r="4" spans="1:14" ht="24" customHeight="1" x14ac:dyDescent="0.4"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</row>
    <row r="5" spans="1:14" x14ac:dyDescent="0.4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</row>
    <row r="6" spans="1:14" ht="22.95" customHeight="1" x14ac:dyDescent="0.4">
      <c r="B6" s="80" t="s">
        <v>415</v>
      </c>
      <c r="C6" s="80"/>
      <c r="D6" s="80" t="s">
        <v>416</v>
      </c>
      <c r="E6" s="79"/>
      <c r="F6" s="79" t="str">
        <f>IFERROR(IF(INDEX(기초자료입력!$B$44:$B$53,$N$3)=0,"",INDEX(기초자료입력!$B$44:$B$53,$N$3)),"")</f>
        <v/>
      </c>
      <c r="G6" s="79"/>
      <c r="H6" s="79"/>
      <c r="I6" s="28" t="s">
        <v>417</v>
      </c>
      <c r="J6" s="79"/>
      <c r="K6" s="79"/>
      <c r="L6" s="79"/>
    </row>
    <row r="7" spans="1:14" ht="22.95" customHeight="1" x14ac:dyDescent="0.4">
      <c r="B7" s="80"/>
      <c r="C7" s="80"/>
      <c r="D7" s="79" t="s">
        <v>418</v>
      </c>
      <c r="E7" s="79"/>
      <c r="F7" s="79"/>
      <c r="G7" s="79"/>
      <c r="H7" s="79"/>
      <c r="I7" s="28" t="s">
        <v>419</v>
      </c>
      <c r="J7" s="79"/>
      <c r="K7" s="79"/>
      <c r="L7" s="79"/>
    </row>
    <row r="8" spans="1:14" ht="22.95" customHeight="1" x14ac:dyDescent="0.4">
      <c r="B8" s="80"/>
      <c r="C8" s="80"/>
      <c r="D8" s="79" t="s">
        <v>367</v>
      </c>
      <c r="E8" s="79"/>
      <c r="F8" s="79"/>
      <c r="G8" s="79"/>
      <c r="H8" s="79"/>
      <c r="I8" s="28" t="s">
        <v>420</v>
      </c>
      <c r="J8" s="79"/>
      <c r="K8" s="79"/>
      <c r="L8" s="79"/>
    </row>
    <row r="9" spans="1:14" ht="22.95" customHeight="1" x14ac:dyDescent="0.4"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</row>
    <row r="10" spans="1:14" ht="22.95" customHeight="1" x14ac:dyDescent="0.4">
      <c r="B10" s="80" t="s">
        <v>421</v>
      </c>
      <c r="C10" s="80"/>
      <c r="D10" s="80" t="s">
        <v>422</v>
      </c>
      <c r="E10" s="79"/>
      <c r="F10" s="79" t="str">
        <f>IF(기초자료입력!$C$4="","",기초자료입력!$C$4&amp;" 공고 제20○○-00호")</f>
        <v/>
      </c>
      <c r="G10" s="79"/>
      <c r="H10" s="79"/>
      <c r="I10" s="28" t="s">
        <v>423</v>
      </c>
      <c r="J10" s="79"/>
      <c r="K10" s="79"/>
      <c r="L10" s="79"/>
    </row>
    <row r="11" spans="1:14" ht="22.95" customHeight="1" x14ac:dyDescent="0.4">
      <c r="B11" s="80"/>
      <c r="C11" s="80"/>
      <c r="D11" s="79" t="s">
        <v>424</v>
      </c>
      <c r="E11" s="79"/>
      <c r="F11" s="79" t="str">
        <f>IF(OR(기초자료입력!$C$4="",기초자료입력!$C$5=""),"",기초자료입력!$C$4&amp;" "&amp;기초자료입력!$C$5&amp;"학년도 교복 학교주관 구매 입찰")</f>
        <v/>
      </c>
      <c r="G11" s="79"/>
      <c r="H11" s="79"/>
      <c r="I11" s="79"/>
      <c r="J11" s="79"/>
      <c r="K11" s="79"/>
      <c r="L11" s="79"/>
    </row>
    <row r="12" spans="1:14" x14ac:dyDescent="0.4"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14" ht="40.049999999999997" customHeight="1" x14ac:dyDescent="0.4">
      <c r="B13" s="79" t="s">
        <v>425</v>
      </c>
      <c r="C13" s="79"/>
      <c r="D13" s="80" t="s">
        <v>426</v>
      </c>
      <c r="E13" s="80"/>
      <c r="F13" s="80"/>
      <c r="G13" s="80"/>
      <c r="H13" s="80"/>
      <c r="I13" s="80"/>
      <c r="J13" s="80"/>
      <c r="K13" s="80"/>
      <c r="L13" s="80"/>
    </row>
    <row r="14" spans="1:14" x14ac:dyDescent="0.4"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14" ht="22.05" customHeight="1" x14ac:dyDescent="0.4">
      <c r="B15" s="80" t="s">
        <v>427</v>
      </c>
      <c r="C15" s="80"/>
      <c r="D15" s="80" t="s">
        <v>428</v>
      </c>
      <c r="E15" s="80"/>
      <c r="F15" s="80"/>
      <c r="G15" s="80"/>
      <c r="H15" s="80"/>
      <c r="I15" s="80" t="s">
        <v>429</v>
      </c>
      <c r="J15" s="80"/>
      <c r="K15" s="80"/>
      <c r="L15" s="80"/>
    </row>
    <row r="16" spans="1:14" ht="22.05" customHeight="1" x14ac:dyDescent="0.4">
      <c r="B16" s="80"/>
      <c r="C16" s="80"/>
      <c r="D16" s="80"/>
      <c r="E16" s="80"/>
      <c r="F16" s="80"/>
      <c r="G16" s="80"/>
      <c r="H16" s="80"/>
      <c r="I16" s="80"/>
      <c r="J16" s="80"/>
      <c r="K16" s="80"/>
      <c r="L16" s="80"/>
    </row>
    <row r="17" spans="2:12" ht="22.05" customHeight="1" x14ac:dyDescent="0.4">
      <c r="B17" s="80"/>
      <c r="C17" s="80"/>
      <c r="D17" s="80"/>
      <c r="E17" s="80"/>
      <c r="F17" s="80"/>
      <c r="G17" s="80"/>
      <c r="H17" s="80"/>
      <c r="I17" s="80"/>
      <c r="J17" s="80"/>
      <c r="K17" s="80"/>
      <c r="L17" s="80"/>
    </row>
    <row r="18" spans="2:12" ht="22.05" customHeight="1" x14ac:dyDescent="0.4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</row>
    <row r="19" spans="2:12" x14ac:dyDescent="0.4"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</row>
    <row r="20" spans="2:12" ht="42" customHeight="1" x14ac:dyDescent="0.4">
      <c r="B20" s="86" t="str">
        <f>"본인은 위의 번호로 공고한 "&amp;IF(기초자료입력!$C$4="","○○○○학교",기초자료입력!$C$4)&amp;"의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합니다."</f>
        <v>본인은 위의 번호로 공고한 ○○○○학교의 2단계 입찰(규격·가격 동시 입찰)에 참가하고자 지방자치단체 입찰 및 계약집행기준 제8장 입찰유의서, 제9장 계약일반조건 및 입찰공고 사항을 모두 승낙하고 별첨 서류를 첨부하여 입찰 참가 신청을 합니다.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</row>
    <row r="21" spans="2:12" x14ac:dyDescent="0.4">
      <c r="B21" s="118" t="s">
        <v>430</v>
      </c>
      <c r="C21" s="118"/>
      <c r="D21" s="118"/>
      <c r="E21" s="118"/>
      <c r="F21" s="118"/>
      <c r="G21" s="118"/>
      <c r="H21" s="118"/>
      <c r="I21" s="118"/>
      <c r="J21" s="118"/>
      <c r="K21" s="118"/>
      <c r="L21" s="118"/>
    </row>
    <row r="22" spans="2:12" x14ac:dyDescent="0.4"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</row>
    <row r="23" spans="2:12" x14ac:dyDescent="0.4">
      <c r="B23" s="118" t="str">
        <f>IF(OR(기초자료입력!$C$4="",기초자료입력!$C$5=""),"","20"&amp;RIGHT(기초자료입력!$C$5,2)&amp;". . .")</f>
        <v/>
      </c>
      <c r="C23" s="118"/>
      <c r="D23" s="118"/>
      <c r="E23" s="118"/>
      <c r="F23" s="118"/>
      <c r="G23" s="118"/>
      <c r="H23" s="118"/>
      <c r="I23" s="118"/>
      <c r="J23" s="118"/>
      <c r="K23" s="118"/>
      <c r="L23" s="118"/>
    </row>
    <row r="24" spans="2:12" x14ac:dyDescent="0.4">
      <c r="B24" s="118" t="str">
        <f>"업체명: "&amp;IFERROR(IF(INDEX(기초자료입력!$B$44:$B$53,$N$3)=0,"",INDEX(기초자료입력!$B$44:$B$53,$N$3)),"")&amp;"                 대표자:                         (인)"</f>
        <v>업체명:                  대표자:                         (인)</v>
      </c>
      <c r="C24" s="118"/>
      <c r="D24" s="118"/>
      <c r="E24" s="118"/>
      <c r="F24" s="118"/>
      <c r="G24" s="118"/>
      <c r="H24" s="118"/>
      <c r="I24" s="118"/>
      <c r="J24" s="118"/>
      <c r="K24" s="118"/>
      <c r="L24" s="118"/>
    </row>
    <row r="25" spans="2:12" x14ac:dyDescent="0.4">
      <c r="B25" s="118" t="str">
        <f>IF(기초자료입력!$C$4="","○○○○학교장 귀하",기초자료입력!$C$4&amp;"장 귀하")</f>
        <v>○○○○학교장 귀하</v>
      </c>
      <c r="C25" s="118"/>
      <c r="D25" s="118"/>
      <c r="E25" s="118"/>
      <c r="F25" s="118"/>
      <c r="G25" s="118"/>
      <c r="H25" s="118"/>
      <c r="I25" s="118"/>
      <c r="J25" s="118"/>
      <c r="K25" s="118"/>
      <c r="L25" s="118"/>
    </row>
  </sheetData>
  <mergeCells count="28">
    <mergeCell ref="B3:J4"/>
    <mergeCell ref="K3:L4"/>
    <mergeCell ref="B6:C8"/>
    <mergeCell ref="D6:E6"/>
    <mergeCell ref="F6:H6"/>
    <mergeCell ref="J6:L6"/>
    <mergeCell ref="D7:E7"/>
    <mergeCell ref="F7:H7"/>
    <mergeCell ref="J7:L7"/>
    <mergeCell ref="D8:E8"/>
    <mergeCell ref="F8:H8"/>
    <mergeCell ref="J8:L8"/>
    <mergeCell ref="B10:C11"/>
    <mergeCell ref="D10:E10"/>
    <mergeCell ref="F10:H10"/>
    <mergeCell ref="J10:L10"/>
    <mergeCell ref="D11:E11"/>
    <mergeCell ref="F11:L11"/>
    <mergeCell ref="B21:L21"/>
    <mergeCell ref="B23:L23"/>
    <mergeCell ref="B24:L24"/>
    <mergeCell ref="B25:L25"/>
    <mergeCell ref="B13:C13"/>
    <mergeCell ref="D13:L13"/>
    <mergeCell ref="B15:C18"/>
    <mergeCell ref="D15:H18"/>
    <mergeCell ref="I15:L18"/>
    <mergeCell ref="B20:L20"/>
  </mergeCells>
  <phoneticPr fontId="6" type="noConversion"/>
  <pageMargins left="0.31496111111111108" right="0.31496111111111108" top="0.31496111111111108" bottom="0.31496111111111108" header="0.19685069444444445" footer="0.19685069444444445"/>
  <pageSetup paperSize="9" fitToWidth="0" fitToHeight="0"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51F64-8A48-45AB-B474-F4DF37FA0E94}">
  <sheetPr codeName="Sheet32"/>
  <dimension ref="A1:I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1.69921875" customWidth="1"/>
    <col min="4" max="4" width="19.69921875" customWidth="1"/>
    <col min="5" max="5" width="7.69921875" customWidth="1"/>
    <col min="6" max="6" width="9.69921875" customWidth="1"/>
  </cols>
  <sheetData>
    <row r="1" spans="1:9" x14ac:dyDescent="0.4">
      <c r="A1" s="20" t="s">
        <v>400</v>
      </c>
    </row>
    <row r="2" spans="1:9" x14ac:dyDescent="0.4">
      <c r="I2" s="35" t="s">
        <v>323</v>
      </c>
    </row>
    <row r="3" spans="1:9" x14ac:dyDescent="0.4">
      <c r="B3" s="77" t="s">
        <v>401</v>
      </c>
      <c r="C3" s="78"/>
      <c r="D3" s="78"/>
      <c r="E3" s="78"/>
      <c r="F3" s="78"/>
      <c r="I3">
        <v>1</v>
      </c>
    </row>
    <row r="4" spans="1:9" ht="28.05" customHeight="1" x14ac:dyDescent="0.4">
      <c r="B4" s="86" t="s">
        <v>402</v>
      </c>
      <c r="C4" s="86"/>
      <c r="D4" s="86"/>
      <c r="E4" s="86"/>
      <c r="F4" s="86"/>
    </row>
    <row r="5" spans="1:9" x14ac:dyDescent="0.4">
      <c r="B5" s="28" t="s">
        <v>60</v>
      </c>
      <c r="C5" s="121" t="str">
        <f>IFERROR(IF(INDEX(기초자료입력!$B$44:$B$53,$I$3)=0,"",INDEX(기초자료입력!$B$44:$B$53,$I$3)),"")</f>
        <v/>
      </c>
      <c r="D5" s="121"/>
      <c r="E5" s="121"/>
      <c r="F5" s="79"/>
    </row>
    <row r="6" spans="1:9" x14ac:dyDescent="0.4">
      <c r="B6" s="30"/>
      <c r="C6" s="30"/>
      <c r="D6" s="30"/>
      <c r="E6" s="30"/>
      <c r="F6" s="30"/>
    </row>
    <row r="7" spans="1:9" x14ac:dyDescent="0.4">
      <c r="B7" s="31" t="s">
        <v>312</v>
      </c>
      <c r="C7" s="31" t="s">
        <v>81</v>
      </c>
      <c r="D7" s="31" t="s">
        <v>313</v>
      </c>
      <c r="E7" s="31" t="s">
        <v>82</v>
      </c>
      <c r="F7" s="31" t="s">
        <v>403</v>
      </c>
    </row>
    <row r="8" spans="1:9" ht="22.05" customHeight="1" x14ac:dyDescent="0.4">
      <c r="B8" s="80" t="s">
        <v>328</v>
      </c>
      <c r="C8" s="102" t="s">
        <v>404</v>
      </c>
      <c r="D8" s="32" t="s">
        <v>330</v>
      </c>
      <c r="E8" s="28">
        <v>10</v>
      </c>
      <c r="F8" s="79" t="str">
        <f>IFERROR(IF(INDEX(기초자료입력!$B$44:$B$53,$I$3)=0,"",INDEX(기초자료입력!$N$44:$N$53,$I$3)),"")</f>
        <v/>
      </c>
    </row>
    <row r="9" spans="1:9" ht="22.05" customHeight="1" x14ac:dyDescent="0.4">
      <c r="B9" s="80"/>
      <c r="C9" s="102"/>
      <c r="D9" s="32" t="s">
        <v>331</v>
      </c>
      <c r="E9" s="28">
        <v>8</v>
      </c>
      <c r="F9" s="79"/>
    </row>
    <row r="10" spans="1:9" ht="22.05" customHeight="1" x14ac:dyDescent="0.4">
      <c r="B10" s="80"/>
      <c r="C10" s="102"/>
      <c r="D10" s="32" t="s">
        <v>405</v>
      </c>
      <c r="E10" s="28">
        <v>6</v>
      </c>
      <c r="F10" s="79"/>
    </row>
    <row r="11" spans="1:9" ht="22.05" customHeight="1" x14ac:dyDescent="0.4">
      <c r="B11" s="80"/>
      <c r="C11" s="102"/>
      <c r="D11" s="32" t="s">
        <v>333</v>
      </c>
      <c r="E11" s="28">
        <v>4</v>
      </c>
      <c r="F11" s="79"/>
    </row>
    <row r="12" spans="1:9" ht="22.05" customHeight="1" x14ac:dyDescent="0.4">
      <c r="B12" s="80"/>
      <c r="C12" s="102" t="s">
        <v>406</v>
      </c>
      <c r="D12" s="32" t="s">
        <v>335</v>
      </c>
      <c r="E12" s="28">
        <v>10</v>
      </c>
      <c r="F12" s="79" t="str">
        <f>IFERROR(IF(INDEX(기초자료입력!$B$44:$B$53,$I$3)=0,"",INDEX(기초자료입력!$O$44:$O$53,$I$3)),"")</f>
        <v/>
      </c>
    </row>
    <row r="13" spans="1:9" ht="22.05" customHeight="1" x14ac:dyDescent="0.4">
      <c r="B13" s="80"/>
      <c r="C13" s="102"/>
      <c r="D13" s="32" t="s">
        <v>336</v>
      </c>
      <c r="E13" s="28">
        <v>8</v>
      </c>
      <c r="F13" s="79"/>
    </row>
    <row r="14" spans="1:9" ht="22.05" customHeight="1" x14ac:dyDescent="0.4">
      <c r="B14" s="80"/>
      <c r="C14" s="102"/>
      <c r="D14" s="32" t="s">
        <v>337</v>
      </c>
      <c r="E14" s="28">
        <v>5</v>
      </c>
      <c r="F14" s="79"/>
    </row>
    <row r="15" spans="1:9" ht="22.05" customHeight="1" x14ac:dyDescent="0.4">
      <c r="B15" s="80"/>
      <c r="C15" s="102" t="s">
        <v>407</v>
      </c>
      <c r="D15" s="32" t="s">
        <v>339</v>
      </c>
      <c r="E15" s="28">
        <v>15</v>
      </c>
      <c r="F15" s="79" t="str">
        <f>IFERROR(IF(INDEX(기초자료입력!$B$44:$B$53,$I$3)=0,"",INDEX(기초자료입력!$P$44:$P$53,$I$3)),"")</f>
        <v/>
      </c>
    </row>
    <row r="16" spans="1:9" ht="22.05" customHeight="1" x14ac:dyDescent="0.4">
      <c r="B16" s="80"/>
      <c r="C16" s="102"/>
      <c r="D16" s="32" t="s">
        <v>408</v>
      </c>
      <c r="E16" s="28">
        <v>12</v>
      </c>
      <c r="F16" s="79"/>
    </row>
    <row r="17" spans="2:6" ht="22.05" customHeight="1" x14ac:dyDescent="0.4">
      <c r="B17" s="80"/>
      <c r="C17" s="102"/>
      <c r="D17" s="32" t="s">
        <v>409</v>
      </c>
      <c r="E17" s="28">
        <v>9</v>
      </c>
      <c r="F17" s="79"/>
    </row>
    <row r="18" spans="2:6" ht="22.05" customHeight="1" x14ac:dyDescent="0.4">
      <c r="B18" s="80"/>
      <c r="C18" s="102"/>
      <c r="D18" s="32" t="s">
        <v>410</v>
      </c>
      <c r="E18" s="28">
        <v>5</v>
      </c>
      <c r="F18" s="79"/>
    </row>
    <row r="19" spans="2:6" ht="22.05" customHeight="1" x14ac:dyDescent="0.4">
      <c r="B19" s="80"/>
      <c r="C19" s="102" t="s">
        <v>343</v>
      </c>
      <c r="D19" s="32" t="s">
        <v>344</v>
      </c>
      <c r="E19" s="28">
        <v>15</v>
      </c>
      <c r="F19" s="79" t="str">
        <f>IFERROR(IF(INDEX(기초자료입력!$B$44:$B$53,$I$3)=0,"",INDEX(기초자료입력!$Q$44:$Q$53,$I$3)),"")</f>
        <v/>
      </c>
    </row>
    <row r="20" spans="2:6" ht="22.05" customHeight="1" x14ac:dyDescent="0.4">
      <c r="B20" s="80"/>
      <c r="C20" s="102"/>
      <c r="D20" s="32" t="s">
        <v>345</v>
      </c>
      <c r="E20" s="28">
        <v>0</v>
      </c>
      <c r="F20" s="79"/>
    </row>
    <row r="21" spans="2:6" x14ac:dyDescent="0.4">
      <c r="B21" s="75" t="s">
        <v>280</v>
      </c>
      <c r="C21" s="120"/>
      <c r="D21" s="120" t="s">
        <v>346</v>
      </c>
      <c r="E21" s="75"/>
      <c r="F21" s="31" t="str">
        <f>IF(OR(F8="",F12="",F15="",F19=""),"",F8+F12+F15+F19)</f>
        <v/>
      </c>
    </row>
    <row r="22" spans="2:6" x14ac:dyDescent="0.4">
      <c r="B22" s="30"/>
      <c r="C22" s="30"/>
      <c r="D22" s="30"/>
      <c r="E22" s="30"/>
      <c r="F22" s="30"/>
    </row>
    <row r="23" spans="2:6" ht="28.05" customHeight="1" x14ac:dyDescent="0.4">
      <c r="B23" s="86" t="s">
        <v>411</v>
      </c>
      <c r="C23" s="86"/>
      <c r="D23" s="86"/>
      <c r="E23" s="86"/>
      <c r="F23" s="86"/>
    </row>
    <row r="24" spans="2:6" x14ac:dyDescent="0.4">
      <c r="B24" s="30"/>
      <c r="C24" s="30"/>
      <c r="D24" s="30"/>
      <c r="E24" s="30"/>
      <c r="F24" s="30"/>
    </row>
    <row r="25" spans="2:6" x14ac:dyDescent="0.4">
      <c r="B25" s="118" t="str">
        <f>"업체명: "&amp;IFERROR(IF(INDEX(기초자료입력!$B$44:$B$53,$I$3)=0,"",INDEX(기초자료입력!$B$44:$B$53,$I$3)),"")&amp;"     작성자:                         대표자:                         (인)"</f>
        <v>업체명:      작성자:                         대표자:                         (인)</v>
      </c>
      <c r="C25" s="118"/>
      <c r="D25" s="118"/>
      <c r="E25" s="118"/>
      <c r="F25" s="118"/>
    </row>
  </sheetData>
  <mergeCells count="16">
    <mergeCell ref="B25:F25"/>
    <mergeCell ref="B3:F3"/>
    <mergeCell ref="B4:F4"/>
    <mergeCell ref="C5:F5"/>
    <mergeCell ref="B8:B20"/>
    <mergeCell ref="C8:C11"/>
    <mergeCell ref="F8:F11"/>
    <mergeCell ref="C12:C14"/>
    <mergeCell ref="F12:F14"/>
    <mergeCell ref="C15:C18"/>
    <mergeCell ref="F15:F18"/>
    <mergeCell ref="C19:C20"/>
    <mergeCell ref="F19:F20"/>
    <mergeCell ref="B21:C21"/>
    <mergeCell ref="D21:E21"/>
    <mergeCell ref="B23:F23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F12CA-E8D2-4AFE-A17E-D1E3F977C4C5}">
  <sheetPr codeName="Sheet33"/>
  <dimension ref="A1:G30"/>
  <sheetViews>
    <sheetView workbookViewId="0"/>
  </sheetViews>
  <sheetFormatPr defaultRowHeight="17.399999999999999" x14ac:dyDescent="0.4"/>
  <cols>
    <col min="1" max="1" width="3.19921875" customWidth="1"/>
    <col min="2" max="2" width="24.69921875" customWidth="1"/>
    <col min="3" max="4" width="10.69921875" customWidth="1"/>
    <col min="5" max="5" width="25.69921875" customWidth="1"/>
  </cols>
  <sheetData>
    <row r="1" spans="1:7" x14ac:dyDescent="0.4">
      <c r="A1" s="20" t="s">
        <v>365</v>
      </c>
    </row>
    <row r="2" spans="1:7" x14ac:dyDescent="0.4">
      <c r="G2" s="35" t="s">
        <v>323</v>
      </c>
    </row>
    <row r="3" spans="1:7" x14ac:dyDescent="0.4">
      <c r="B3" s="122" t="str">
        <f>IF(기초자료입력!C5&lt;&gt;"",기초자료입력!C5,"20○○")&amp;"년도 신입생 교복 제출서류 자기확인서"</f>
        <v>20○○년도 신입생 교복 제출서류 자기확인서</v>
      </c>
      <c r="C3" s="123"/>
      <c r="D3" s="123"/>
      <c r="E3" s="123"/>
      <c r="G3">
        <v>1</v>
      </c>
    </row>
    <row r="4" spans="1:7" x14ac:dyDescent="0.4">
      <c r="B4" s="38"/>
      <c r="C4" s="38"/>
      <c r="D4" s="38"/>
      <c r="E4" s="38"/>
    </row>
    <row r="5" spans="1:7" ht="19.95" customHeight="1" x14ac:dyDescent="0.4">
      <c r="B5" s="117" t="s">
        <v>366</v>
      </c>
      <c r="C5" s="117"/>
      <c r="D5" s="117"/>
      <c r="E5" s="117"/>
    </row>
    <row r="6" spans="1:7" x14ac:dyDescent="0.4">
      <c r="B6" s="38"/>
      <c r="C6" s="38"/>
      <c r="D6" s="38"/>
      <c r="E6" s="38"/>
    </row>
    <row r="7" spans="1:7" ht="24" customHeight="1" x14ac:dyDescent="0.4">
      <c r="B7" s="39" t="s">
        <v>60</v>
      </c>
      <c r="C7" s="39" t="s">
        <v>367</v>
      </c>
      <c r="D7" s="39" t="s">
        <v>368</v>
      </c>
      <c r="E7" s="39" t="s">
        <v>369</v>
      </c>
    </row>
    <row r="8" spans="1:7" ht="19.95" customHeight="1" x14ac:dyDescent="0.4">
      <c r="B8" s="40" t="str">
        <f>IFERROR(IF(INDEX(기초자료입력!$B$44:$B$53,$G$3)=0,"",INDEX(기초자료입력!$B$44:$B$53,$G$3)),"")</f>
        <v/>
      </c>
      <c r="C8" s="41"/>
      <c r="D8" s="41"/>
      <c r="E8" s="40"/>
    </row>
    <row r="9" spans="1:7" x14ac:dyDescent="0.4">
      <c r="B9" s="42"/>
      <c r="C9" s="43"/>
      <c r="D9" s="43"/>
      <c r="E9" s="42"/>
    </row>
    <row r="10" spans="1:7" ht="24" customHeight="1" x14ac:dyDescent="0.4">
      <c r="B10" s="39" t="s">
        <v>370</v>
      </c>
      <c r="C10" s="39" t="s">
        <v>55</v>
      </c>
      <c r="D10" s="39" t="s">
        <v>371</v>
      </c>
      <c r="E10" s="39" t="s">
        <v>372</v>
      </c>
    </row>
    <row r="11" spans="1:7" ht="16.05" customHeight="1" x14ac:dyDescent="0.4">
      <c r="B11" s="44" t="s">
        <v>373</v>
      </c>
      <c r="C11" s="45" t="s">
        <v>374</v>
      </c>
      <c r="D11" s="45"/>
      <c r="E11" s="44"/>
    </row>
    <row r="12" spans="1:7" ht="16.05" customHeight="1" x14ac:dyDescent="0.4">
      <c r="B12" s="44" t="s">
        <v>375</v>
      </c>
      <c r="C12" s="45" t="s">
        <v>374</v>
      </c>
      <c r="D12" s="45"/>
      <c r="E12" s="44"/>
    </row>
    <row r="13" spans="1:7" ht="16.05" customHeight="1" x14ac:dyDescent="0.4">
      <c r="B13" s="44" t="s">
        <v>376</v>
      </c>
      <c r="C13" s="45" t="s">
        <v>374</v>
      </c>
      <c r="D13" s="45"/>
      <c r="E13" s="44"/>
    </row>
    <row r="14" spans="1:7" ht="16.05" customHeight="1" x14ac:dyDescent="0.4">
      <c r="B14" s="44" t="s">
        <v>377</v>
      </c>
      <c r="C14" s="45" t="s">
        <v>374</v>
      </c>
      <c r="D14" s="45"/>
      <c r="E14" s="44" t="s">
        <v>378</v>
      </c>
    </row>
    <row r="15" spans="1:7" ht="16.05" customHeight="1" x14ac:dyDescent="0.4">
      <c r="B15" s="44" t="s">
        <v>379</v>
      </c>
      <c r="C15" s="45" t="s">
        <v>374</v>
      </c>
      <c r="D15" s="45"/>
      <c r="E15" s="44"/>
    </row>
    <row r="16" spans="1:7" ht="16.05" customHeight="1" x14ac:dyDescent="0.4">
      <c r="B16" s="44" t="s">
        <v>380</v>
      </c>
      <c r="C16" s="45" t="s">
        <v>374</v>
      </c>
      <c r="D16" s="45"/>
      <c r="E16" s="44"/>
    </row>
    <row r="17" spans="2:5" ht="16.05" customHeight="1" x14ac:dyDescent="0.4">
      <c r="B17" s="44" t="s">
        <v>381</v>
      </c>
      <c r="C17" s="45" t="s">
        <v>374</v>
      </c>
      <c r="D17" s="45"/>
      <c r="E17" s="44"/>
    </row>
    <row r="18" spans="2:5" ht="16.05" customHeight="1" x14ac:dyDescent="0.4">
      <c r="B18" s="44" t="s">
        <v>382</v>
      </c>
      <c r="C18" s="45" t="s">
        <v>374</v>
      </c>
      <c r="D18" s="45"/>
      <c r="E18" s="44"/>
    </row>
    <row r="19" spans="2:5" ht="16.05" customHeight="1" x14ac:dyDescent="0.4">
      <c r="B19" s="44" t="s">
        <v>383</v>
      </c>
      <c r="C19" s="45" t="s">
        <v>374</v>
      </c>
      <c r="D19" s="45"/>
      <c r="E19" s="44"/>
    </row>
    <row r="20" spans="2:5" ht="16.05" customHeight="1" x14ac:dyDescent="0.4">
      <c r="B20" s="44" t="s">
        <v>384</v>
      </c>
      <c r="C20" s="45" t="s">
        <v>374</v>
      </c>
      <c r="D20" s="45"/>
      <c r="E20" s="44"/>
    </row>
    <row r="21" spans="2:5" ht="16.05" customHeight="1" x14ac:dyDescent="0.4">
      <c r="B21" s="44" t="s">
        <v>385</v>
      </c>
      <c r="C21" s="45" t="s">
        <v>374</v>
      </c>
      <c r="D21" s="45"/>
      <c r="E21" s="44"/>
    </row>
    <row r="22" spans="2:5" ht="24" customHeight="1" x14ac:dyDescent="0.4">
      <c r="B22" s="44" t="s">
        <v>386</v>
      </c>
      <c r="C22" s="45" t="s">
        <v>374</v>
      </c>
      <c r="D22" s="45"/>
      <c r="E22" s="44" t="s">
        <v>387</v>
      </c>
    </row>
    <row r="23" spans="2:5" ht="16.05" customHeight="1" x14ac:dyDescent="0.4">
      <c r="B23" s="44" t="s">
        <v>388</v>
      </c>
      <c r="C23" s="45" t="s">
        <v>389</v>
      </c>
      <c r="D23" s="45"/>
      <c r="E23" s="44" t="s">
        <v>390</v>
      </c>
    </row>
    <row r="24" spans="2:5" ht="16.05" customHeight="1" x14ac:dyDescent="0.4">
      <c r="B24" s="44" t="s">
        <v>391</v>
      </c>
      <c r="C24" s="45" t="s">
        <v>389</v>
      </c>
      <c r="D24" s="45"/>
      <c r="E24" s="44" t="s">
        <v>390</v>
      </c>
    </row>
    <row r="25" spans="2:5" ht="16.05" customHeight="1" x14ac:dyDescent="0.4">
      <c r="B25" s="44" t="s">
        <v>392</v>
      </c>
      <c r="C25" s="45" t="s">
        <v>389</v>
      </c>
      <c r="D25" s="45"/>
      <c r="E25" s="44" t="s">
        <v>390</v>
      </c>
    </row>
    <row r="26" spans="2:5" ht="16.05" customHeight="1" x14ac:dyDescent="0.4">
      <c r="B26" s="44" t="s">
        <v>393</v>
      </c>
      <c r="C26" s="45" t="s">
        <v>389</v>
      </c>
      <c r="D26" s="45"/>
      <c r="E26" s="44" t="s">
        <v>390</v>
      </c>
    </row>
    <row r="27" spans="2:5" ht="16.05" customHeight="1" x14ac:dyDescent="0.4">
      <c r="B27" s="44" t="s">
        <v>394</v>
      </c>
      <c r="C27" s="45" t="s">
        <v>389</v>
      </c>
      <c r="D27" s="45"/>
      <c r="E27" s="44" t="s">
        <v>390</v>
      </c>
    </row>
    <row r="28" spans="2:5" ht="16.05" customHeight="1" x14ac:dyDescent="0.4">
      <c r="B28" s="44" t="s">
        <v>395</v>
      </c>
      <c r="C28" s="45" t="s">
        <v>389</v>
      </c>
      <c r="D28" s="45"/>
      <c r="E28" s="44" t="s">
        <v>390</v>
      </c>
    </row>
    <row r="29" spans="2:5" ht="16.05" customHeight="1" x14ac:dyDescent="0.4">
      <c r="B29" s="44" t="s">
        <v>396</v>
      </c>
      <c r="C29" s="45" t="s">
        <v>389</v>
      </c>
      <c r="D29" s="45"/>
      <c r="E29" s="44" t="s">
        <v>390</v>
      </c>
    </row>
    <row r="30" spans="2:5" ht="16.05" customHeight="1" x14ac:dyDescent="0.4">
      <c r="B30" s="44" t="s">
        <v>397</v>
      </c>
      <c r="C30" s="45" t="s">
        <v>398</v>
      </c>
      <c r="D30" s="45"/>
      <c r="E30" s="44" t="s">
        <v>399</v>
      </c>
    </row>
  </sheetData>
  <mergeCells count="2">
    <mergeCell ref="B3:E3"/>
    <mergeCell ref="B5:E5"/>
  </mergeCells>
  <phoneticPr fontId="6" type="noConversion"/>
  <pageMargins left="0.39370138888888889" right="0.39370138888888889" top="0.31496111111111108" bottom="0.31496111111111108" header="0.19685069444444445" footer="0.19685069444444445"/>
  <pageSetup paperSize="9" fitToWidth="0" fitToHeight="0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B84F7-1B54-4C18-AB0D-C6E25576A82B}">
  <sheetPr codeName="Sheet34"/>
  <dimension ref="A1:I18"/>
  <sheetViews>
    <sheetView workbookViewId="0"/>
  </sheetViews>
  <sheetFormatPr defaultRowHeight="17.399999999999999" x14ac:dyDescent="0.4"/>
  <cols>
    <col min="1" max="1" width="3.19921875" customWidth="1"/>
    <col min="2" max="2" width="12.69921875" customWidth="1"/>
    <col min="3" max="3" width="14.69921875" customWidth="1"/>
    <col min="4" max="4" width="34.69921875" customWidth="1"/>
    <col min="5" max="6" width="8.69921875" customWidth="1"/>
  </cols>
  <sheetData>
    <row r="1" spans="1:9" x14ac:dyDescent="0.4">
      <c r="A1" s="20" t="s">
        <v>348</v>
      </c>
    </row>
    <row r="2" spans="1:9" x14ac:dyDescent="0.4">
      <c r="I2" s="35" t="s">
        <v>323</v>
      </c>
    </row>
    <row r="3" spans="1:9" x14ac:dyDescent="0.4">
      <c r="B3" s="77" t="s">
        <v>349</v>
      </c>
      <c r="C3" s="78"/>
      <c r="D3" s="78"/>
      <c r="E3" s="78"/>
      <c r="F3" s="78"/>
      <c r="I3">
        <v>1</v>
      </c>
    </row>
    <row r="4" spans="1:9" x14ac:dyDescent="0.4">
      <c r="B4" s="77" t="s">
        <v>350</v>
      </c>
      <c r="C4" s="78"/>
      <c r="D4" s="78"/>
      <c r="E4" s="78"/>
      <c r="F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351</v>
      </c>
    </row>
    <row r="6" spans="1:9" x14ac:dyDescent="0.4">
      <c r="B6" s="78">
        <f>IFERROR(INDEX(기초자료입력!$B$44:$B$53,I3),"")</f>
        <v>0</v>
      </c>
      <c r="C6" s="78"/>
      <c r="D6" s="78"/>
      <c r="E6" s="78"/>
      <c r="F6" s="78"/>
    </row>
    <row r="7" spans="1:9" ht="24" customHeight="1" x14ac:dyDescent="0.4">
      <c r="B7" s="86" t="s">
        <v>327</v>
      </c>
      <c r="C7" s="86"/>
      <c r="D7" s="86"/>
      <c r="E7" s="86"/>
      <c r="F7" s="86"/>
    </row>
    <row r="8" spans="1:9" x14ac:dyDescent="0.4">
      <c r="B8" s="31" t="s">
        <v>312</v>
      </c>
      <c r="C8" s="31" t="s">
        <v>81</v>
      </c>
      <c r="D8" s="31" t="s">
        <v>313</v>
      </c>
      <c r="E8" s="31" t="s">
        <v>82</v>
      </c>
      <c r="F8" s="31" t="s">
        <v>314</v>
      </c>
    </row>
    <row r="9" spans="1:9" ht="45" customHeight="1" x14ac:dyDescent="0.4">
      <c r="B9" s="80" t="s">
        <v>352</v>
      </c>
      <c r="C9" s="28" t="s">
        <v>353</v>
      </c>
      <c r="D9" s="32" t="s">
        <v>354</v>
      </c>
      <c r="E9" s="28">
        <v>15</v>
      </c>
      <c r="F9" s="28">
        <f>IFERROR(INDEX(기초자료입력!$H$44:$H$53,I3),"")</f>
        <v>0</v>
      </c>
    </row>
    <row r="10" spans="1:9" ht="45" customHeight="1" x14ac:dyDescent="0.4">
      <c r="B10" s="80"/>
      <c r="C10" s="28" t="s">
        <v>355</v>
      </c>
      <c r="D10" s="32" t="s">
        <v>356</v>
      </c>
      <c r="E10" s="28">
        <v>10</v>
      </c>
      <c r="F10" s="28">
        <f>IFERROR(INDEX(기초자료입력!$I$44:$I$53,I3),"")</f>
        <v>0</v>
      </c>
    </row>
    <row r="11" spans="1:9" ht="45" customHeight="1" x14ac:dyDescent="0.4">
      <c r="B11" s="80"/>
      <c r="C11" s="28" t="s">
        <v>357</v>
      </c>
      <c r="D11" s="32" t="s">
        <v>358</v>
      </c>
      <c r="E11" s="28">
        <v>15</v>
      </c>
      <c r="F11" s="28">
        <f>IFERROR(INDEX(기초자료입력!$J$44:$J$53,I3),"")</f>
        <v>0</v>
      </c>
    </row>
    <row r="12" spans="1:9" ht="45" customHeight="1" x14ac:dyDescent="0.4">
      <c r="B12" s="80"/>
      <c r="C12" s="28" t="s">
        <v>359</v>
      </c>
      <c r="D12" s="32" t="s">
        <v>360</v>
      </c>
      <c r="E12" s="28">
        <v>10</v>
      </c>
      <c r="F12" s="28">
        <f>IFERROR(INDEX(기초자료입력!$K$44:$K$53,I3),"")</f>
        <v>0</v>
      </c>
    </row>
    <row r="13" spans="1:9" ht="45" customHeight="1" x14ac:dyDescent="0.4">
      <c r="B13" s="80"/>
      <c r="C13" s="28" t="s">
        <v>361</v>
      </c>
      <c r="D13" s="32" t="s">
        <v>362</v>
      </c>
      <c r="E13" s="28" t="s">
        <v>363</v>
      </c>
      <c r="F13" s="28">
        <f>IFERROR(INDEX(기초자료입력!$L$44:$L$53,I3),"")</f>
        <v>0</v>
      </c>
    </row>
    <row r="14" spans="1:9" x14ac:dyDescent="0.4">
      <c r="B14" s="120" t="s">
        <v>280</v>
      </c>
      <c r="C14" s="120"/>
      <c r="D14" s="120" t="s">
        <v>346</v>
      </c>
      <c r="E14" s="75"/>
      <c r="F14" s="31">
        <f>IF(OR(F9="",F10="",F11="",F12="",F13=""),"",F9+F10+F11+F12+F13)</f>
        <v>0</v>
      </c>
    </row>
    <row r="15" spans="1:9" x14ac:dyDescent="0.4">
      <c r="B15" s="37"/>
      <c r="C15" s="37"/>
      <c r="D15" s="37"/>
      <c r="E15" s="37"/>
      <c r="F15" s="37"/>
    </row>
    <row r="16" spans="1:9" ht="30" customHeight="1" x14ac:dyDescent="0.4">
      <c r="B16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16" s="86"/>
      <c r="D16" s="86"/>
      <c r="E16" s="86"/>
      <c r="F16" s="86"/>
    </row>
    <row r="17" spans="2:6" x14ac:dyDescent="0.4">
      <c r="B17" s="78" t="s">
        <v>305</v>
      </c>
      <c r="C17" s="78"/>
      <c r="D17" s="78"/>
      <c r="E17" s="78"/>
      <c r="F17" s="78"/>
    </row>
    <row r="18" spans="2:6" x14ac:dyDescent="0.4">
      <c r="B18" s="78" t="s">
        <v>364</v>
      </c>
      <c r="C18" s="78"/>
      <c r="D18" s="78"/>
      <c r="E18" s="78"/>
      <c r="F18" s="78"/>
    </row>
  </sheetData>
  <mergeCells count="10">
    <mergeCell ref="B16:F16"/>
    <mergeCell ref="B17:F17"/>
    <mergeCell ref="B18:F18"/>
    <mergeCell ref="B3:F3"/>
    <mergeCell ref="B4:F4"/>
    <mergeCell ref="B6:F6"/>
    <mergeCell ref="B7:F7"/>
    <mergeCell ref="B9:B13"/>
    <mergeCell ref="B14:C14"/>
    <mergeCell ref="D14:E1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9D4F0-71C2-47EB-B075-755424518FCB}">
  <sheetPr codeName="Sheet35"/>
  <dimension ref="A1:I26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3" width="20.69921875" customWidth="1"/>
    <col min="4" max="4" width="18.69921875" customWidth="1"/>
    <col min="5" max="5" width="6.69921875" customWidth="1"/>
    <col min="6" max="6" width="8.69921875" customWidth="1"/>
    <col min="7" max="7" width="6.69921875" customWidth="1"/>
  </cols>
  <sheetData>
    <row r="1" spans="1:9" x14ac:dyDescent="0.4">
      <c r="A1" s="20" t="s">
        <v>322</v>
      </c>
    </row>
    <row r="2" spans="1:9" x14ac:dyDescent="0.4">
      <c r="I2" s="35" t="s">
        <v>323</v>
      </c>
    </row>
    <row r="3" spans="1:9" x14ac:dyDescent="0.4">
      <c r="B3" s="77" t="s">
        <v>324</v>
      </c>
      <c r="C3" s="78"/>
      <c r="D3" s="78"/>
      <c r="E3" s="78"/>
      <c r="F3" s="78"/>
      <c r="G3" s="78"/>
      <c r="I3">
        <v>1</v>
      </c>
    </row>
    <row r="4" spans="1:9" x14ac:dyDescent="0.4">
      <c r="B4" s="77" t="s">
        <v>325</v>
      </c>
      <c r="C4" s="78"/>
      <c r="D4" s="78"/>
      <c r="E4" s="78"/>
      <c r="F4" s="78"/>
      <c r="G4" s="78"/>
    </row>
    <row r="5" spans="1:9" x14ac:dyDescent="0.4">
      <c r="B5" s="36" t="s">
        <v>87</v>
      </c>
      <c r="C5" s="36" t="str">
        <f>IF(기초자료입력!C4&lt;&gt;"",기초자료입력!C4,"")</f>
        <v/>
      </c>
      <c r="D5" s="36" t="s">
        <v>88</v>
      </c>
      <c r="E5" s="36" t="str">
        <f>IF(기초자료입력!C5&lt;&gt;"",기초자료입력!C5,"")</f>
        <v/>
      </c>
      <c r="F5" s="36" t="s">
        <v>326</v>
      </c>
      <c r="G5" s="36">
        <f>IFERROR(INDEX(기초자료입력!$B$44:$B$53,I3),"")</f>
        <v>0</v>
      </c>
    </row>
    <row r="6" spans="1:9" ht="24" customHeight="1" x14ac:dyDescent="0.4">
      <c r="B6" s="86" t="s">
        <v>327</v>
      </c>
      <c r="C6" s="86"/>
      <c r="D6" s="86"/>
      <c r="E6" s="86"/>
      <c r="F6" s="86"/>
      <c r="G6" s="86"/>
    </row>
    <row r="7" spans="1:9" x14ac:dyDescent="0.4">
      <c r="B7" s="37"/>
      <c r="C7" s="37"/>
      <c r="D7" s="37"/>
      <c r="E7" s="37"/>
      <c r="F7" s="37"/>
      <c r="G7" s="37"/>
    </row>
    <row r="8" spans="1:9" x14ac:dyDescent="0.4">
      <c r="B8" s="31" t="s">
        <v>312</v>
      </c>
      <c r="C8" s="31" t="s">
        <v>81</v>
      </c>
      <c r="D8" s="31" t="s">
        <v>313</v>
      </c>
      <c r="E8" s="31" t="s">
        <v>82</v>
      </c>
      <c r="F8" s="31" t="s">
        <v>314</v>
      </c>
      <c r="G8" s="36"/>
    </row>
    <row r="9" spans="1:9" ht="22.05" customHeight="1" x14ac:dyDescent="0.4">
      <c r="B9" s="80" t="s">
        <v>328</v>
      </c>
      <c r="C9" s="102" t="s">
        <v>329</v>
      </c>
      <c r="D9" s="32" t="s">
        <v>330</v>
      </c>
      <c r="E9" s="28">
        <v>10</v>
      </c>
      <c r="F9" s="79">
        <f>IFERROR(INDEX(기초자료입력!$C$44:$C$53,I3),"")</f>
        <v>0</v>
      </c>
      <c r="G9" s="29"/>
    </row>
    <row r="10" spans="1:9" ht="22.05" customHeight="1" x14ac:dyDescent="0.4">
      <c r="B10" s="80"/>
      <c r="C10" s="102"/>
      <c r="D10" s="32" t="s">
        <v>331</v>
      </c>
      <c r="E10" s="28">
        <v>8</v>
      </c>
      <c r="F10" s="79"/>
      <c r="G10" s="29"/>
    </row>
    <row r="11" spans="1:9" ht="22.05" customHeight="1" x14ac:dyDescent="0.4">
      <c r="B11" s="80"/>
      <c r="C11" s="102"/>
      <c r="D11" s="32" t="s">
        <v>332</v>
      </c>
      <c r="E11" s="28">
        <v>6</v>
      </c>
      <c r="F11" s="79"/>
      <c r="G11" s="29"/>
    </row>
    <row r="12" spans="1:9" ht="22.05" customHeight="1" x14ac:dyDescent="0.4">
      <c r="B12" s="80"/>
      <c r="C12" s="102"/>
      <c r="D12" s="32" t="s">
        <v>333</v>
      </c>
      <c r="E12" s="28">
        <v>4</v>
      </c>
      <c r="F12" s="79"/>
      <c r="G12" s="29"/>
    </row>
    <row r="13" spans="1:9" ht="22.05" customHeight="1" x14ac:dyDescent="0.4">
      <c r="B13" s="80"/>
      <c r="C13" s="102" t="s">
        <v>334</v>
      </c>
      <c r="D13" s="32" t="s">
        <v>335</v>
      </c>
      <c r="E13" s="28">
        <v>10</v>
      </c>
      <c r="F13" s="79">
        <f>IFERROR(INDEX(기초자료입력!$D$44:$D$53,I3),"")</f>
        <v>0</v>
      </c>
      <c r="G13" s="29"/>
    </row>
    <row r="14" spans="1:9" ht="22.05" customHeight="1" x14ac:dyDescent="0.4">
      <c r="B14" s="80"/>
      <c r="C14" s="102"/>
      <c r="D14" s="32" t="s">
        <v>336</v>
      </c>
      <c r="E14" s="28">
        <v>8</v>
      </c>
      <c r="F14" s="79"/>
      <c r="G14" s="29"/>
    </row>
    <row r="15" spans="1:9" ht="22.05" customHeight="1" x14ac:dyDescent="0.4">
      <c r="B15" s="80"/>
      <c r="C15" s="102"/>
      <c r="D15" s="32" t="s">
        <v>337</v>
      </c>
      <c r="E15" s="28">
        <v>5</v>
      </c>
      <c r="F15" s="79"/>
      <c r="G15" s="29"/>
    </row>
    <row r="16" spans="1:9" ht="22.05" customHeight="1" x14ac:dyDescent="0.4">
      <c r="B16" s="80"/>
      <c r="C16" s="102" t="s">
        <v>338</v>
      </c>
      <c r="D16" s="32" t="s">
        <v>339</v>
      </c>
      <c r="E16" s="28">
        <v>15</v>
      </c>
      <c r="F16" s="79">
        <f>IFERROR(INDEX(기초자료입력!$E$44:$E$53,I3),"")</f>
        <v>0</v>
      </c>
      <c r="G16" s="29"/>
    </row>
    <row r="17" spans="2:7" ht="22.05" customHeight="1" x14ac:dyDescent="0.4">
      <c r="B17" s="80"/>
      <c r="C17" s="102"/>
      <c r="D17" s="32" t="s">
        <v>340</v>
      </c>
      <c r="E17" s="28">
        <v>12</v>
      </c>
      <c r="F17" s="79"/>
      <c r="G17" s="29"/>
    </row>
    <row r="18" spans="2:7" ht="22.05" customHeight="1" x14ac:dyDescent="0.4">
      <c r="B18" s="80"/>
      <c r="C18" s="102"/>
      <c r="D18" s="32" t="s">
        <v>341</v>
      </c>
      <c r="E18" s="28">
        <v>9</v>
      </c>
      <c r="F18" s="79"/>
      <c r="G18" s="29"/>
    </row>
    <row r="19" spans="2:7" ht="22.05" customHeight="1" x14ac:dyDescent="0.4">
      <c r="B19" s="80"/>
      <c r="C19" s="102"/>
      <c r="D19" s="32" t="s">
        <v>342</v>
      </c>
      <c r="E19" s="28">
        <v>5</v>
      </c>
      <c r="F19" s="79"/>
      <c r="G19" s="29"/>
    </row>
    <row r="20" spans="2:7" ht="22.05" customHeight="1" x14ac:dyDescent="0.4">
      <c r="B20" s="80"/>
      <c r="C20" s="102" t="s">
        <v>343</v>
      </c>
      <c r="D20" s="32" t="s">
        <v>344</v>
      </c>
      <c r="E20" s="28">
        <v>15</v>
      </c>
      <c r="F20" s="79">
        <f>IFERROR(INDEX(기초자료입력!$F$44:$F$53,I3),"")</f>
        <v>0</v>
      </c>
      <c r="G20" s="29"/>
    </row>
    <row r="21" spans="2:7" ht="22.05" customHeight="1" x14ac:dyDescent="0.4">
      <c r="B21" s="80"/>
      <c r="C21" s="102"/>
      <c r="D21" s="32" t="s">
        <v>345</v>
      </c>
      <c r="E21" s="28">
        <v>0</v>
      </c>
      <c r="F21" s="79"/>
      <c r="G21" s="29"/>
    </row>
    <row r="22" spans="2:7" x14ac:dyDescent="0.4">
      <c r="B22" s="75" t="s">
        <v>280</v>
      </c>
      <c r="C22" s="120"/>
      <c r="D22" s="120" t="s">
        <v>346</v>
      </c>
      <c r="E22" s="75"/>
      <c r="F22" s="31">
        <f>IF(OR(F9="",F13="",F16="",F20=""),"",F9+F13+F16+F20)</f>
        <v>0</v>
      </c>
      <c r="G22" s="29"/>
    </row>
    <row r="23" spans="2:7" x14ac:dyDescent="0.4">
      <c r="B23" s="37"/>
      <c r="C23" s="37"/>
      <c r="D23" s="37"/>
      <c r="E23" s="37"/>
      <c r="F23" s="37"/>
      <c r="G23" s="37"/>
    </row>
    <row r="24" spans="2:7" ht="30" customHeight="1" x14ac:dyDescent="0.4">
      <c r="B24" s="86" t="str">
        <f>"본인은 "&amp;IF(기초자료입력!C5&lt;&gt;"",기초자료입력!C5,"20○○")&amp;"학년도 "&amp;IF(기초자료입력!C4&lt;&gt;"",기초자료입력!C4,"○○○○학교")&amp;" 교복 학교주관 교복 구매업체 선정을 위한 제시된 항목에 따라 객관적이고 공정하게 심사할 것을 약속합니다."</f>
        <v>본인은 20○○학년도 ○○○○학교 교복 학교주관 교복 구매업체 선정을 위한 제시된 항목에 따라 객관적이고 공정하게 심사할 것을 약속합니다.</v>
      </c>
      <c r="C24" s="86"/>
      <c r="D24" s="86"/>
      <c r="E24" s="86"/>
      <c r="F24" s="86"/>
      <c r="G24" s="86"/>
    </row>
    <row r="25" spans="2:7" x14ac:dyDescent="0.4">
      <c r="B25" s="78" t="s">
        <v>305</v>
      </c>
      <c r="C25" s="78"/>
      <c r="D25" s="78"/>
      <c r="E25" s="78"/>
      <c r="F25" s="78"/>
      <c r="G25" s="78"/>
    </row>
    <row r="26" spans="2:7" x14ac:dyDescent="0.4">
      <c r="B26" s="78" t="s">
        <v>347</v>
      </c>
      <c r="C26" s="78"/>
      <c r="D26" s="78"/>
      <c r="E26" s="78"/>
      <c r="F26" s="78"/>
      <c r="G26" s="78"/>
    </row>
  </sheetData>
  <mergeCells count="17">
    <mergeCell ref="B3:G3"/>
    <mergeCell ref="B4:G4"/>
    <mergeCell ref="B6:G6"/>
    <mergeCell ref="B9:B21"/>
    <mergeCell ref="C9:C12"/>
    <mergeCell ref="F9:F12"/>
    <mergeCell ref="C13:C15"/>
    <mergeCell ref="F13:F15"/>
    <mergeCell ref="C16:C19"/>
    <mergeCell ref="F16:F19"/>
    <mergeCell ref="B26:G26"/>
    <mergeCell ref="C20:C21"/>
    <mergeCell ref="F20:F21"/>
    <mergeCell ref="B22:C22"/>
    <mergeCell ref="D22:E22"/>
    <mergeCell ref="B24:G24"/>
    <mergeCell ref="B25:G25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540A53-CD80-4C0D-A8C8-E4D83350644F}">
  <sheetPr codeName="Sheet36"/>
  <dimension ref="A1:G25"/>
  <sheetViews>
    <sheetView workbookViewId="0"/>
  </sheetViews>
  <sheetFormatPr defaultRowHeight="17.399999999999999" x14ac:dyDescent="0.4"/>
  <cols>
    <col min="1" max="1" width="3.19921875" customWidth="1"/>
    <col min="2" max="2" width="7.69921875" customWidth="1"/>
    <col min="3" max="4" width="18.69921875" customWidth="1"/>
    <col min="5" max="5" width="7.69921875" customWidth="1"/>
    <col min="6" max="6" width="9.69921875" customWidth="1"/>
    <col min="7" max="7" width="7.69921875" customWidth="1"/>
  </cols>
  <sheetData>
    <row r="1" spans="1:7" x14ac:dyDescent="0.4">
      <c r="A1" s="20" t="s">
        <v>307</v>
      </c>
    </row>
    <row r="3" spans="1:7" x14ac:dyDescent="0.4">
      <c r="B3" s="77" t="s">
        <v>308</v>
      </c>
      <c r="C3" s="78"/>
      <c r="D3" s="78"/>
      <c r="E3" s="78"/>
      <c r="F3" s="78"/>
      <c r="G3" s="78"/>
    </row>
    <row r="4" spans="1:7" x14ac:dyDescent="0.4">
      <c r="B4" s="78" t="s">
        <v>309</v>
      </c>
      <c r="C4" s="78"/>
      <c r="D4" s="78"/>
      <c r="E4" s="78"/>
      <c r="F4" s="78"/>
      <c r="G4" s="78"/>
    </row>
    <row r="5" spans="1:7" x14ac:dyDescent="0.4">
      <c r="B5" s="28" t="s">
        <v>87</v>
      </c>
      <c r="C5" s="29" t="str">
        <f>IF(기초자료입력!C4&lt;&gt;"",기초자료입력!C4,"")</f>
        <v/>
      </c>
      <c r="D5" s="29" t="s">
        <v>88</v>
      </c>
      <c r="E5" s="29" t="str">
        <f>IF(기초자료입력!C5&lt;&gt;"",기초자료입력!C5,"")</f>
        <v/>
      </c>
      <c r="F5" s="29" t="s">
        <v>310</v>
      </c>
      <c r="G5" s="28" t="str">
        <f>IF(COUNTA(기초자료입력!B72:B81)&gt;0,기초자료입력!D82,"")</f>
        <v/>
      </c>
    </row>
    <row r="6" spans="1:7" x14ac:dyDescent="0.4">
      <c r="B6" s="124" t="str">
        <f>IF(기초자료입력!C22&lt;&gt;"",기초자료입력!C22,"제안서 평가항목 및 배점기준")</f>
        <v>제안서 평가항목 및 배점기준</v>
      </c>
      <c r="C6" s="118"/>
      <c r="D6" s="118"/>
      <c r="E6" s="118"/>
      <c r="F6" s="118"/>
      <c r="G6" s="118"/>
    </row>
    <row r="7" spans="1:7" ht="30" customHeight="1" x14ac:dyDescent="0.4">
      <c r="B7" s="86" t="s">
        <v>311</v>
      </c>
      <c r="C7" s="86"/>
      <c r="D7" s="86"/>
      <c r="E7" s="86"/>
      <c r="F7" s="86"/>
      <c r="G7" s="86"/>
    </row>
    <row r="8" spans="1:7" x14ac:dyDescent="0.4">
      <c r="B8" s="30"/>
      <c r="C8" s="30"/>
      <c r="D8" s="30"/>
      <c r="E8" s="30"/>
      <c r="F8" s="30"/>
      <c r="G8" s="30"/>
    </row>
    <row r="9" spans="1:7" x14ac:dyDescent="0.4">
      <c r="B9" s="31" t="s">
        <v>312</v>
      </c>
      <c r="C9" s="31" t="s">
        <v>81</v>
      </c>
      <c r="D9" s="31" t="s">
        <v>313</v>
      </c>
      <c r="E9" s="31" t="s">
        <v>82</v>
      </c>
      <c r="F9" s="31" t="s">
        <v>314</v>
      </c>
      <c r="G9" s="31" t="s">
        <v>301</v>
      </c>
    </row>
    <row r="10" spans="1:7" ht="24" customHeight="1" x14ac:dyDescent="0.4">
      <c r="B10" s="28" t="str">
        <f>IF(기초자료입력!B72&lt;&gt;"","평가","")</f>
        <v/>
      </c>
      <c r="C10" s="32" t="str">
        <f>IF(기초자료입력!B72&lt;&gt;"",기초자료입력!B72,"")</f>
        <v/>
      </c>
      <c r="D10" s="29" t="s">
        <v>315</v>
      </c>
      <c r="E10" s="33" t="str">
        <f>IF(기초자료입력!C72&lt;&gt;"",기초자료입력!C72,"")</f>
        <v/>
      </c>
      <c r="F10" s="33" t="str">
        <f>IF(기초자료입력!D72&lt;&gt;"",기초자료입력!D72,"")</f>
        <v/>
      </c>
      <c r="G10" s="28" t="str">
        <f>IF(AND(기초자료입력!B72&lt;&gt;"",기초자료입력!D72&lt;=기초자료입력!C72),"정상","")</f>
        <v/>
      </c>
    </row>
    <row r="11" spans="1:7" ht="24" customHeight="1" x14ac:dyDescent="0.4">
      <c r="B11" s="28" t="str">
        <f>IF(기초자료입력!B73&lt;&gt;"","평가","")</f>
        <v/>
      </c>
      <c r="C11" s="32" t="str">
        <f>IF(기초자료입력!B73&lt;&gt;"",기초자료입력!B73,"")</f>
        <v/>
      </c>
      <c r="D11" s="29" t="s">
        <v>315</v>
      </c>
      <c r="E11" s="33" t="str">
        <f>IF(기초자료입력!C73&lt;&gt;"",기초자료입력!C73,"")</f>
        <v/>
      </c>
      <c r="F11" s="33" t="str">
        <f>IF(기초자료입력!D73&lt;&gt;"",기초자료입력!D73,"")</f>
        <v/>
      </c>
      <c r="G11" s="28" t="str">
        <f>IF(AND(기초자료입력!B73&lt;&gt;"",기초자료입력!D73&lt;=기초자료입력!C73),"정상","")</f>
        <v/>
      </c>
    </row>
    <row r="12" spans="1:7" ht="24" customHeight="1" x14ac:dyDescent="0.4">
      <c r="B12" s="28" t="str">
        <f>IF(기초자료입력!B74&lt;&gt;"","평가","")</f>
        <v/>
      </c>
      <c r="C12" s="32" t="str">
        <f>IF(기초자료입력!B74&lt;&gt;"",기초자료입력!B74,"")</f>
        <v/>
      </c>
      <c r="D12" s="29" t="s">
        <v>315</v>
      </c>
      <c r="E12" s="33" t="str">
        <f>IF(기초자료입력!C74&lt;&gt;"",기초자료입력!C74,"")</f>
        <v/>
      </c>
      <c r="F12" s="33" t="str">
        <f>IF(기초자료입력!D74&lt;&gt;"",기초자료입력!D74,"")</f>
        <v/>
      </c>
      <c r="G12" s="28" t="str">
        <f>IF(AND(기초자료입력!B74&lt;&gt;"",기초자료입력!D74&lt;=기초자료입력!C74),"정상","")</f>
        <v/>
      </c>
    </row>
    <row r="13" spans="1:7" ht="24" customHeight="1" x14ac:dyDescent="0.4">
      <c r="B13" s="28" t="str">
        <f>IF(기초자료입력!B75&lt;&gt;"","평가","")</f>
        <v/>
      </c>
      <c r="C13" s="32" t="str">
        <f>IF(기초자료입력!B75&lt;&gt;"",기초자료입력!B75,"")</f>
        <v/>
      </c>
      <c r="D13" s="29" t="s">
        <v>315</v>
      </c>
      <c r="E13" s="33" t="str">
        <f>IF(기초자료입력!C75&lt;&gt;"",기초자료입력!C75,"")</f>
        <v/>
      </c>
      <c r="F13" s="33" t="str">
        <f>IF(기초자료입력!D75&lt;&gt;"",기초자료입력!D75,"")</f>
        <v/>
      </c>
      <c r="G13" s="28" t="str">
        <f>IF(AND(기초자료입력!B75&lt;&gt;"",기초자료입력!D75&lt;=기초자료입력!C75),"정상","")</f>
        <v/>
      </c>
    </row>
    <row r="14" spans="1:7" ht="24" customHeight="1" x14ac:dyDescent="0.4">
      <c r="B14" s="28" t="str">
        <f>IF(기초자료입력!B76&lt;&gt;"","평가","")</f>
        <v/>
      </c>
      <c r="C14" s="32" t="str">
        <f>IF(기초자료입력!B76&lt;&gt;"",기초자료입력!B76,"")</f>
        <v/>
      </c>
      <c r="D14" s="29" t="s">
        <v>315</v>
      </c>
      <c r="E14" s="33" t="str">
        <f>IF(기초자료입력!C76&lt;&gt;"",기초자료입력!C76,"")</f>
        <v/>
      </c>
      <c r="F14" s="33" t="str">
        <f>IF(기초자료입력!D76&lt;&gt;"",기초자료입력!D76,"")</f>
        <v/>
      </c>
      <c r="G14" s="28" t="str">
        <f>IF(AND(기초자료입력!B76&lt;&gt;"",기초자료입력!D76&lt;=기초자료입력!C76),"정상","")</f>
        <v/>
      </c>
    </row>
    <row r="15" spans="1:7" ht="24" customHeight="1" x14ac:dyDescent="0.4">
      <c r="B15" s="28" t="str">
        <f>IF(기초자료입력!B77&lt;&gt;"","평가","")</f>
        <v/>
      </c>
      <c r="C15" s="32" t="str">
        <f>IF(기초자료입력!B77&lt;&gt;"",기초자료입력!B77,"")</f>
        <v/>
      </c>
      <c r="D15" s="29" t="s">
        <v>315</v>
      </c>
      <c r="E15" s="33" t="str">
        <f>IF(기초자료입력!C77&lt;&gt;"",기초자료입력!C77,"")</f>
        <v/>
      </c>
      <c r="F15" s="33" t="str">
        <f>IF(기초자료입력!D77&lt;&gt;"",기초자료입력!D77,"")</f>
        <v/>
      </c>
      <c r="G15" s="28" t="str">
        <f>IF(AND(기초자료입력!B77&lt;&gt;"",기초자료입력!D77&lt;=기초자료입력!C77),"정상","")</f>
        <v/>
      </c>
    </row>
    <row r="16" spans="1:7" ht="24" customHeight="1" x14ac:dyDescent="0.4">
      <c r="B16" s="28" t="str">
        <f>IF(기초자료입력!B78&lt;&gt;"","평가","")</f>
        <v/>
      </c>
      <c r="C16" s="32" t="str">
        <f>IF(기초자료입력!B78&lt;&gt;"",기초자료입력!B78,"")</f>
        <v/>
      </c>
      <c r="D16" s="29" t="s">
        <v>315</v>
      </c>
      <c r="E16" s="33" t="str">
        <f>IF(기초자료입력!C78&lt;&gt;"",기초자료입력!C78,"")</f>
        <v/>
      </c>
      <c r="F16" s="33" t="str">
        <f>IF(기초자료입력!D78&lt;&gt;"",기초자료입력!D78,"")</f>
        <v/>
      </c>
      <c r="G16" s="28" t="str">
        <f>IF(AND(기초자료입력!B78&lt;&gt;"",기초자료입력!D78&lt;=기초자료입력!C78),"정상","")</f>
        <v/>
      </c>
    </row>
    <row r="17" spans="2:7" ht="24" customHeight="1" x14ac:dyDescent="0.4">
      <c r="B17" s="28" t="str">
        <f>IF(기초자료입력!B79&lt;&gt;"","평가","")</f>
        <v/>
      </c>
      <c r="C17" s="32" t="str">
        <f>IF(기초자료입력!B79&lt;&gt;"",기초자료입력!B79,"")</f>
        <v/>
      </c>
      <c r="D17" s="29" t="s">
        <v>315</v>
      </c>
      <c r="E17" s="33" t="str">
        <f>IF(기초자료입력!C79&lt;&gt;"",기초자료입력!C79,"")</f>
        <v/>
      </c>
      <c r="F17" s="33" t="str">
        <f>IF(기초자료입력!D79&lt;&gt;"",기초자료입력!D79,"")</f>
        <v/>
      </c>
      <c r="G17" s="28" t="str">
        <f>IF(AND(기초자료입력!B79&lt;&gt;"",기초자료입력!D79&lt;=기초자료입력!C79),"정상","")</f>
        <v/>
      </c>
    </row>
    <row r="18" spans="2:7" ht="24" customHeight="1" x14ac:dyDescent="0.4">
      <c r="B18" s="28" t="str">
        <f>IF(기초자료입력!B80&lt;&gt;"","평가","")</f>
        <v/>
      </c>
      <c r="C18" s="32" t="str">
        <f>IF(기초자료입력!B80&lt;&gt;"",기초자료입력!B80,"")</f>
        <v/>
      </c>
      <c r="D18" s="29" t="s">
        <v>315</v>
      </c>
      <c r="E18" s="33" t="str">
        <f>IF(기초자료입력!C80&lt;&gt;"",기초자료입력!C80,"")</f>
        <v/>
      </c>
      <c r="F18" s="33" t="str">
        <f>IF(기초자료입력!D80&lt;&gt;"",기초자료입력!D80,"")</f>
        <v/>
      </c>
      <c r="G18" s="28" t="str">
        <f>IF(AND(기초자료입력!B80&lt;&gt;"",기초자료입력!D80&lt;=기초자료입력!C80),"정상","")</f>
        <v/>
      </c>
    </row>
    <row r="19" spans="2:7" ht="24" customHeight="1" x14ac:dyDescent="0.4">
      <c r="B19" s="28" t="str">
        <f>IF(기초자료입력!B81&lt;&gt;"","평가","")</f>
        <v/>
      </c>
      <c r="C19" s="32" t="str">
        <f>IF(기초자료입력!B81&lt;&gt;"",기초자료입력!B81,"")</f>
        <v/>
      </c>
      <c r="D19" s="29" t="s">
        <v>315</v>
      </c>
      <c r="E19" s="33" t="str">
        <f>IF(기초자료입력!C81&lt;&gt;"",기초자료입력!C81,"")</f>
        <v/>
      </c>
      <c r="F19" s="33" t="str">
        <f>IF(기초자료입력!D81&lt;&gt;"",기초자료입력!D81,"")</f>
        <v/>
      </c>
      <c r="G19" s="28" t="str">
        <f>IF(AND(기초자료입력!B81&lt;&gt;"",기초자료입력!D81&lt;=기초자료입력!C81),"정상","")</f>
        <v/>
      </c>
    </row>
    <row r="20" spans="2:7" x14ac:dyDescent="0.4">
      <c r="B20" s="75" t="s">
        <v>316</v>
      </c>
      <c r="C20" s="120"/>
      <c r="D20" s="120"/>
      <c r="E20" s="34">
        <f>SUM(E10:E19)</f>
        <v>0</v>
      </c>
      <c r="F20" s="34">
        <f>기초자료입력!D82</f>
        <v>0</v>
      </c>
      <c r="G20" s="31" t="s">
        <v>317</v>
      </c>
    </row>
    <row r="21" spans="2:7" x14ac:dyDescent="0.4">
      <c r="B21" s="30"/>
      <c r="C21" s="30"/>
      <c r="D21" s="30"/>
      <c r="E21" s="30"/>
      <c r="F21" s="30"/>
      <c r="G21" s="30"/>
    </row>
    <row r="22" spans="2:7" x14ac:dyDescent="0.4">
      <c r="B22" s="94" t="s">
        <v>318</v>
      </c>
      <c r="C22" s="86"/>
      <c r="D22" s="86"/>
      <c r="E22" s="86"/>
      <c r="F22" s="86"/>
      <c r="G22" s="86"/>
    </row>
    <row r="23" spans="2:7" ht="30" customHeight="1" x14ac:dyDescent="0.4">
      <c r="B23" s="86" t="s">
        <v>319</v>
      </c>
      <c r="C23" s="86"/>
      <c r="D23" s="86"/>
      <c r="E23" s="86"/>
      <c r="F23" s="86"/>
      <c r="G23" s="86"/>
    </row>
    <row r="24" spans="2:7" ht="30" customHeight="1" x14ac:dyDescent="0.4">
      <c r="B24" s="86" t="s">
        <v>320</v>
      </c>
      <c r="C24" s="86"/>
      <c r="D24" s="86"/>
      <c r="E24" s="86"/>
      <c r="F24" s="86"/>
      <c r="G24" s="86"/>
    </row>
    <row r="25" spans="2:7" ht="30" customHeight="1" x14ac:dyDescent="0.4">
      <c r="B25" s="86" t="s">
        <v>321</v>
      </c>
      <c r="C25" s="86"/>
      <c r="D25" s="86"/>
      <c r="E25" s="86"/>
      <c r="F25" s="86"/>
      <c r="G25" s="86"/>
    </row>
  </sheetData>
  <mergeCells count="9">
    <mergeCell ref="B23:G23"/>
    <mergeCell ref="B24:G24"/>
    <mergeCell ref="B25:G25"/>
    <mergeCell ref="B3:G3"/>
    <mergeCell ref="B4:G4"/>
    <mergeCell ref="B6:G6"/>
    <mergeCell ref="B7:G7"/>
    <mergeCell ref="B20:D20"/>
    <mergeCell ref="B22:G22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C8486-BB6C-4673-B31A-B22D3E93804D}">
  <sheetPr codeName="Sheet37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20" t="s">
        <v>281</v>
      </c>
    </row>
    <row r="3" spans="1:7" ht="30" customHeight="1" x14ac:dyDescent="0.4">
      <c r="B3" s="74" t="s">
        <v>297</v>
      </c>
      <c r="C3" s="73"/>
      <c r="D3" s="73"/>
      <c r="E3" s="73"/>
      <c r="F3" s="73"/>
      <c r="G3" s="73"/>
    </row>
    <row r="4" spans="1:7" x14ac:dyDescent="0.4">
      <c r="B4" s="73" t="s">
        <v>298</v>
      </c>
      <c r="C4" s="73"/>
      <c r="D4" s="73"/>
      <c r="E4" s="73"/>
      <c r="F4" s="73"/>
      <c r="G4" s="73"/>
    </row>
    <row r="5" spans="1:7" x14ac:dyDescent="0.4">
      <c r="B5" s="21"/>
      <c r="C5" s="21"/>
      <c r="D5" s="21"/>
      <c r="E5" s="21"/>
      <c r="F5" s="21"/>
      <c r="G5" s="21"/>
    </row>
    <row r="6" spans="1:7" x14ac:dyDescent="0.4">
      <c r="B6" s="22" t="s">
        <v>87</v>
      </c>
      <c r="C6" s="22" t="str">
        <f>IF(기초자료입력!C4&lt;&gt;"",기초자료입력!C4,"")</f>
        <v/>
      </c>
      <c r="D6" s="22" t="s">
        <v>88</v>
      </c>
      <c r="E6" s="22" t="str">
        <f>IF(기초자료입력!C5&lt;&gt;"",기초자료입력!C5,"")</f>
        <v/>
      </c>
      <c r="F6" s="22" t="s">
        <v>91</v>
      </c>
      <c r="G6" s="22" t="str">
        <f>IF(기초자료입력!C12&lt;&gt;"",기초자료입력!C12,"")</f>
        <v/>
      </c>
    </row>
    <row r="7" spans="1:7" x14ac:dyDescent="0.4">
      <c r="B7" s="21"/>
      <c r="C7" s="21"/>
      <c r="D7" s="21"/>
      <c r="E7" s="21"/>
      <c r="F7" s="21"/>
      <c r="G7" s="21"/>
    </row>
    <row r="8" spans="1:7" x14ac:dyDescent="0.4">
      <c r="B8" s="97" t="s">
        <v>299</v>
      </c>
      <c r="C8" s="97"/>
      <c r="D8" s="26" t="s">
        <v>55</v>
      </c>
      <c r="E8" s="26" t="s">
        <v>300</v>
      </c>
      <c r="F8" s="97" t="s">
        <v>301</v>
      </c>
      <c r="G8" s="97"/>
    </row>
    <row r="9" spans="1:7" x14ac:dyDescent="0.4">
      <c r="B9" s="96" t="s">
        <v>302</v>
      </c>
      <c r="C9" s="22" t="str">
        <f>IF(기초자료입력!B29&lt;&gt;"",기초자료입력!B29,"후드 점퍼")</f>
        <v>후드 점퍼</v>
      </c>
      <c r="D9" s="22">
        <f>IF(기초자료입력!C29&lt;&gt;"",기초자료입력!C29,1)</f>
        <v>1</v>
      </c>
      <c r="E9" s="22" t="str">
        <f>IF(SUM(기초자료입력!$D$29:$D$34)=0,"",TEXT(기초자료입력!D29/SUM(기초자료입력!$D$29:$D$34)*100,"0.0")&amp;"%")</f>
        <v/>
      </c>
      <c r="F9" s="110" t="s">
        <v>304</v>
      </c>
      <c r="G9" s="110"/>
    </row>
    <row r="10" spans="1:7" x14ac:dyDescent="0.4">
      <c r="B10" s="96"/>
      <c r="C10" s="22" t="str">
        <f>IF(기초자료입력!B30&lt;&gt;"",기초자료입력!B30,"집업티")</f>
        <v>집업티</v>
      </c>
      <c r="D10" s="22">
        <f>IF(기초자료입력!C30&lt;&gt;"",기초자료입력!C30,1)</f>
        <v>1</v>
      </c>
      <c r="E10" s="22" t="str">
        <f>IF(SUM(기초자료입력!$D$29:$D$34)=0,"",TEXT(기초자료입력!D30/SUM(기초자료입력!$D$29:$D$34)*100,"0.0")&amp;"%")</f>
        <v/>
      </c>
      <c r="F10" s="110"/>
      <c r="G10" s="110"/>
    </row>
    <row r="11" spans="1:7" x14ac:dyDescent="0.4">
      <c r="B11" s="96"/>
      <c r="C11" s="22" t="str">
        <f>IF(기초자료입력!B31&lt;&gt;"",기초자료입력!B31,"맨투맨티")</f>
        <v>맨투맨티</v>
      </c>
      <c r="D11" s="22">
        <f>IF(기초자료입력!C31&lt;&gt;"",기초자료입력!C31,1)</f>
        <v>1</v>
      </c>
      <c r="E11" s="22" t="str">
        <f>IF(SUM(기초자료입력!$D$29:$D$34)=0,"",TEXT(기초자료입력!D31/SUM(기초자료입력!$D$29:$D$34)*100,"0.0")&amp;"%")</f>
        <v/>
      </c>
      <c r="F11" s="110"/>
      <c r="G11" s="110"/>
    </row>
    <row r="12" spans="1:7" x14ac:dyDescent="0.4">
      <c r="B12" s="96"/>
      <c r="C12" s="22" t="str">
        <f>IF(기초자료입력!B32&lt;&gt;"",기초자료입력!B32,"긴바지(치마)")</f>
        <v>긴바지(치마)</v>
      </c>
      <c r="D12" s="22">
        <f>IF(기초자료입력!C32&lt;&gt;"",기초자료입력!C32,1)</f>
        <v>1</v>
      </c>
      <c r="E12" s="22" t="str">
        <f>IF(SUM(기초자료입력!$D$29:$D$34)=0,"",TEXT(기초자료입력!D32/SUM(기초자료입력!$D$29:$D$34)*100,"0.0")&amp;"%")</f>
        <v/>
      </c>
      <c r="F12" s="110"/>
      <c r="G12" s="110"/>
    </row>
    <row r="13" spans="1:7" x14ac:dyDescent="0.4">
      <c r="B13" s="96" t="s">
        <v>303</v>
      </c>
      <c r="C13" s="22" t="str">
        <f>IF(기초자료입력!B33&lt;&gt;"",기초자료입력!B33,"반팔티")</f>
        <v>반팔티</v>
      </c>
      <c r="D13" s="22">
        <f>IF(기초자료입력!C33&lt;&gt;"",기초자료입력!C33,1)</f>
        <v>1</v>
      </c>
      <c r="E13" s="22" t="str">
        <f>IF(SUM(기초자료입력!$D$29:$D$34)=0,"",TEXT(기초자료입력!D33/SUM(기초자료입력!$D$29:$D$34)*100,"0.0")&amp;"%")</f>
        <v/>
      </c>
      <c r="F13" s="110"/>
      <c r="G13" s="110"/>
    </row>
    <row r="14" spans="1:7" x14ac:dyDescent="0.4">
      <c r="B14" s="96"/>
      <c r="C14" s="22" t="str">
        <f>IF(기초자료입력!B34&lt;&gt;"",기초자료입력!B34,"반바지")</f>
        <v>반바지</v>
      </c>
      <c r="D14" s="22">
        <f>IF(기초자료입력!C34&lt;&gt;"",기초자료입력!C34,1)</f>
        <v>1</v>
      </c>
      <c r="E14" s="22" t="str">
        <f>IF(SUM(기초자료입력!$D$29:$D$34)=0,"",TEXT(기초자료입력!D34/SUM(기초자료입력!$D$29:$D$34)*100,"0.0")&amp;"%")</f>
        <v/>
      </c>
      <c r="F14" s="110"/>
      <c r="G14" s="110"/>
    </row>
    <row r="15" spans="1:7" x14ac:dyDescent="0.4">
      <c r="B15" s="98" t="s">
        <v>280</v>
      </c>
      <c r="C15" s="98"/>
      <c r="D15" s="25">
        <f>SUM(D9:D14)</f>
        <v>6</v>
      </c>
      <c r="E15" s="25" t="str">
        <f>"100%"</f>
        <v>100%</v>
      </c>
      <c r="F15" s="98"/>
      <c r="G15" s="98"/>
    </row>
    <row r="16" spans="1:7" x14ac:dyDescent="0.4">
      <c r="B16" s="21"/>
      <c r="C16" s="21"/>
      <c r="D16" s="21"/>
      <c r="E16" s="21"/>
      <c r="F16" s="21"/>
      <c r="G16" s="21"/>
    </row>
    <row r="17" spans="2:7" x14ac:dyDescent="0.4">
      <c r="B17" s="83" t="s">
        <v>305</v>
      </c>
      <c r="C17" s="83"/>
      <c r="D17" s="83"/>
      <c r="E17" s="83"/>
      <c r="F17" s="83"/>
      <c r="G17" s="83"/>
    </row>
    <row r="18" spans="2:7" x14ac:dyDescent="0.4">
      <c r="B18" s="83" t="s">
        <v>306</v>
      </c>
      <c r="C18" s="83"/>
      <c r="D18" s="83"/>
      <c r="E18" s="83"/>
      <c r="F18" s="83"/>
      <c r="G18" s="83"/>
    </row>
    <row r="19" spans="2:7" x14ac:dyDescent="0.4">
      <c r="B19" s="83" t="str">
        <f>IF(기초자료입력!C4&lt;&gt;"",기초자료입력!C4,"○○○○학교")&amp;"장 귀하"</f>
        <v>○○○○학교장 귀하</v>
      </c>
      <c r="C19" s="83"/>
      <c r="D19" s="83"/>
      <c r="E19" s="83"/>
      <c r="F19" s="83"/>
      <c r="G19" s="83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8F538-EF5B-43EC-9275-28204F265139}">
  <sheetPr codeName="Sheet38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20" t="s">
        <v>281</v>
      </c>
    </row>
    <row r="3" spans="1:8" ht="30" customHeight="1" x14ac:dyDescent="0.4">
      <c r="B3" s="125" t="s">
        <v>273</v>
      </c>
      <c r="C3" s="88"/>
      <c r="D3" s="88"/>
      <c r="E3" s="88"/>
      <c r="F3" s="88"/>
      <c r="G3" s="88"/>
      <c r="H3" s="88"/>
    </row>
    <row r="5" spans="1:8" x14ac:dyDescent="0.4">
      <c r="B5" s="25" t="s">
        <v>25</v>
      </c>
      <c r="C5" s="22" t="str">
        <f>IF(기초자료입력!C9&lt;&gt;"",기초자료입력!C9,"")</f>
        <v/>
      </c>
      <c r="D5" s="22"/>
      <c r="E5" s="25" t="s">
        <v>274</v>
      </c>
      <c r="F5" s="22" t="str">
        <f>IF(기초자료입력!C8&lt;&gt;"",TEXT(기초자료입력!C8,"yyyy-mm-dd"),"")</f>
        <v/>
      </c>
      <c r="G5" s="22"/>
      <c r="H5" s="22"/>
    </row>
    <row r="6" spans="1:8" x14ac:dyDescent="0.4">
      <c r="B6" s="22"/>
      <c r="C6" s="22"/>
      <c r="D6" s="22"/>
      <c r="E6" s="22"/>
      <c r="F6" s="22"/>
      <c r="G6" s="22"/>
      <c r="H6" s="22"/>
    </row>
    <row r="7" spans="1:8" x14ac:dyDescent="0.4">
      <c r="B7" s="25" t="s">
        <v>275</v>
      </c>
      <c r="C7" s="96" t="str">
        <f>IF(기초자료입력!C21&lt;&gt;"",기초자료입력!C21,"내부결재")</f>
        <v>내부결재</v>
      </c>
      <c r="D7" s="96"/>
      <c r="E7" s="96"/>
      <c r="F7" s="96"/>
      <c r="G7" s="96"/>
      <c r="H7" s="96"/>
    </row>
    <row r="8" spans="1:8" x14ac:dyDescent="0.4">
      <c r="B8" s="25" t="s">
        <v>282</v>
      </c>
      <c r="C8" s="96"/>
      <c r="D8" s="96"/>
      <c r="E8" s="96"/>
      <c r="F8" s="96"/>
      <c r="G8" s="96"/>
      <c r="H8" s="96"/>
    </row>
    <row r="9" spans="1:8" x14ac:dyDescent="0.4">
      <c r="B9" s="25" t="s">
        <v>276</v>
      </c>
      <c r="C9" s="98" t="str">
        <f>IF(기초자료입력!C22&lt;&gt;"",기초자료입력!C22,기초자료입력!C5&amp;"학년도 "&amp;기초자료입력!C12&amp;" 구매 요청")</f>
        <v>학년도  구매 요청</v>
      </c>
      <c r="D9" s="96"/>
      <c r="E9" s="96"/>
      <c r="F9" s="96"/>
      <c r="G9" s="96"/>
      <c r="H9" s="96"/>
    </row>
    <row r="10" spans="1:8" ht="40.049999999999997" customHeight="1" x14ac:dyDescent="0.4">
      <c r="B10" s="22"/>
      <c r="C10" s="22"/>
      <c r="D10" s="22"/>
      <c r="E10" s="22"/>
      <c r="F10" s="22"/>
      <c r="G10" s="22"/>
      <c r="H10" s="22"/>
    </row>
    <row r="11" spans="1:8" x14ac:dyDescent="0.4">
      <c r="B11" s="25" t="s">
        <v>283</v>
      </c>
      <c r="C11" s="96" t="str">
        <f>IF(기초자료입력!C23&lt;&gt;"",기초자료입력!C23,"")</f>
        <v/>
      </c>
      <c r="D11" s="96"/>
      <c r="E11" s="96"/>
      <c r="F11" s="96"/>
      <c r="G11" s="96"/>
      <c r="H11" s="96"/>
    </row>
    <row r="12" spans="1:8" x14ac:dyDescent="0.4">
      <c r="B12" s="22"/>
      <c r="C12" s="22"/>
      <c r="D12" s="22"/>
      <c r="E12" s="22"/>
      <c r="F12" s="22"/>
      <c r="G12" s="22"/>
      <c r="H12" s="22"/>
    </row>
    <row r="13" spans="1:8" x14ac:dyDescent="0.4">
      <c r="B13" s="110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110"/>
      <c r="D13" s="110"/>
      <c r="E13" s="110"/>
      <c r="F13" s="110"/>
      <c r="G13" s="110"/>
      <c r="H13" s="110"/>
    </row>
    <row r="14" spans="1:8" x14ac:dyDescent="0.4">
      <c r="B14" s="22"/>
      <c r="C14" s="22"/>
      <c r="D14" s="22"/>
      <c r="E14" s="22"/>
      <c r="F14" s="22"/>
      <c r="G14" s="22"/>
      <c r="H14" s="22"/>
    </row>
    <row r="15" spans="1:8" x14ac:dyDescent="0.4">
      <c r="B15" s="25" t="s">
        <v>284</v>
      </c>
      <c r="C15" s="22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2"/>
      <c r="E15" s="22"/>
      <c r="F15" s="22"/>
      <c r="G15" s="22"/>
      <c r="H15" s="22"/>
    </row>
    <row r="16" spans="1:8" x14ac:dyDescent="0.4">
      <c r="B16" s="25" t="s">
        <v>285</v>
      </c>
      <c r="C16" s="22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2"/>
      <c r="E16" s="22"/>
      <c r="F16" s="22"/>
      <c r="G16" s="22"/>
      <c r="H16" s="22"/>
    </row>
    <row r="17" spans="2:8" x14ac:dyDescent="0.4">
      <c r="B17" s="25" t="s">
        <v>286</v>
      </c>
      <c r="C17" s="22" t="s">
        <v>288</v>
      </c>
      <c r="D17" s="22"/>
      <c r="E17" s="22"/>
      <c r="F17" s="22"/>
      <c r="G17" s="22"/>
      <c r="H17" s="22"/>
    </row>
    <row r="18" spans="2:8" x14ac:dyDescent="0.4">
      <c r="B18" s="25" t="s">
        <v>287</v>
      </c>
      <c r="C18" s="22" t="str">
        <f>IF(기초자료입력!C17&lt;&gt;"",IFERROR(TEXT(기초자료입력!C17,"yyyy-mm-dd"),기초자료입력!C17),"")</f>
        <v/>
      </c>
      <c r="D18" s="22"/>
      <c r="E18" s="22"/>
      <c r="F18" s="22"/>
      <c r="G18" s="22"/>
      <c r="H18" s="22"/>
    </row>
    <row r="19" spans="2:8" x14ac:dyDescent="0.4">
      <c r="B19" s="22"/>
      <c r="C19" s="22"/>
      <c r="D19" s="22"/>
      <c r="E19" s="22"/>
      <c r="F19" s="22"/>
      <c r="G19" s="22"/>
      <c r="H19" s="22"/>
    </row>
    <row r="20" spans="2:8" x14ac:dyDescent="0.4">
      <c r="B20" s="25" t="s">
        <v>277</v>
      </c>
      <c r="C20" s="22" t="str">
        <f>IF(기초자료입력!C24&lt;&gt;"",기초자료입력!C24,"교복 사양서 1부")&amp;"  끝."</f>
        <v>교복 사양서 1부  끝.</v>
      </c>
      <c r="D20" s="22"/>
      <c r="E20" s="22"/>
      <c r="F20" s="22"/>
      <c r="G20" s="22"/>
      <c r="H20" s="22"/>
    </row>
    <row r="21" spans="2:8" x14ac:dyDescent="0.4">
      <c r="B21" s="22"/>
      <c r="C21" s="22"/>
      <c r="D21" s="22"/>
      <c r="E21" s="22"/>
      <c r="F21" s="22"/>
      <c r="G21" s="22"/>
      <c r="H21" s="22"/>
    </row>
    <row r="22" spans="2:8" x14ac:dyDescent="0.4">
      <c r="B22" s="22"/>
      <c r="C22" s="22"/>
      <c r="D22" s="22"/>
      <c r="E22" s="22"/>
      <c r="F22" s="22"/>
      <c r="G22" s="22"/>
      <c r="H22" s="22"/>
    </row>
    <row r="23" spans="2:8" x14ac:dyDescent="0.4">
      <c r="B23" s="22"/>
      <c r="C23" s="22"/>
      <c r="D23" s="22"/>
      <c r="E23" s="22"/>
      <c r="F23" s="22" t="s">
        <v>278</v>
      </c>
      <c r="G23" s="22" t="s">
        <v>289</v>
      </c>
      <c r="H23" s="22" t="s">
        <v>279</v>
      </c>
    </row>
    <row r="24" spans="2:8" x14ac:dyDescent="0.4">
      <c r="B24" s="25" t="s">
        <v>290</v>
      </c>
      <c r="C24" s="96" t="str">
        <f>IF(기초자료입력!C9&lt;&gt;"",기초자료입력!C9,"")</f>
        <v/>
      </c>
      <c r="D24" s="96"/>
      <c r="E24" s="96"/>
      <c r="F24" s="25" t="s">
        <v>291</v>
      </c>
      <c r="G24" s="96"/>
      <c r="H24" s="96"/>
    </row>
    <row r="25" spans="2:8" x14ac:dyDescent="0.4">
      <c r="B25" s="25" t="s">
        <v>292</v>
      </c>
      <c r="C25" s="22"/>
      <c r="D25" s="25" t="s">
        <v>293</v>
      </c>
      <c r="E25" s="96"/>
      <c r="F25" s="96"/>
      <c r="G25" s="96"/>
      <c r="H25" s="96"/>
    </row>
    <row r="26" spans="2:8" x14ac:dyDescent="0.4">
      <c r="B26" s="25" t="s">
        <v>294</v>
      </c>
      <c r="C26" s="22"/>
      <c r="D26" s="25" t="s">
        <v>295</v>
      </c>
      <c r="E26" s="22"/>
      <c r="F26" s="25" t="s">
        <v>296</v>
      </c>
      <c r="G26" s="96"/>
      <c r="H26" s="9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8DA9D-EAE0-43F8-83E8-7B86E56FADD0}">
  <sheetPr codeName="Sheet39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6" t="s">
        <v>118</v>
      </c>
    </row>
    <row r="2" spans="1:6" x14ac:dyDescent="0.4">
      <c r="A2" t="s">
        <v>119</v>
      </c>
    </row>
    <row r="4" spans="1:6" x14ac:dyDescent="0.4">
      <c r="A4" s="17" t="s">
        <v>120</v>
      </c>
      <c r="B4" s="17" t="s">
        <v>121</v>
      </c>
      <c r="C4" s="17" t="s">
        <v>122</v>
      </c>
      <c r="D4" s="17" t="s">
        <v>123</v>
      </c>
      <c r="E4" s="17" t="s">
        <v>124</v>
      </c>
      <c r="F4" s="17" t="s">
        <v>125</v>
      </c>
    </row>
    <row r="5" spans="1:6" x14ac:dyDescent="0.4">
      <c r="A5" s="19" t="b">
        <v>0</v>
      </c>
      <c r="B5" s="18" t="s">
        <v>126</v>
      </c>
      <c r="C5" s="18" t="s">
        <v>127</v>
      </c>
      <c r="D5" s="18" t="s">
        <v>128</v>
      </c>
      <c r="E5" s="18" t="s">
        <v>129</v>
      </c>
      <c r="F5" s="18" t="s">
        <v>130</v>
      </c>
    </row>
    <row r="6" spans="1:6" x14ac:dyDescent="0.4">
      <c r="A6" s="19" t="b">
        <v>0</v>
      </c>
      <c r="B6" s="18" t="s">
        <v>131</v>
      </c>
      <c r="C6" s="18" t="s">
        <v>132</v>
      </c>
      <c r="D6" s="18" t="s">
        <v>128</v>
      </c>
      <c r="E6" s="18" t="s">
        <v>129</v>
      </c>
      <c r="F6" s="18" t="s">
        <v>133</v>
      </c>
    </row>
    <row r="7" spans="1:6" x14ac:dyDescent="0.4">
      <c r="A7" s="19" t="b">
        <v>0</v>
      </c>
      <c r="B7" s="18" t="s">
        <v>134</v>
      </c>
      <c r="C7" s="18" t="s">
        <v>135</v>
      </c>
      <c r="D7" s="18" t="s">
        <v>128</v>
      </c>
      <c r="E7" s="18" t="s">
        <v>129</v>
      </c>
      <c r="F7" s="18" t="s">
        <v>136</v>
      </c>
    </row>
    <row r="8" spans="1:6" x14ac:dyDescent="0.4">
      <c r="A8" s="19" t="b">
        <v>0</v>
      </c>
      <c r="B8" s="18" t="s">
        <v>137</v>
      </c>
      <c r="C8" s="18" t="s">
        <v>138</v>
      </c>
      <c r="D8" s="18" t="s">
        <v>128</v>
      </c>
      <c r="E8" s="18" t="s">
        <v>129</v>
      </c>
      <c r="F8" s="18" t="s">
        <v>139</v>
      </c>
    </row>
    <row r="9" spans="1:6" x14ac:dyDescent="0.4">
      <c r="A9" s="19" t="b">
        <v>0</v>
      </c>
      <c r="B9" s="18" t="s">
        <v>140</v>
      </c>
      <c r="C9" s="18" t="s">
        <v>141</v>
      </c>
      <c r="D9" s="18" t="s">
        <v>128</v>
      </c>
      <c r="E9" s="18" t="s">
        <v>129</v>
      </c>
      <c r="F9" s="18" t="s">
        <v>142</v>
      </c>
    </row>
    <row r="10" spans="1:6" x14ac:dyDescent="0.4">
      <c r="A10" s="19" t="b">
        <v>0</v>
      </c>
      <c r="B10" s="18" t="s">
        <v>143</v>
      </c>
      <c r="C10" s="18" t="s">
        <v>144</v>
      </c>
      <c r="D10" s="18" t="s">
        <v>128</v>
      </c>
      <c r="E10" s="18" t="s">
        <v>129</v>
      </c>
      <c r="F10" s="18" t="s">
        <v>145</v>
      </c>
    </row>
    <row r="11" spans="1:6" x14ac:dyDescent="0.4">
      <c r="A11" s="19" t="b">
        <v>0</v>
      </c>
      <c r="B11" s="18" t="s">
        <v>146</v>
      </c>
      <c r="C11" s="18" t="s">
        <v>147</v>
      </c>
      <c r="D11" s="18" t="s">
        <v>148</v>
      </c>
      <c r="E11" s="18" t="s">
        <v>129</v>
      </c>
      <c r="F11" s="18" t="s">
        <v>149</v>
      </c>
    </row>
    <row r="12" spans="1:6" x14ac:dyDescent="0.4">
      <c r="A12" s="19" t="b">
        <v>0</v>
      </c>
      <c r="B12" s="18" t="s">
        <v>150</v>
      </c>
      <c r="C12" s="18" t="s">
        <v>151</v>
      </c>
      <c r="D12" s="18" t="s">
        <v>148</v>
      </c>
      <c r="E12" s="18" t="s">
        <v>152</v>
      </c>
      <c r="F12" s="18"/>
    </row>
    <row r="13" spans="1:6" x14ac:dyDescent="0.4">
      <c r="A13" s="19" t="b">
        <v>0</v>
      </c>
      <c r="B13" s="18" t="s">
        <v>153</v>
      </c>
      <c r="C13" s="18" t="s">
        <v>154</v>
      </c>
      <c r="D13" s="18" t="s">
        <v>148</v>
      </c>
      <c r="E13" s="18" t="s">
        <v>152</v>
      </c>
      <c r="F13" s="18"/>
    </row>
    <row r="14" spans="1:6" x14ac:dyDescent="0.4">
      <c r="A14" s="19" t="b">
        <v>0</v>
      </c>
      <c r="B14" s="18" t="s">
        <v>155</v>
      </c>
      <c r="C14" s="18" t="s">
        <v>156</v>
      </c>
      <c r="D14" s="18" t="s">
        <v>148</v>
      </c>
      <c r="E14" s="18" t="s">
        <v>152</v>
      </c>
      <c r="F14" s="18"/>
    </row>
    <row r="15" spans="1:6" x14ac:dyDescent="0.4">
      <c r="A15" s="19" t="b">
        <v>0</v>
      </c>
      <c r="B15" s="18" t="s">
        <v>157</v>
      </c>
      <c r="C15" s="18" t="s">
        <v>158</v>
      </c>
      <c r="D15" s="18" t="s">
        <v>148</v>
      </c>
      <c r="E15" s="18" t="s">
        <v>152</v>
      </c>
      <c r="F15" s="18"/>
    </row>
    <row r="16" spans="1:6" x14ac:dyDescent="0.4">
      <c r="A16" s="19" t="b">
        <v>0</v>
      </c>
      <c r="B16" s="18" t="s">
        <v>159</v>
      </c>
      <c r="C16" s="18" t="s">
        <v>160</v>
      </c>
      <c r="D16" s="18" t="s">
        <v>148</v>
      </c>
      <c r="E16" s="18" t="s">
        <v>152</v>
      </c>
      <c r="F16" s="18"/>
    </row>
    <row r="17" spans="1:6" x14ac:dyDescent="0.4">
      <c r="A17" s="19" t="b">
        <v>0</v>
      </c>
      <c r="B17" s="18" t="s">
        <v>161</v>
      </c>
      <c r="C17" s="18" t="s">
        <v>162</v>
      </c>
      <c r="D17" s="18" t="s">
        <v>148</v>
      </c>
      <c r="E17" s="18" t="s">
        <v>163</v>
      </c>
      <c r="F17" s="18" t="s">
        <v>164</v>
      </c>
    </row>
    <row r="18" spans="1:6" x14ac:dyDescent="0.4">
      <c r="A18" s="19" t="b">
        <v>0</v>
      </c>
      <c r="B18" s="18" t="s">
        <v>165</v>
      </c>
      <c r="C18" s="18" t="s">
        <v>166</v>
      </c>
      <c r="D18" s="18" t="s">
        <v>167</v>
      </c>
      <c r="E18" s="18" t="s">
        <v>129</v>
      </c>
      <c r="F18" s="18" t="s">
        <v>168</v>
      </c>
    </row>
    <row r="19" spans="1:6" x14ac:dyDescent="0.4">
      <c r="A19" s="19" t="b">
        <v>0</v>
      </c>
      <c r="B19" s="18" t="s">
        <v>169</v>
      </c>
      <c r="C19" s="18" t="s">
        <v>170</v>
      </c>
      <c r="D19" s="18" t="s">
        <v>167</v>
      </c>
      <c r="E19" s="18" t="s">
        <v>129</v>
      </c>
      <c r="F19" s="18" t="s">
        <v>171</v>
      </c>
    </row>
    <row r="20" spans="1:6" x14ac:dyDescent="0.4">
      <c r="A20" s="19" t="b">
        <v>0</v>
      </c>
      <c r="B20" s="18" t="s">
        <v>172</v>
      </c>
      <c r="C20" s="18" t="s">
        <v>173</v>
      </c>
      <c r="D20" s="18" t="s">
        <v>167</v>
      </c>
      <c r="E20" s="18" t="s">
        <v>129</v>
      </c>
      <c r="F20" s="18" t="s">
        <v>174</v>
      </c>
    </row>
    <row r="21" spans="1:6" x14ac:dyDescent="0.4">
      <c r="A21" s="19" t="b">
        <v>0</v>
      </c>
      <c r="B21" s="18" t="s">
        <v>175</v>
      </c>
      <c r="C21" s="18" t="s">
        <v>176</v>
      </c>
      <c r="D21" s="18" t="s">
        <v>148</v>
      </c>
      <c r="E21" s="18" t="s">
        <v>129</v>
      </c>
      <c r="F21" s="18" t="s">
        <v>177</v>
      </c>
    </row>
    <row r="22" spans="1:6" x14ac:dyDescent="0.4">
      <c r="A22" s="19" t="b">
        <v>0</v>
      </c>
      <c r="B22" s="18" t="s">
        <v>178</v>
      </c>
      <c r="C22" s="18" t="s">
        <v>179</v>
      </c>
      <c r="D22" s="18" t="s">
        <v>148</v>
      </c>
      <c r="E22" s="18" t="s">
        <v>129</v>
      </c>
      <c r="F22" s="18" t="s">
        <v>180</v>
      </c>
    </row>
    <row r="23" spans="1:6" x14ac:dyDescent="0.4">
      <c r="A23" s="19" t="b">
        <v>0</v>
      </c>
      <c r="B23" s="18" t="s">
        <v>181</v>
      </c>
      <c r="C23" s="18" t="s">
        <v>182</v>
      </c>
      <c r="D23" s="18" t="s">
        <v>148</v>
      </c>
      <c r="E23" s="18" t="s">
        <v>129</v>
      </c>
      <c r="F23" s="18" t="s">
        <v>183</v>
      </c>
    </row>
    <row r="24" spans="1:6" x14ac:dyDescent="0.4">
      <c r="A24" s="19" t="b">
        <v>0</v>
      </c>
      <c r="B24" s="18" t="s">
        <v>184</v>
      </c>
      <c r="C24" s="18" t="s">
        <v>185</v>
      </c>
      <c r="D24" s="18" t="s">
        <v>148</v>
      </c>
      <c r="E24" s="18" t="s">
        <v>129</v>
      </c>
      <c r="F24" s="18" t="s">
        <v>186</v>
      </c>
    </row>
    <row r="25" spans="1:6" x14ac:dyDescent="0.4">
      <c r="A25" s="19" t="b">
        <v>0</v>
      </c>
      <c r="B25" s="18" t="s">
        <v>187</v>
      </c>
      <c r="C25" s="18" t="s">
        <v>188</v>
      </c>
      <c r="D25" s="18" t="s">
        <v>148</v>
      </c>
      <c r="E25" s="18" t="s">
        <v>129</v>
      </c>
      <c r="F25" s="18" t="s">
        <v>189</v>
      </c>
    </row>
    <row r="26" spans="1:6" x14ac:dyDescent="0.4">
      <c r="A26" s="19" t="b">
        <v>0</v>
      </c>
      <c r="B26" s="18" t="s">
        <v>190</v>
      </c>
      <c r="C26" s="18" t="s">
        <v>191</v>
      </c>
      <c r="D26" s="18" t="s">
        <v>148</v>
      </c>
      <c r="E26" s="18" t="s">
        <v>129</v>
      </c>
      <c r="F26" s="18" t="s">
        <v>192</v>
      </c>
    </row>
    <row r="27" spans="1:6" x14ac:dyDescent="0.4">
      <c r="A27" s="19" t="b">
        <v>0</v>
      </c>
      <c r="B27" s="18" t="s">
        <v>193</v>
      </c>
      <c r="C27" s="18" t="s">
        <v>194</v>
      </c>
      <c r="D27" s="18" t="s">
        <v>148</v>
      </c>
      <c r="E27" s="18" t="s">
        <v>129</v>
      </c>
      <c r="F27" s="18" t="s">
        <v>195</v>
      </c>
    </row>
    <row r="28" spans="1:6" x14ac:dyDescent="0.4">
      <c r="A28" s="19" t="b">
        <v>0</v>
      </c>
      <c r="B28" s="18" t="s">
        <v>196</v>
      </c>
      <c r="C28" s="18" t="s">
        <v>197</v>
      </c>
      <c r="D28" s="18" t="s">
        <v>148</v>
      </c>
      <c r="E28" s="18" t="s">
        <v>129</v>
      </c>
      <c r="F28" s="18" t="s">
        <v>198</v>
      </c>
    </row>
    <row r="29" spans="1:6" x14ac:dyDescent="0.4">
      <c r="A29" s="19" t="b">
        <v>0</v>
      </c>
      <c r="B29" s="18" t="s">
        <v>199</v>
      </c>
      <c r="C29" s="18" t="s">
        <v>200</v>
      </c>
      <c r="D29" s="18" t="s">
        <v>148</v>
      </c>
      <c r="E29" s="18" t="s">
        <v>129</v>
      </c>
      <c r="F29" s="18" t="s">
        <v>201</v>
      </c>
    </row>
    <row r="30" spans="1:6" x14ac:dyDescent="0.4">
      <c r="A30" s="19" t="b">
        <v>0</v>
      </c>
      <c r="B30" s="18" t="s">
        <v>202</v>
      </c>
      <c r="C30" s="18" t="s">
        <v>203</v>
      </c>
      <c r="D30" s="18" t="s">
        <v>148</v>
      </c>
      <c r="E30" s="18" t="s">
        <v>152</v>
      </c>
      <c r="F30" s="18"/>
    </row>
    <row r="31" spans="1:6" x14ac:dyDescent="0.4">
      <c r="A31" s="19" t="b">
        <v>0</v>
      </c>
      <c r="B31" s="18" t="s">
        <v>204</v>
      </c>
      <c r="C31" s="18" t="s">
        <v>205</v>
      </c>
      <c r="D31" s="18" t="s">
        <v>148</v>
      </c>
      <c r="E31" s="18" t="s">
        <v>152</v>
      </c>
      <c r="F31" s="18"/>
    </row>
    <row r="32" spans="1:6" x14ac:dyDescent="0.4">
      <c r="A32" s="19" t="b">
        <v>0</v>
      </c>
      <c r="B32" s="18" t="s">
        <v>206</v>
      </c>
      <c r="C32" s="18" t="s">
        <v>207</v>
      </c>
      <c r="D32" s="18" t="s">
        <v>148</v>
      </c>
      <c r="E32" s="18" t="s">
        <v>152</v>
      </c>
      <c r="F32" s="18"/>
    </row>
    <row r="33" spans="1:6" x14ac:dyDescent="0.4">
      <c r="A33" s="19" t="b">
        <v>0</v>
      </c>
      <c r="B33" s="18" t="s">
        <v>208</v>
      </c>
      <c r="C33" s="18" t="s">
        <v>209</v>
      </c>
      <c r="D33" s="18" t="s">
        <v>148</v>
      </c>
      <c r="E33" s="18" t="s">
        <v>152</v>
      </c>
      <c r="F33" s="18"/>
    </row>
    <row r="34" spans="1:6" x14ac:dyDescent="0.4">
      <c r="A34" s="19" t="b">
        <v>0</v>
      </c>
      <c r="B34" s="18" t="s">
        <v>210</v>
      </c>
      <c r="C34" s="18" t="s">
        <v>211</v>
      </c>
      <c r="D34" s="18" t="s">
        <v>148</v>
      </c>
      <c r="E34" s="18" t="s">
        <v>152</v>
      </c>
      <c r="F34" s="18"/>
    </row>
    <row r="35" spans="1:6" x14ac:dyDescent="0.4">
      <c r="A35" s="19" t="b">
        <v>0</v>
      </c>
      <c r="B35" s="18" t="s">
        <v>212</v>
      </c>
      <c r="C35" s="18" t="s">
        <v>213</v>
      </c>
      <c r="D35" s="18" t="s">
        <v>148</v>
      </c>
      <c r="E35" s="18" t="s">
        <v>152</v>
      </c>
      <c r="F35" s="18"/>
    </row>
    <row r="36" spans="1:6" x14ac:dyDescent="0.4">
      <c r="A36" s="19" t="b">
        <v>0</v>
      </c>
      <c r="B36" s="18" t="s">
        <v>214</v>
      </c>
      <c r="C36" s="18" t="s">
        <v>215</v>
      </c>
      <c r="D36" s="18" t="s">
        <v>167</v>
      </c>
      <c r="E36" s="18" t="s">
        <v>129</v>
      </c>
      <c r="F36" s="18" t="s">
        <v>216</v>
      </c>
    </row>
    <row r="37" spans="1:6" x14ac:dyDescent="0.4">
      <c r="A37" s="19" t="b">
        <v>0</v>
      </c>
      <c r="B37" s="18" t="s">
        <v>217</v>
      </c>
      <c r="C37" s="18" t="s">
        <v>218</v>
      </c>
      <c r="D37" s="18" t="s">
        <v>167</v>
      </c>
      <c r="E37" s="18" t="s">
        <v>129</v>
      </c>
      <c r="F37" s="18" t="s">
        <v>219</v>
      </c>
    </row>
    <row r="38" spans="1:6" x14ac:dyDescent="0.4">
      <c r="A38" s="19" t="b">
        <v>0</v>
      </c>
      <c r="B38" s="18" t="s">
        <v>220</v>
      </c>
      <c r="C38" s="18" t="s">
        <v>221</v>
      </c>
      <c r="D38" s="18" t="s">
        <v>167</v>
      </c>
      <c r="E38" s="18" t="s">
        <v>129</v>
      </c>
      <c r="F38" s="18" t="s">
        <v>222</v>
      </c>
    </row>
    <row r="39" spans="1:6" x14ac:dyDescent="0.4">
      <c r="A39" s="19" t="b">
        <v>0</v>
      </c>
      <c r="B39" s="18" t="s">
        <v>223</v>
      </c>
      <c r="C39" s="18" t="s">
        <v>224</v>
      </c>
      <c r="D39" s="18" t="s">
        <v>167</v>
      </c>
      <c r="E39" s="18" t="s">
        <v>129</v>
      </c>
      <c r="F39" s="18" t="s">
        <v>225</v>
      </c>
    </row>
    <row r="40" spans="1:6" x14ac:dyDescent="0.4">
      <c r="A40" s="19" t="b">
        <v>0</v>
      </c>
      <c r="B40" s="18" t="s">
        <v>226</v>
      </c>
      <c r="C40" s="18" t="s">
        <v>227</v>
      </c>
      <c r="D40" s="18" t="s">
        <v>167</v>
      </c>
      <c r="E40" s="18" t="s">
        <v>129</v>
      </c>
      <c r="F40" s="18" t="s">
        <v>228</v>
      </c>
    </row>
    <row r="41" spans="1:6" x14ac:dyDescent="0.4">
      <c r="A41" s="19" t="b">
        <v>0</v>
      </c>
      <c r="B41" s="18" t="s">
        <v>229</v>
      </c>
      <c r="C41" s="18" t="s">
        <v>230</v>
      </c>
      <c r="D41" s="18" t="s">
        <v>167</v>
      </c>
      <c r="E41" s="18" t="s">
        <v>129</v>
      </c>
      <c r="F41" s="18" t="s">
        <v>231</v>
      </c>
    </row>
    <row r="42" spans="1:6" x14ac:dyDescent="0.4">
      <c r="A42" s="19" t="b">
        <v>0</v>
      </c>
      <c r="B42" s="18" t="s">
        <v>232</v>
      </c>
      <c r="C42" s="18" t="s">
        <v>233</v>
      </c>
      <c r="D42" s="18" t="s">
        <v>167</v>
      </c>
      <c r="E42" s="18" t="s">
        <v>129</v>
      </c>
      <c r="F42" s="18" t="s">
        <v>234</v>
      </c>
    </row>
    <row r="43" spans="1:6" x14ac:dyDescent="0.4">
      <c r="A43" s="19" t="b">
        <v>0</v>
      </c>
      <c r="B43" s="18" t="s">
        <v>235</v>
      </c>
      <c r="C43" s="18" t="s">
        <v>236</v>
      </c>
      <c r="D43" s="18" t="s">
        <v>167</v>
      </c>
      <c r="E43" s="18" t="s">
        <v>129</v>
      </c>
      <c r="F43" s="18" t="s">
        <v>237</v>
      </c>
    </row>
    <row r="44" spans="1:6" x14ac:dyDescent="0.4">
      <c r="A44" s="19" t="b">
        <v>0</v>
      </c>
      <c r="B44" s="18" t="s">
        <v>238</v>
      </c>
      <c r="C44" s="18" t="s">
        <v>135</v>
      </c>
      <c r="D44" s="18" t="s">
        <v>167</v>
      </c>
      <c r="E44" s="18" t="s">
        <v>129</v>
      </c>
      <c r="F44" s="18" t="s">
        <v>239</v>
      </c>
    </row>
    <row r="45" spans="1:6" x14ac:dyDescent="0.4">
      <c r="A45" s="19" t="b">
        <v>0</v>
      </c>
      <c r="B45" s="18" t="s">
        <v>240</v>
      </c>
      <c r="C45" s="18" t="s">
        <v>241</v>
      </c>
      <c r="D45" s="18" t="s">
        <v>242</v>
      </c>
      <c r="E45" s="18" t="s">
        <v>129</v>
      </c>
      <c r="F45" s="18" t="s">
        <v>243</v>
      </c>
    </row>
    <row r="46" spans="1:6" x14ac:dyDescent="0.4">
      <c r="A46" s="19" t="b">
        <v>0</v>
      </c>
      <c r="B46" s="18" t="s">
        <v>244</v>
      </c>
      <c r="C46" s="18" t="s">
        <v>245</v>
      </c>
      <c r="D46" s="18" t="s">
        <v>242</v>
      </c>
      <c r="E46" s="18" t="s">
        <v>129</v>
      </c>
      <c r="F46" s="18" t="s">
        <v>246</v>
      </c>
    </row>
    <row r="47" spans="1:6" x14ac:dyDescent="0.4">
      <c r="A47" s="19" t="b">
        <v>0</v>
      </c>
      <c r="B47" s="18" t="s">
        <v>247</v>
      </c>
      <c r="C47" s="18" t="s">
        <v>248</v>
      </c>
      <c r="D47" s="18" t="s">
        <v>242</v>
      </c>
      <c r="E47" s="18" t="s">
        <v>129</v>
      </c>
      <c r="F47" s="18" t="s">
        <v>249</v>
      </c>
    </row>
    <row r="48" spans="1:6" x14ac:dyDescent="0.4">
      <c r="A48" s="19" t="b">
        <v>0</v>
      </c>
      <c r="B48" s="18" t="s">
        <v>250</v>
      </c>
      <c r="C48" s="18" t="s">
        <v>251</v>
      </c>
      <c r="D48" s="18" t="s">
        <v>252</v>
      </c>
      <c r="E48" s="18" t="s">
        <v>129</v>
      </c>
      <c r="F48" s="18" t="s">
        <v>253</v>
      </c>
    </row>
    <row r="49" spans="1:6" x14ac:dyDescent="0.4">
      <c r="A49" s="19" t="b">
        <v>0</v>
      </c>
      <c r="B49" s="18" t="s">
        <v>254</v>
      </c>
      <c r="C49" s="18" t="s">
        <v>255</v>
      </c>
      <c r="D49" s="18" t="s">
        <v>252</v>
      </c>
      <c r="E49" s="18" t="s">
        <v>129</v>
      </c>
      <c r="F49" s="18" t="s">
        <v>256</v>
      </c>
    </row>
    <row r="50" spans="1:6" x14ac:dyDescent="0.4">
      <c r="A50" s="19" t="b">
        <v>0</v>
      </c>
      <c r="B50" s="18" t="s">
        <v>257</v>
      </c>
      <c r="C50" s="18" t="s">
        <v>258</v>
      </c>
      <c r="D50" s="18" t="s">
        <v>252</v>
      </c>
      <c r="E50" s="18" t="s">
        <v>129</v>
      </c>
      <c r="F50" s="18" t="s">
        <v>259</v>
      </c>
    </row>
    <row r="51" spans="1:6" x14ac:dyDescent="0.4">
      <c r="A51" s="19" t="b">
        <v>0</v>
      </c>
      <c r="B51" s="18" t="s">
        <v>260</v>
      </c>
      <c r="C51" s="18" t="s">
        <v>261</v>
      </c>
      <c r="D51" s="18" t="s">
        <v>252</v>
      </c>
      <c r="E51" s="18" t="s">
        <v>152</v>
      </c>
      <c r="F51" s="18"/>
    </row>
    <row r="52" spans="1:6" x14ac:dyDescent="0.4">
      <c r="A52" s="19" t="b">
        <v>0</v>
      </c>
      <c r="B52" s="18" t="s">
        <v>262</v>
      </c>
      <c r="C52" s="18" t="s">
        <v>263</v>
      </c>
      <c r="D52" s="18" t="s">
        <v>252</v>
      </c>
      <c r="E52" s="18" t="s">
        <v>152</v>
      </c>
      <c r="F52" s="18"/>
    </row>
    <row r="53" spans="1:6" x14ac:dyDescent="0.4">
      <c r="A53" s="19" t="b">
        <v>0</v>
      </c>
      <c r="B53" s="18" t="s">
        <v>264</v>
      </c>
      <c r="C53" s="18" t="s">
        <v>265</v>
      </c>
      <c r="D53" s="18" t="s">
        <v>266</v>
      </c>
      <c r="E53" s="18" t="s">
        <v>152</v>
      </c>
      <c r="F53" s="18"/>
    </row>
    <row r="54" spans="1:6" x14ac:dyDescent="0.4">
      <c r="A54" s="19" t="b">
        <v>0</v>
      </c>
      <c r="B54" s="18" t="s">
        <v>267</v>
      </c>
      <c r="C54" s="18" t="s">
        <v>268</v>
      </c>
      <c r="D54" s="18" t="s">
        <v>266</v>
      </c>
      <c r="E54" s="18" t="s">
        <v>152</v>
      </c>
      <c r="F54" s="18"/>
    </row>
    <row r="55" spans="1:6" x14ac:dyDescent="0.4">
      <c r="A55" s="19" t="b">
        <v>0</v>
      </c>
      <c r="B55" s="18" t="s">
        <v>269</v>
      </c>
      <c r="C55" s="18" t="s">
        <v>270</v>
      </c>
      <c r="D55" s="18" t="s">
        <v>266</v>
      </c>
      <c r="E55" s="18" t="s">
        <v>152</v>
      </c>
      <c r="F55" s="18"/>
    </row>
    <row r="56" spans="1:6" x14ac:dyDescent="0.4">
      <c r="A56" s="19" t="b">
        <v>0</v>
      </c>
      <c r="B56" s="18" t="s">
        <v>271</v>
      </c>
      <c r="C56" s="18" t="s">
        <v>272</v>
      </c>
      <c r="D56" s="18" t="s">
        <v>266</v>
      </c>
      <c r="E56" s="18" t="s">
        <v>152</v>
      </c>
      <c r="F56" s="18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6E721-11F6-4336-83F7-D604394D92F0}">
  <sheetPr codeName="Sheet40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114</v>
      </c>
      <c r="D1" s="3" t="s">
        <v>115</v>
      </c>
      <c r="E1" s="3" t="s">
        <v>116</v>
      </c>
      <c r="F1" s="3" t="s">
        <v>117</v>
      </c>
    </row>
  </sheetData>
  <sheetProtection sheet="1" objects="1" scenarios="1"/>
  <autoFilter ref="A1:F1" xr:uid="{C6E6E721-11F6-4336-83F7-D604394D92F0}"/>
  <phoneticPr fontId="6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9A8A9-1E8E-4BA3-8AF1-DA77DA66B97B}">
  <sheetPr codeName="Sheet41"/>
  <dimension ref="A1:G1"/>
  <sheetViews>
    <sheetView workbookViewId="0"/>
  </sheetViews>
  <sheetFormatPr defaultRowHeight="17.399999999999999" x14ac:dyDescent="0.4"/>
  <sheetData>
    <row r="1" spans="1:7" x14ac:dyDescent="0.4">
      <c r="A1" s="3" t="s">
        <v>99</v>
      </c>
      <c r="B1" s="3" t="s">
        <v>100</v>
      </c>
      <c r="C1" s="3" t="s">
        <v>109</v>
      </c>
      <c r="D1" s="3" t="s">
        <v>110</v>
      </c>
      <c r="E1" s="3" t="s">
        <v>111</v>
      </c>
      <c r="F1" s="3" t="s">
        <v>112</v>
      </c>
      <c r="G1" s="3" t="s">
        <v>113</v>
      </c>
    </row>
  </sheetData>
  <sheetProtection sheet="1" objects="1" scenarios="1"/>
  <autoFilter ref="A1:G1" xr:uid="{AFB9A8A9-1E8E-4BA3-8AF1-DA77DA66B97B}"/>
  <phoneticPr fontId="6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B8CC6-8747-44C0-A756-8376566E560C}">
  <sheetPr codeName="Sheet42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105</v>
      </c>
      <c r="D1" s="3" t="s">
        <v>106</v>
      </c>
      <c r="E1" s="3" t="s">
        <v>107</v>
      </c>
      <c r="F1" s="3" t="s">
        <v>108</v>
      </c>
    </row>
  </sheetData>
  <sheetProtection sheet="1" objects="1" scenarios="1"/>
  <autoFilter ref="A1:F1" xr:uid="{D9AB8CC6-8747-44C0-A756-8376566E560C}"/>
  <phoneticPr fontId="6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722D5-56AE-4A8E-97C5-8F09C2B97B07}">
  <sheetPr codeName="Sheet43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99</v>
      </c>
      <c r="B1" s="3" t="s">
        <v>100</v>
      </c>
      <c r="C1" s="3" t="s">
        <v>81</v>
      </c>
      <c r="D1" s="3" t="s">
        <v>82</v>
      </c>
      <c r="E1" s="3" t="s">
        <v>83</v>
      </c>
    </row>
  </sheetData>
  <sheetProtection sheet="1" objects="1" scenarios="1"/>
  <autoFilter ref="A1:E1" xr:uid="{89F722D5-56AE-4A8E-97C5-8F09C2B97B07}"/>
  <phoneticPr fontId="6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C3CA3-9924-48DC-B159-0F0B5895DE83}">
  <sheetPr codeName="Sheet44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99</v>
      </c>
      <c r="B1" s="3" t="s">
        <v>100</v>
      </c>
      <c r="C1" s="3" t="s">
        <v>103</v>
      </c>
      <c r="D1" s="3" t="s">
        <v>104</v>
      </c>
    </row>
  </sheetData>
  <sheetProtection sheet="1" objects="1" scenarios="1"/>
  <autoFilter ref="A1:D1" xr:uid="{5A3C3CA3-9924-48DC-B159-0F0B5895DE83}"/>
  <phoneticPr fontId="6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81035-9FB0-402D-9564-28715406DEDF}">
  <sheetPr codeName="Sheet45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99</v>
      </c>
      <c r="B1" s="3" t="s">
        <v>100</v>
      </c>
      <c r="C1" s="3" t="s">
        <v>60</v>
      </c>
    </row>
  </sheetData>
  <sheetProtection sheet="1" objects="1" scenarios="1"/>
  <autoFilter ref="A1:C1" xr:uid="{D8981035-9FB0-402D-9564-28715406DEDF}"/>
  <phoneticPr fontId="6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81DAA-75EE-406B-A1EE-94795B1249F0}">
  <sheetPr codeName="Sheet46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99</v>
      </c>
      <c r="B1" s="3" t="s">
        <v>100</v>
      </c>
      <c r="C1" s="3" t="s">
        <v>54</v>
      </c>
      <c r="D1" s="3" t="s">
        <v>55</v>
      </c>
      <c r="E1" s="3" t="s">
        <v>101</v>
      </c>
      <c r="F1" s="3" t="s">
        <v>102</v>
      </c>
    </row>
  </sheetData>
  <sheetProtection sheet="1" objects="1" scenarios="1"/>
  <autoFilter ref="A1:F1" xr:uid="{46F81DAA-75EE-406B-A1EE-94795B1249F0}"/>
  <phoneticPr fontId="6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55ECC-9A28-41C4-BADC-40DE30F3AE70}">
  <sheetPr codeName="Sheet47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86</v>
      </c>
      <c r="B1" s="3" t="s">
        <v>87</v>
      </c>
      <c r="C1" s="3" t="s">
        <v>88</v>
      </c>
      <c r="D1" s="3" t="s">
        <v>19</v>
      </c>
      <c r="E1" s="3" t="s">
        <v>89</v>
      </c>
      <c r="F1" s="3" t="s">
        <v>90</v>
      </c>
      <c r="G1" s="3" t="s">
        <v>25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95</v>
      </c>
      <c r="Q1" s="3" t="s">
        <v>47</v>
      </c>
      <c r="R1" s="3" t="s">
        <v>96</v>
      </c>
      <c r="S1" s="3" t="s">
        <v>97</v>
      </c>
      <c r="T1" s="3" t="s">
        <v>98</v>
      </c>
    </row>
  </sheetData>
  <sheetProtection sheet="1" objects="1" scenarios="1"/>
  <autoFilter ref="A1:T1" xr:uid="{7EE55ECC-9A28-41C4-BADC-40DE30F3AE70}"/>
  <phoneticPr fontId="6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BCDB5-460A-4C8C-AA7A-E1D726C0D2F0}">
  <sheetPr codeName="Sheet48"/>
  <dimension ref="A1:R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  <col min="14" max="15" width="16.69921875" customWidth="1"/>
    <col min="16" max="16" width="15.69921875" customWidth="1"/>
    <col min="17" max="17" width="17.69921875" customWidth="1"/>
    <col min="18" max="18" width="13.69921875" customWidth="1"/>
  </cols>
  <sheetData>
    <row r="1" spans="1:7" ht="20.399999999999999" x14ac:dyDescent="0.4">
      <c r="A1" s="126" t="s">
        <v>13</v>
      </c>
      <c r="B1" s="90"/>
      <c r="C1" s="90"/>
      <c r="D1" s="90"/>
      <c r="E1" s="90"/>
      <c r="F1" s="90"/>
      <c r="G1" s="4" t="s">
        <v>1148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9"/>
    </row>
    <row r="5" spans="1:7" x14ac:dyDescent="0.4">
      <c r="A5" s="5" t="s">
        <v>18</v>
      </c>
      <c r="B5" t="s">
        <v>17</v>
      </c>
      <c r="C5" s="10"/>
    </row>
    <row r="6" spans="1:7" x14ac:dyDescent="0.4">
      <c r="A6" s="5" t="s">
        <v>20</v>
      </c>
      <c r="B6" t="s">
        <v>19</v>
      </c>
      <c r="C6" s="9"/>
    </row>
    <row r="7" spans="1:7" x14ac:dyDescent="0.4">
      <c r="A7" s="5" t="s">
        <v>22</v>
      </c>
      <c r="B7" t="s">
        <v>21</v>
      </c>
      <c r="C7" s="9"/>
    </row>
    <row r="8" spans="1:7" x14ac:dyDescent="0.4">
      <c r="A8" s="5" t="s">
        <v>24</v>
      </c>
      <c r="B8" t="s">
        <v>23</v>
      </c>
      <c r="C8" s="13"/>
    </row>
    <row r="9" spans="1:7" x14ac:dyDescent="0.4">
      <c r="A9" s="5" t="s">
        <v>26</v>
      </c>
      <c r="B9" t="s">
        <v>25</v>
      </c>
      <c r="C9" s="9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9"/>
    </row>
    <row r="13" spans="1:7" x14ac:dyDescent="0.4">
      <c r="A13" s="5" t="s">
        <v>31</v>
      </c>
      <c r="B13" t="s">
        <v>30</v>
      </c>
      <c r="C13" s="9"/>
    </row>
    <row r="14" spans="1:7" x14ac:dyDescent="0.4">
      <c r="A14" s="5" t="s">
        <v>33</v>
      </c>
      <c r="B14" t="s">
        <v>32</v>
      </c>
      <c r="C14" s="9"/>
    </row>
    <row r="15" spans="1:7" x14ac:dyDescent="0.4">
      <c r="A15" s="5" t="s">
        <v>35</v>
      </c>
      <c r="B15" t="s">
        <v>34</v>
      </c>
      <c r="C15" s="14"/>
    </row>
    <row r="16" spans="1:7" x14ac:dyDescent="0.4">
      <c r="A16" s="5" t="s">
        <v>37</v>
      </c>
      <c r="B16" t="s">
        <v>36</v>
      </c>
      <c r="C16" s="10"/>
    </row>
    <row r="17" spans="1:6" x14ac:dyDescent="0.4">
      <c r="A17" s="5" t="s">
        <v>39</v>
      </c>
      <c r="B17" t="s">
        <v>38</v>
      </c>
      <c r="C17" s="13"/>
    </row>
    <row r="18" spans="1:6" x14ac:dyDescent="0.4">
      <c r="A18" s="5" t="s">
        <v>41</v>
      </c>
      <c r="B18" t="s">
        <v>40</v>
      </c>
      <c r="C18" s="15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9"/>
    </row>
    <row r="22" spans="1:6" x14ac:dyDescent="0.4">
      <c r="A22" s="5" t="s">
        <v>46</v>
      </c>
      <c r="B22" t="s">
        <v>45</v>
      </c>
      <c r="C22" s="9"/>
    </row>
    <row r="23" spans="1:6" x14ac:dyDescent="0.4">
      <c r="A23" s="5" t="s">
        <v>48</v>
      </c>
      <c r="B23" t="s">
        <v>47</v>
      </c>
      <c r="C23" s="9"/>
    </row>
    <row r="24" spans="1:6" x14ac:dyDescent="0.4">
      <c r="A24" s="5" t="s">
        <v>50</v>
      </c>
      <c r="B24" t="s">
        <v>49</v>
      </c>
      <c r="C24" s="9"/>
    </row>
    <row r="25" spans="1:6" ht="60" customHeight="1" x14ac:dyDescent="0.4">
      <c r="A25" s="5" t="s">
        <v>52</v>
      </c>
      <c r="B25" t="s">
        <v>51</v>
      </c>
      <c r="C25" s="127"/>
      <c r="D25" s="128"/>
      <c r="E25" s="128"/>
      <c r="F25" s="128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9"/>
      <c r="C29" s="9"/>
      <c r="D29" s="14"/>
      <c r="E29" s="7" t="str">
        <f t="shared" ref="E29:E38" si="0">IF(AND(B29&lt;&gt;"",C29&lt;&gt;"",D29&lt;&gt;""),C29*D29,"")</f>
        <v/>
      </c>
    </row>
    <row r="30" spans="1:6" x14ac:dyDescent="0.4">
      <c r="B30" s="9"/>
      <c r="C30" s="9"/>
      <c r="D30" s="14"/>
      <c r="E30" s="7" t="str">
        <f t="shared" si="0"/>
        <v/>
      </c>
    </row>
    <row r="31" spans="1:6" x14ac:dyDescent="0.4">
      <c r="B31" s="9"/>
      <c r="C31" s="9"/>
      <c r="D31" s="14"/>
      <c r="E31" s="7" t="str">
        <f t="shared" si="0"/>
        <v/>
      </c>
    </row>
    <row r="32" spans="1:6" x14ac:dyDescent="0.4">
      <c r="B32" s="9"/>
      <c r="C32" s="9"/>
      <c r="D32" s="14"/>
      <c r="E32" s="7" t="str">
        <f t="shared" si="0"/>
        <v/>
      </c>
    </row>
    <row r="33" spans="2:18" x14ac:dyDescent="0.4">
      <c r="B33" s="9"/>
      <c r="C33" s="9"/>
      <c r="D33" s="14"/>
      <c r="E33" s="7" t="str">
        <f t="shared" si="0"/>
        <v/>
      </c>
    </row>
    <row r="34" spans="2:18" x14ac:dyDescent="0.4">
      <c r="B34" s="9"/>
      <c r="C34" s="9"/>
      <c r="D34" s="14"/>
      <c r="E34" s="7" t="str">
        <f t="shared" si="0"/>
        <v/>
      </c>
    </row>
    <row r="35" spans="2:18" x14ac:dyDescent="0.4">
      <c r="B35" s="9"/>
      <c r="C35" s="9"/>
      <c r="D35" s="14"/>
      <c r="E35" s="7" t="str">
        <f t="shared" si="0"/>
        <v/>
      </c>
    </row>
    <row r="36" spans="2:18" x14ac:dyDescent="0.4">
      <c r="B36" s="9"/>
      <c r="C36" s="9"/>
      <c r="D36" s="14"/>
      <c r="E36" s="7" t="str">
        <f t="shared" si="0"/>
        <v/>
      </c>
    </row>
    <row r="37" spans="2:18" x14ac:dyDescent="0.4">
      <c r="B37" s="9"/>
      <c r="C37" s="9"/>
      <c r="D37" s="14"/>
      <c r="E37" s="7" t="str">
        <f t="shared" si="0"/>
        <v/>
      </c>
    </row>
    <row r="38" spans="2:18" x14ac:dyDescent="0.4">
      <c r="B38" s="9"/>
      <c r="C38" s="9"/>
      <c r="D38" s="14"/>
      <c r="E38" s="7" t="str">
        <f t="shared" si="0"/>
        <v/>
      </c>
    </row>
    <row r="39" spans="2:18" x14ac:dyDescent="0.4">
      <c r="B39" s="3" t="s">
        <v>58</v>
      </c>
      <c r="E39" s="8">
        <f>SUM(E29:E38)</f>
        <v>0</v>
      </c>
    </row>
    <row r="42" spans="2:18" x14ac:dyDescent="0.4">
      <c r="B42" s="3" t="s">
        <v>59</v>
      </c>
    </row>
    <row r="43" spans="2:18" x14ac:dyDescent="0.4">
      <c r="B43" s="3" t="s">
        <v>60</v>
      </c>
      <c r="C43" s="3" t="s">
        <v>61</v>
      </c>
      <c r="D43" s="3" t="s">
        <v>62</v>
      </c>
      <c r="E43" s="3" t="s">
        <v>63</v>
      </c>
      <c r="F43" s="3" t="s">
        <v>64</v>
      </c>
      <c r="G43" s="3" t="s">
        <v>65</v>
      </c>
      <c r="H43" s="3" t="s">
        <v>66</v>
      </c>
      <c r="I43" s="3" t="s">
        <v>67</v>
      </c>
      <c r="J43" s="3" t="s">
        <v>68</v>
      </c>
      <c r="K43" s="3" t="s">
        <v>69</v>
      </c>
      <c r="L43" s="3" t="s">
        <v>70</v>
      </c>
      <c r="M43" s="3" t="s">
        <v>71</v>
      </c>
      <c r="N43" s="3" t="s">
        <v>72</v>
      </c>
      <c r="O43" s="3" t="s">
        <v>73</v>
      </c>
      <c r="P43" s="3" t="s">
        <v>74</v>
      </c>
      <c r="Q43" s="3" t="s">
        <v>75</v>
      </c>
      <c r="R43" s="3" t="s">
        <v>76</v>
      </c>
    </row>
    <row r="44" spans="2:18" x14ac:dyDescent="0.4">
      <c r="B44" s="9"/>
      <c r="C44" s="6"/>
      <c r="G44" t="str">
        <f t="shared" ref="G44:G53" si="1">IF(B44="","",IF(AND(ISNUMBER(C44),ISNUMBER(D44),ISNUMBER(E44),ISNUMBER(F44),C44&gt;=0,C44&lt;=10,D44&gt;=0,D44&lt;=10,E44&gt;=0,E44&lt;=15,F44&gt;=0,F44&lt;=15),"정상","점수 확인"))</f>
        <v/>
      </c>
      <c r="H44" s="10"/>
      <c r="M44" t="str">
        <f t="shared" ref="M44:M53" si="2">IF(B44="","",IF(AND(ISNUMBER(H44),ISNUMBER(I44),ISNUMBER(J44),ISNUMBER(K44),ISNUMBER(L44),H44&gt;=0,H44&lt;=15,I44&gt;=0,I44&lt;=10,J44&gt;=0,J44&lt;=15,K44&gt;=0,K44&lt;=10,L44&gt;=-15,L44&lt;=5),"정상","점수 확인"))</f>
        <v/>
      </c>
      <c r="N44" s="10"/>
      <c r="R44" t="str">
        <f t="shared" ref="R44:R53" si="3">IF(B44="","",IF(AND(ISNUMBER(N44),ISNUMBER(O44),ISNUMBER(P44),ISNUMBER(Q44),N44&gt;=0,N44&lt;=10,O44&gt;=0,O44&lt;=10,P44&gt;=0,P44&lt;=15,Q44&gt;=0,Q44&lt;=15),"정상","점수 확인"))</f>
        <v/>
      </c>
    </row>
    <row r="45" spans="2:18" x14ac:dyDescent="0.4">
      <c r="B45" s="9"/>
      <c r="C45" s="6"/>
      <c r="G45" t="str">
        <f t="shared" si="1"/>
        <v/>
      </c>
      <c r="H45" s="10"/>
      <c r="M45" t="str">
        <f t="shared" si="2"/>
        <v/>
      </c>
      <c r="N45" s="10"/>
      <c r="R45" t="str">
        <f t="shared" si="3"/>
        <v/>
      </c>
    </row>
    <row r="46" spans="2:18" x14ac:dyDescent="0.4">
      <c r="B46" s="9"/>
      <c r="C46" s="6"/>
      <c r="G46" t="str">
        <f t="shared" si="1"/>
        <v/>
      </c>
      <c r="H46" s="10"/>
      <c r="M46" t="str">
        <f t="shared" si="2"/>
        <v/>
      </c>
      <c r="N46" s="10"/>
      <c r="R46" t="str">
        <f t="shared" si="3"/>
        <v/>
      </c>
    </row>
    <row r="47" spans="2:18" x14ac:dyDescent="0.4">
      <c r="B47" s="9"/>
      <c r="C47" s="6"/>
      <c r="G47" t="str">
        <f t="shared" si="1"/>
        <v/>
      </c>
      <c r="H47" s="10"/>
      <c r="M47" t="str">
        <f t="shared" si="2"/>
        <v/>
      </c>
      <c r="N47" s="10"/>
      <c r="R47" t="str">
        <f t="shared" si="3"/>
        <v/>
      </c>
    </row>
    <row r="48" spans="2:18" x14ac:dyDescent="0.4">
      <c r="B48" s="9"/>
      <c r="C48" s="6"/>
      <c r="G48" t="str">
        <f t="shared" si="1"/>
        <v/>
      </c>
      <c r="H48" s="10"/>
      <c r="M48" t="str">
        <f t="shared" si="2"/>
        <v/>
      </c>
      <c r="N48" s="10"/>
      <c r="R48" t="str">
        <f t="shared" si="3"/>
        <v/>
      </c>
    </row>
    <row r="49" spans="2:18" x14ac:dyDescent="0.4">
      <c r="B49" s="9"/>
      <c r="C49" s="6"/>
      <c r="G49" t="str">
        <f t="shared" si="1"/>
        <v/>
      </c>
      <c r="H49" s="10"/>
      <c r="M49" t="str">
        <f t="shared" si="2"/>
        <v/>
      </c>
      <c r="N49" s="10"/>
      <c r="R49" t="str">
        <f t="shared" si="3"/>
        <v/>
      </c>
    </row>
    <row r="50" spans="2:18" x14ac:dyDescent="0.4">
      <c r="B50" s="9"/>
      <c r="C50" s="6"/>
      <c r="G50" t="str">
        <f t="shared" si="1"/>
        <v/>
      </c>
      <c r="H50" s="10"/>
      <c r="M50" t="str">
        <f t="shared" si="2"/>
        <v/>
      </c>
      <c r="N50" s="10"/>
      <c r="R50" t="str">
        <f t="shared" si="3"/>
        <v/>
      </c>
    </row>
    <row r="51" spans="2:18" x14ac:dyDescent="0.4">
      <c r="B51" s="9"/>
      <c r="C51" s="6"/>
      <c r="G51" t="str">
        <f t="shared" si="1"/>
        <v/>
      </c>
      <c r="H51" s="10"/>
      <c r="M51" t="str">
        <f t="shared" si="2"/>
        <v/>
      </c>
      <c r="N51" s="10"/>
      <c r="R51" t="str">
        <f t="shared" si="3"/>
        <v/>
      </c>
    </row>
    <row r="52" spans="2:18" x14ac:dyDescent="0.4">
      <c r="B52" s="9"/>
      <c r="C52" s="6"/>
      <c r="G52" t="str">
        <f t="shared" si="1"/>
        <v/>
      </c>
      <c r="H52" s="10"/>
      <c r="M52" t="str">
        <f t="shared" si="2"/>
        <v/>
      </c>
      <c r="N52" s="10"/>
      <c r="R52" t="str">
        <f t="shared" si="3"/>
        <v/>
      </c>
    </row>
    <row r="53" spans="2:18" x14ac:dyDescent="0.4">
      <c r="B53" s="9"/>
      <c r="C53" s="6"/>
      <c r="G53" t="str">
        <f t="shared" si="1"/>
        <v/>
      </c>
      <c r="H53" s="10"/>
      <c r="M53" t="str">
        <f t="shared" si="2"/>
        <v/>
      </c>
      <c r="N53" s="10"/>
      <c r="R53" t="str">
        <f t="shared" si="3"/>
        <v/>
      </c>
    </row>
    <row r="56" spans="2:18" x14ac:dyDescent="0.4">
      <c r="B56" s="3" t="s">
        <v>77</v>
      </c>
    </row>
    <row r="57" spans="2:18" x14ac:dyDescent="0.4">
      <c r="B57" s="3" t="s">
        <v>78</v>
      </c>
      <c r="C57" s="3" t="s">
        <v>79</v>
      </c>
    </row>
    <row r="58" spans="2:18" x14ac:dyDescent="0.4">
      <c r="B58" s="9"/>
    </row>
    <row r="59" spans="2:18" x14ac:dyDescent="0.4">
      <c r="B59" s="9"/>
    </row>
    <row r="60" spans="2:18" x14ac:dyDescent="0.4">
      <c r="B60" s="9"/>
    </row>
    <row r="61" spans="2:18" x14ac:dyDescent="0.4">
      <c r="B61" s="9"/>
    </row>
    <row r="62" spans="2:18" x14ac:dyDescent="0.4">
      <c r="B62" s="9"/>
    </row>
    <row r="63" spans="2:18" x14ac:dyDescent="0.4">
      <c r="B63" s="9"/>
    </row>
    <row r="64" spans="2:18" x14ac:dyDescent="0.4">
      <c r="B64" s="9"/>
    </row>
    <row r="65" spans="2:5" x14ac:dyDescent="0.4">
      <c r="B65" s="9"/>
    </row>
    <row r="66" spans="2:5" x14ac:dyDescent="0.4">
      <c r="B66" s="9"/>
    </row>
    <row r="67" spans="2:5" x14ac:dyDescent="0.4">
      <c r="B67" s="9"/>
    </row>
    <row r="70" spans="2:5" x14ac:dyDescent="0.4">
      <c r="B70" s="3" t="s">
        <v>80</v>
      </c>
    </row>
    <row r="71" spans="2:5" x14ac:dyDescent="0.4">
      <c r="B71" s="3" t="s">
        <v>81</v>
      </c>
      <c r="C71" s="3" t="s">
        <v>82</v>
      </c>
      <c r="D71" s="3" t="s">
        <v>83</v>
      </c>
      <c r="E71" s="3" t="s">
        <v>84</v>
      </c>
    </row>
    <row r="72" spans="2:5" x14ac:dyDescent="0.4">
      <c r="B72" s="9"/>
      <c r="C72" s="11"/>
      <c r="E72" t="str">
        <f t="shared" ref="E72:E81" si="4">IF(AND(B72&lt;&gt;"",C72&lt;&gt;"",D72&lt;&gt;""),IF(AND(ISNUMBER(C72),ISNUMBER(D72),C72&gt;=0,D72&gt;=0,D72&lt;=C72),"정상","점수/배점 확인"),"")</f>
        <v/>
      </c>
    </row>
    <row r="73" spans="2:5" x14ac:dyDescent="0.4">
      <c r="B73" s="9"/>
      <c r="C73" s="11"/>
      <c r="E73" t="str">
        <f t="shared" si="4"/>
        <v/>
      </c>
    </row>
    <row r="74" spans="2:5" x14ac:dyDescent="0.4">
      <c r="B74" s="9"/>
      <c r="C74" s="11"/>
      <c r="E74" t="str">
        <f t="shared" si="4"/>
        <v/>
      </c>
    </row>
    <row r="75" spans="2:5" x14ac:dyDescent="0.4">
      <c r="B75" s="9"/>
      <c r="C75" s="11"/>
      <c r="E75" t="str">
        <f t="shared" si="4"/>
        <v/>
      </c>
    </row>
    <row r="76" spans="2:5" x14ac:dyDescent="0.4">
      <c r="B76" s="9"/>
      <c r="C76" s="11"/>
      <c r="E76" t="str">
        <f t="shared" si="4"/>
        <v/>
      </c>
    </row>
    <row r="77" spans="2:5" x14ac:dyDescent="0.4">
      <c r="B77" s="9"/>
      <c r="C77" s="11"/>
      <c r="E77" t="str">
        <f t="shared" si="4"/>
        <v/>
      </c>
    </row>
    <row r="78" spans="2:5" x14ac:dyDescent="0.4">
      <c r="B78" s="9"/>
      <c r="C78" s="11"/>
      <c r="E78" t="str">
        <f t="shared" si="4"/>
        <v/>
      </c>
    </row>
    <row r="79" spans="2:5" x14ac:dyDescent="0.4">
      <c r="B79" s="9"/>
      <c r="C79" s="11"/>
      <c r="E79" t="str">
        <f t="shared" si="4"/>
        <v/>
      </c>
    </row>
    <row r="80" spans="2:5" x14ac:dyDescent="0.4">
      <c r="B80" s="9"/>
      <c r="C80" s="11"/>
      <c r="E80" t="str">
        <f t="shared" si="4"/>
        <v/>
      </c>
    </row>
    <row r="81" spans="2:5" x14ac:dyDescent="0.4">
      <c r="B81" s="9"/>
      <c r="C81" s="11"/>
      <c r="E81" t="str">
        <f t="shared" si="4"/>
        <v/>
      </c>
    </row>
    <row r="82" spans="2:5" x14ac:dyDescent="0.4">
      <c r="B82" s="3" t="s">
        <v>85</v>
      </c>
      <c r="D82" s="12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FA64-E3AA-44C5-9BE3-E09DCEA3A2B2}">
  <sheetPr codeName="Sheet49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42</vt:i4>
      </vt:variant>
      <vt:variant>
        <vt:lpstr>이름 지정된 범위</vt:lpstr>
      </vt:variant>
      <vt:variant>
        <vt:i4>34</vt:i4>
      </vt:variant>
    </vt:vector>
  </HeadingPairs>
  <TitlesOfParts>
    <vt:vector size="76" baseType="lpstr">
      <vt:lpstr>계약방법안내</vt:lpstr>
      <vt:lpstr>절차안내</vt:lpstr>
      <vt:lpstr>학교검색</vt:lpstr>
      <vt:lpstr>학교정보</vt:lpstr>
      <vt:lpstr>F-040_위원청렴보안서약서</vt:lpstr>
      <vt:lpstr>F-039_업체별제안서평가표</vt:lpstr>
      <vt:lpstr>F-038_업체참가등록부</vt:lpstr>
      <vt:lpstr>F-037_평가위원회참석등록부</vt:lpstr>
      <vt:lpstr>F-036_제안서평가결과</vt:lpstr>
      <vt:lpstr>F-035_정량평가결과</vt:lpstr>
      <vt:lpstr>F-034_평가위원회개최</vt:lpstr>
      <vt:lpstr>F-033_제안서접수대장</vt:lpstr>
      <vt:lpstr>F-032_제안서접수결과</vt:lpstr>
      <vt:lpstr>F-046_수요조사가정통신문안내</vt:lpstr>
      <vt:lpstr>F-045_사전안내가정통신문</vt:lpstr>
      <vt:lpstr>F-044_사전안내가정통신문안내</vt:lpstr>
      <vt:lpstr>F-043_계약체결</vt:lpstr>
      <vt:lpstr>F-042_낙찰자결정통보</vt:lpstr>
      <vt:lpstr>F-041_낙찰자결정</vt:lpstr>
      <vt:lpstr>F-006_운영위원회심의안</vt:lpstr>
      <vt:lpstr>F-005_구매추진계획안</vt:lpstr>
      <vt:lpstr>F-004_구매추진계획수립기안문</vt:lpstr>
      <vt:lpstr>F-003_위원청렴보안서약서</vt:lpstr>
      <vt:lpstr>F-002_위원수락확인서</vt:lpstr>
      <vt:lpstr>F-001_위원회구성기안</vt:lpstr>
      <vt:lpstr>F-025_교복AS계획서</vt:lpstr>
      <vt:lpstr>F-023_교복제조사양서</vt:lpstr>
      <vt:lpstr>F-022_교복납품실적표</vt:lpstr>
      <vt:lpstr>F-021_교복납품제안서</vt:lpstr>
      <vt:lpstr>F-020_입찰참가신고서</vt:lpstr>
      <vt:lpstr>F-019_입찰참가신청서</vt:lpstr>
      <vt:lpstr>F-018_정량적평가자기평점표</vt:lpstr>
      <vt:lpstr>F-017_제출서류자기확인서</vt:lpstr>
      <vt:lpstr>F-016_정성적평가</vt:lpstr>
      <vt:lpstr>F-015_정량적평가</vt:lpstr>
      <vt:lpstr>F-014_평가항목배점기준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'F-001_위원회구성기안'!Print_Area</vt:lpstr>
      <vt:lpstr>'F-002_위원수락확인서'!Print_Area</vt:lpstr>
      <vt:lpstr>'F-003_위원청렴보안서약서'!Print_Area</vt:lpstr>
      <vt:lpstr>'F-004_구매추진계획수립기안문'!Print_Area</vt:lpstr>
      <vt:lpstr>'F-005_구매추진계획안'!Print_Area</vt:lpstr>
      <vt:lpstr>'F-006_운영위원회심의안'!Print_Area</vt:lpstr>
      <vt:lpstr>'F-007_구매요청기안문'!Print_Area</vt:lpstr>
      <vt:lpstr>'F-014_평가항목배점기준'!Print_Area</vt:lpstr>
      <vt:lpstr>'F-015_정량적평가'!Print_Area</vt:lpstr>
      <vt:lpstr>'F-016_정성적평가'!Print_Area</vt:lpstr>
      <vt:lpstr>'F-017_제출서류자기확인서'!Print_Area</vt:lpstr>
      <vt:lpstr>'F-018_정량적평가자기평점표'!Print_Area</vt:lpstr>
      <vt:lpstr>'F-019_입찰참가신청서'!Print_Area</vt:lpstr>
      <vt:lpstr>'F-020_입찰참가신고서'!Print_Area</vt:lpstr>
      <vt:lpstr>'F-021_교복납품제안서'!Print_Area</vt:lpstr>
      <vt:lpstr>'F-022_교복납품실적표'!Print_Area</vt:lpstr>
      <vt:lpstr>'F-023_교복제조사양서'!Print_Area</vt:lpstr>
      <vt:lpstr>'F-024_단가비율표'!Print_Area</vt:lpstr>
      <vt:lpstr>'F-025_교복AS계획서'!Print_Area</vt:lpstr>
      <vt:lpstr>'F-032_제안서접수결과'!Print_Area</vt:lpstr>
      <vt:lpstr>'F-033_제안서접수대장'!Print_Area</vt:lpstr>
      <vt:lpstr>'F-034_평가위원회개최'!Print_Area</vt:lpstr>
      <vt:lpstr>'F-035_정량평가결과'!Print_Area</vt:lpstr>
      <vt:lpstr>'F-036_제안서평가결과'!Print_Area</vt:lpstr>
      <vt:lpstr>'F-037_평가위원회참석등록부'!Print_Area</vt:lpstr>
      <vt:lpstr>'F-038_업체참가등록부'!Print_Area</vt:lpstr>
      <vt:lpstr>'F-039_업체별제안서평가표'!Print_Area</vt:lpstr>
      <vt:lpstr>'F-040_위원청렴보안서약서'!Print_Area</vt:lpstr>
      <vt:lpstr>'F-041_낙찰자결정'!Print_Area</vt:lpstr>
      <vt:lpstr>'F-042_낙찰자결정통보'!Print_Area</vt:lpstr>
      <vt:lpstr>'F-043_계약체결'!Print_Area</vt:lpstr>
      <vt:lpstr>'F-044_사전안내가정통신문안내'!Print_Area</vt:lpstr>
      <vt:lpstr>'F-045_사전안내가정통신문'!Print_Area</vt:lpstr>
      <vt:lpstr>'F-046_수요조사가정통신문안내'!Print_Area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2026-09-19T13:11:35Z</dcterms:created>
  <dcterms:modified xsi:type="dcterms:W3CDTF">2026-09-19T13:14:31Z</dcterms:modified>
</cp:coreProperties>
</file>