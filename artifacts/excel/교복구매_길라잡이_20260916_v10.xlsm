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CB4259A6-5950-406B-B85B-1D82DCD0A65B}" xr6:coauthVersionLast="47" xr6:coauthVersionMax="47" xr10:uidLastSave="{00000000-0000-0000-0000-000000000000}"/>
  <bookViews>
    <workbookView xWindow="-108" yWindow="-108" windowWidth="23256" windowHeight="12576" firstSheet="2" activeTab="13" xr2:uid="{EF4725F1-2F5B-4AAE-B8B6-0472AFC30A3B}"/>
  </bookViews>
  <sheets>
    <sheet name="계약방법안내" sheetId="14" r:id="rId1"/>
    <sheet name="절차안내" sheetId="13" r:id="rId2"/>
    <sheet name="학교검색" sheetId="12" r:id="rId3"/>
    <sheet name="학교정보" sheetId="11" r:id="rId4"/>
    <sheet name="F-024_단가비율표" sheetId="10" r:id="rId5"/>
    <sheet name="F-007_구매요청기안문" sheetId="9" r:id="rId6"/>
    <sheet name="서식선택_출력" sheetId="8" r:id="rId7"/>
    <sheet name="DB_평가" sheetId="7" state="veryHidden" r:id="rId8"/>
    <sheet name="DB_위원" sheetId="6" state="veryHidden" r:id="rId9"/>
    <sheet name="DB_업체" sheetId="5" state="veryHidden" r:id="rId10"/>
    <sheet name="DB_품목" sheetId="4" state="veryHidden" r:id="rId11"/>
    <sheet name="DB" sheetId="3" state="hidden" r:id="rId12"/>
    <sheet name="기초자료입력" sheetId="2" r:id="rId13"/>
    <sheet name="사용설명서" sheetId="1" r:id="rId14"/>
  </sheets>
  <functionGroups builtInGroupCount="19"/>
  <definedNames>
    <definedName name="_xlnm._FilterDatabase" localSheetId="11" hidden="1">DB!$A$1:$T$1</definedName>
    <definedName name="_xlnm._FilterDatabase" localSheetId="9" hidden="1">DB_업체!$A$1:$C$1</definedName>
    <definedName name="_xlnm._FilterDatabase" localSheetId="8" hidden="1">DB_위원!$A$1:$D$1</definedName>
    <definedName name="_xlnm._FilterDatabase" localSheetId="7" hidden="1">DB_평가!$A$1:$E$1</definedName>
    <definedName name="_xlnm._FilterDatabase" localSheetId="10" hidden="1">DB_품목!$A$1:$F$1</definedName>
    <definedName name="_xlnm.Print_Area" localSheetId="5">'F-007_구매요청기안문'!$A$1:$H$26</definedName>
    <definedName name="_xlnm.Print_Area" localSheetId="4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4" l="1"/>
  <c r="B19" i="10"/>
  <c r="E15" i="10"/>
  <c r="D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G6" i="10"/>
  <c r="E6" i="10"/>
  <c r="C6" i="10"/>
  <c r="C24" i="9"/>
  <c r="C20" i="9"/>
  <c r="C18" i="9"/>
  <c r="C16" i="9"/>
  <c r="C15" i="9"/>
  <c r="B13" i="9"/>
  <c r="C11" i="9"/>
  <c r="C9" i="9"/>
  <c r="C7" i="9"/>
  <c r="F5" i="9"/>
  <c r="C5" i="9"/>
  <c r="D82" i="2"/>
  <c r="E81" i="2"/>
  <c r="E80" i="2"/>
  <c r="E79" i="2"/>
  <c r="E78" i="2"/>
  <c r="E77" i="2"/>
  <c r="E76" i="2"/>
  <c r="E75" i="2"/>
  <c r="E74" i="2"/>
  <c r="E73" i="2"/>
  <c r="E72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<sst xmlns="http://schemas.openxmlformats.org/spreadsheetml/2006/main" count="1161" uniqueCount="660">
  <si>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</si>
  <si>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</si>
  <si>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</si>
  <si>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</si>
  <si>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</si>
  <si>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</si>
  <si>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</si>
  <si>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</si>
  <si>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</si>
  <si>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</si>
  <si>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</si>
  <si>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</si>
  <si>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</si>
  <si>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</si>
  <si>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</si>
  <si>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</si>
  <si>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</si>
  <si>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</si>
  <si>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</si>
  <si>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</si>
  <si>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</si>
  <si>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</si>
  <si>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</si>
  <si>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</si>
  <si>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</si>
  <si>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</si>
  <si>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</si>
  <si>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</si>
  <si>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</si>
  <si>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</si>
  <si>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</si>
  <si>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</si>
  <si>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</si>
  <si>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</si>
  <si>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</si>
  <si>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</si>
  <si>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</si>
  <si>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</si>
  <si>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</si>
  <si>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</si>
  <si>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</si>
  <si>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</si>
  <si>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</si>
  <si>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</si>
  <si>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</si>
  <si>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</si>
  <si>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</si>
  <si>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</si>
  <si>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</si>
  <si>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</si>
  <si>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</si>
  <si>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</si>
  <si>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</si>
  <si>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</si>
  <si>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</si>
  <si>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</si>
  <si>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</si>
  <si>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</si>
  <si>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</t>
  </si>
  <si>
    <t>업체명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</si>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</sst>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12BA9C7A-B7D0-404B-9A43-69A1B0695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F77C08F-0F85-40D4-8DD8-B88715882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DF31941-C50D-4E2B-8874-D72593D33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26F47C4-054F-4929-8E18-0AFCF1714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778DCC1-A5E4-428A-BAC3-BFAF7570F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1970CA0-07A3-4E36-9B82-711B8383F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7C72545-D76B-4462-AC2F-F3CB9F353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711030C-8F31-4C6F-818A-8354240DA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9087E0E-003A-4920-A44C-3B0329C3C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A7EDAC6-BC7D-4A59-97E8-24B0787A0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F63E3-95C5-470B-B9DA-9ED8F50EC66E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5" t="s">
        <v>646</v>
      </c>
    </row>
    <row r="2" spans="1:5" ht="42" customHeight="1" x14ac:dyDescent="0.4">
      <c r="A2" s="30" t="s">
        <v>647</v>
      </c>
      <c r="B2" s="30"/>
      <c r="C2" s="30"/>
      <c r="D2" s="30"/>
      <c r="E2" s="30"/>
    </row>
    <row r="4" spans="1:5" x14ac:dyDescent="0.4">
      <c r="A4" s="25" t="s">
        <v>648</v>
      </c>
      <c r="B4" s="25" t="s">
        <v>649</v>
      </c>
      <c r="C4" s="25" t="s">
        <v>650</v>
      </c>
    </row>
    <row r="5" spans="1:5" x14ac:dyDescent="0.4">
      <c r="A5" s="27" t="s">
        <v>651</v>
      </c>
      <c r="B5" s="29"/>
      <c r="C5" s="28" t="s">
        <v>654</v>
      </c>
    </row>
    <row r="6" spans="1:5" x14ac:dyDescent="0.4">
      <c r="A6" s="27" t="s">
        <v>652</v>
      </c>
      <c r="B6" s="29"/>
      <c r="C6" s="28" t="s">
        <v>655</v>
      </c>
    </row>
    <row r="7" spans="1:5" x14ac:dyDescent="0.4">
      <c r="A7" s="27" t="s">
        <v>653</v>
      </c>
      <c r="B7" s="27" t="str">
        <f>IF(AND(B5="예",B6="예"),"2단계 입찰(규격·가격 동시)","")</f>
        <v/>
      </c>
      <c r="C7" s="28" t="s">
        <v>656</v>
      </c>
    </row>
    <row r="9" spans="1:5" x14ac:dyDescent="0.4">
      <c r="A9" s="3" t="s">
        <v>657</v>
      </c>
    </row>
    <row r="10" spans="1:5" ht="36" customHeight="1" x14ac:dyDescent="0.4">
      <c r="A10" s="30" t="s">
        <v>658</v>
      </c>
      <c r="B10" s="30"/>
      <c r="C10" s="30"/>
      <c r="D10" s="30"/>
      <c r="E10" s="30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255F8FEC-3049-4FED-95B1-A4419EDFDC0E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75D1A-75E0-4A11-8A05-A3DF09F2BC54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5" t="s">
        <v>615</v>
      </c>
    </row>
    <row r="2" spans="1:4" x14ac:dyDescent="0.4">
      <c r="A2" t="s">
        <v>616</v>
      </c>
    </row>
    <row r="4" spans="1:4" x14ac:dyDescent="0.4">
      <c r="A4" s="16" t="s">
        <v>617</v>
      </c>
      <c r="B4" s="16" t="s">
        <v>618</v>
      </c>
      <c r="C4" s="16" t="s">
        <v>619</v>
      </c>
      <c r="D4" s="16" t="s">
        <v>620</v>
      </c>
    </row>
    <row r="5" spans="1:4" x14ac:dyDescent="0.4">
      <c r="A5" s="26" t="s">
        <v>621</v>
      </c>
      <c r="B5" s="28" t="s">
        <v>622</v>
      </c>
      <c r="C5" s="28" t="s">
        <v>623</v>
      </c>
      <c r="D5" s="26" t="s">
        <v>96</v>
      </c>
    </row>
    <row r="6" spans="1:4" x14ac:dyDescent="0.4">
      <c r="A6" s="26" t="s">
        <v>624</v>
      </c>
      <c r="B6" s="28" t="s">
        <v>625</v>
      </c>
      <c r="C6" s="28" t="s">
        <v>108</v>
      </c>
      <c r="D6" s="26" t="s">
        <v>108</v>
      </c>
    </row>
    <row r="7" spans="1:4" x14ac:dyDescent="0.4">
      <c r="A7" s="26" t="s">
        <v>626</v>
      </c>
      <c r="B7" s="28" t="s">
        <v>627</v>
      </c>
      <c r="C7" s="28" t="s">
        <v>628</v>
      </c>
      <c r="D7" s="26" t="s">
        <v>110</v>
      </c>
    </row>
    <row r="8" spans="1:4" x14ac:dyDescent="0.4">
      <c r="A8" s="26" t="s">
        <v>629</v>
      </c>
      <c r="B8" s="28" t="s">
        <v>630</v>
      </c>
      <c r="C8" s="28" t="s">
        <v>631</v>
      </c>
      <c r="D8" s="26" t="s">
        <v>121</v>
      </c>
    </row>
    <row r="9" spans="1:4" x14ac:dyDescent="0.4">
      <c r="A9" s="26" t="s">
        <v>632</v>
      </c>
      <c r="B9" s="28" t="s">
        <v>633</v>
      </c>
      <c r="C9" s="28" t="s">
        <v>634</v>
      </c>
      <c r="D9" s="26" t="s">
        <v>136</v>
      </c>
    </row>
    <row r="10" spans="1:4" x14ac:dyDescent="0.4">
      <c r="A10" s="26" t="s">
        <v>635</v>
      </c>
      <c r="B10" s="28" t="s">
        <v>636</v>
      </c>
      <c r="C10" s="28" t="s">
        <v>637</v>
      </c>
      <c r="D10" s="26" t="s">
        <v>129</v>
      </c>
    </row>
    <row r="11" spans="1:4" x14ac:dyDescent="0.4">
      <c r="A11" s="26" t="s">
        <v>638</v>
      </c>
      <c r="B11" s="28" t="s">
        <v>639</v>
      </c>
      <c r="C11" s="28" t="s">
        <v>640</v>
      </c>
      <c r="D11" s="26" t="s">
        <v>184</v>
      </c>
    </row>
    <row r="12" spans="1:4" x14ac:dyDescent="0.4">
      <c r="A12" s="26" t="s">
        <v>641</v>
      </c>
      <c r="B12" s="28" t="s">
        <v>642</v>
      </c>
      <c r="C12" s="28" t="s">
        <v>189</v>
      </c>
      <c r="D12" s="26" t="s">
        <v>189</v>
      </c>
    </row>
    <row r="13" spans="1:4" x14ac:dyDescent="0.4">
      <c r="A13" s="26" t="s">
        <v>643</v>
      </c>
      <c r="B13" s="28" t="s">
        <v>644</v>
      </c>
      <c r="C13" s="28" t="s">
        <v>645</v>
      </c>
      <c r="D13" s="26" t="s">
        <v>191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CBAEA-ADF6-4C33-8FAA-B8D513946A8A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5" t="s">
        <v>613</v>
      </c>
    </row>
    <row r="2" spans="1:6" x14ac:dyDescent="0.4">
      <c r="A2" t="s">
        <v>614</v>
      </c>
    </row>
    <row r="3" spans="1:6" x14ac:dyDescent="0.4">
      <c r="A3" t="s">
        <v>70</v>
      </c>
      <c r="B3" s="8"/>
      <c r="C3" t="s">
        <v>246</v>
      </c>
      <c r="D3" s="8"/>
      <c r="E3" t="s">
        <v>247</v>
      </c>
      <c r="F3" s="8"/>
    </row>
    <row r="6" spans="1:6" x14ac:dyDescent="0.4">
      <c r="A6" s="25" t="s">
        <v>245</v>
      </c>
      <c r="B6" s="25" t="s">
        <v>246</v>
      </c>
      <c r="C6" s="25" t="s">
        <v>247</v>
      </c>
      <c r="D6" s="25" t="s">
        <v>70</v>
      </c>
      <c r="E6" s="25" t="s">
        <v>231</v>
      </c>
      <c r="F6" s="25" t="s">
        <v>249</v>
      </c>
    </row>
    <row r="7" spans="1:6" x14ac:dyDescent="0.4">
      <c r="A7" s="17"/>
      <c r="B7" s="17"/>
      <c r="C7" s="17"/>
      <c r="D7" s="17"/>
      <c r="E7" s="17"/>
      <c r="F7" s="17"/>
    </row>
    <row r="8" spans="1:6" x14ac:dyDescent="0.4">
      <c r="A8" s="17"/>
      <c r="B8" s="17"/>
      <c r="C8" s="17"/>
      <c r="D8" s="17"/>
      <c r="E8" s="17"/>
      <c r="F8" s="17"/>
    </row>
    <row r="9" spans="1:6" x14ac:dyDescent="0.4">
      <c r="A9" s="17"/>
      <c r="B9" s="17"/>
      <c r="C9" s="17"/>
      <c r="D9" s="17"/>
      <c r="E9" s="17"/>
      <c r="F9" s="17"/>
    </row>
    <row r="10" spans="1:6" x14ac:dyDescent="0.4">
      <c r="A10" s="17"/>
      <c r="B10" s="17"/>
      <c r="C10" s="17"/>
      <c r="D10" s="17"/>
      <c r="E10" s="17"/>
      <c r="F10" s="17"/>
    </row>
    <row r="11" spans="1:6" x14ac:dyDescent="0.4">
      <c r="A11" s="17"/>
      <c r="B11" s="17"/>
      <c r="C11" s="17"/>
      <c r="D11" s="17"/>
      <c r="E11" s="17"/>
      <c r="F11" s="17"/>
    </row>
    <row r="12" spans="1:6" x14ac:dyDescent="0.4">
      <c r="A12" s="17"/>
      <c r="B12" s="17"/>
      <c r="C12" s="17"/>
      <c r="D12" s="17"/>
      <c r="E12" s="17"/>
      <c r="F12" s="17"/>
    </row>
    <row r="13" spans="1:6" x14ac:dyDescent="0.4">
      <c r="A13" s="17"/>
      <c r="B13" s="17"/>
      <c r="C13" s="17"/>
      <c r="D13" s="17"/>
      <c r="E13" s="17"/>
      <c r="F13" s="17"/>
    </row>
    <row r="14" spans="1:6" x14ac:dyDescent="0.4">
      <c r="A14" s="17"/>
      <c r="B14" s="17"/>
      <c r="C14" s="17"/>
      <c r="D14" s="17"/>
      <c r="E14" s="17"/>
      <c r="F14" s="17"/>
    </row>
    <row r="15" spans="1:6" x14ac:dyDescent="0.4">
      <c r="A15" s="17"/>
      <c r="B15" s="17"/>
      <c r="C15" s="17"/>
      <c r="D15" s="17"/>
      <c r="E15" s="17"/>
      <c r="F15" s="17"/>
    </row>
    <row r="16" spans="1:6" x14ac:dyDescent="0.4">
      <c r="A16" s="17"/>
      <c r="B16" s="17"/>
      <c r="C16" s="17"/>
      <c r="D16" s="17"/>
      <c r="E16" s="17"/>
      <c r="F16" s="17"/>
    </row>
    <row r="17" spans="1:6" x14ac:dyDescent="0.4">
      <c r="A17" s="17"/>
      <c r="B17" s="17"/>
      <c r="C17" s="17"/>
      <c r="D17" s="17"/>
      <c r="E17" s="17"/>
      <c r="F17" s="17"/>
    </row>
    <row r="18" spans="1:6" x14ac:dyDescent="0.4">
      <c r="A18" s="17"/>
      <c r="B18" s="17"/>
      <c r="C18" s="17"/>
      <c r="D18" s="17"/>
      <c r="E18" s="17"/>
      <c r="F18" s="17"/>
    </row>
    <row r="19" spans="1:6" x14ac:dyDescent="0.4">
      <c r="A19" s="17"/>
      <c r="B19" s="17"/>
      <c r="C19" s="17"/>
      <c r="D19" s="17"/>
      <c r="E19" s="17"/>
      <c r="F19" s="17"/>
    </row>
    <row r="20" spans="1:6" x14ac:dyDescent="0.4">
      <c r="A20" s="17"/>
      <c r="B20" s="17"/>
      <c r="C20" s="17"/>
      <c r="D20" s="17"/>
      <c r="E20" s="17"/>
      <c r="F20" s="17"/>
    </row>
    <row r="21" spans="1:6" x14ac:dyDescent="0.4">
      <c r="A21" s="17"/>
      <c r="B21" s="17"/>
      <c r="C21" s="17"/>
      <c r="D21" s="17"/>
      <c r="E21" s="17"/>
      <c r="F21" s="17"/>
    </row>
    <row r="22" spans="1:6" x14ac:dyDescent="0.4">
      <c r="A22" s="17"/>
      <c r="B22" s="17"/>
      <c r="C22" s="17"/>
      <c r="D22" s="17"/>
      <c r="E22" s="17"/>
      <c r="F22" s="17"/>
    </row>
    <row r="23" spans="1:6" x14ac:dyDescent="0.4">
      <c r="A23" s="17"/>
      <c r="B23" s="17"/>
      <c r="C23" s="17"/>
      <c r="D23" s="17"/>
      <c r="E23" s="17"/>
      <c r="F23" s="17"/>
    </row>
    <row r="24" spans="1:6" x14ac:dyDescent="0.4">
      <c r="A24" s="17"/>
      <c r="B24" s="17"/>
      <c r="C24" s="17"/>
      <c r="D24" s="17"/>
      <c r="E24" s="17"/>
      <c r="F24" s="17"/>
    </row>
    <row r="25" spans="1:6" x14ac:dyDescent="0.4">
      <c r="A25" s="17"/>
      <c r="B25" s="17"/>
      <c r="C25" s="17"/>
      <c r="D25" s="17"/>
      <c r="E25" s="17"/>
      <c r="F25" s="17"/>
    </row>
    <row r="26" spans="1:6" x14ac:dyDescent="0.4">
      <c r="A26" s="17"/>
      <c r="B26" s="17"/>
      <c r="C26" s="17"/>
      <c r="D26" s="17"/>
      <c r="E26" s="17"/>
      <c r="F26" s="17"/>
    </row>
    <row r="27" spans="1:6" x14ac:dyDescent="0.4">
      <c r="A27" s="17"/>
      <c r="B27" s="17"/>
      <c r="C27" s="17"/>
      <c r="D27" s="17"/>
      <c r="E27" s="17"/>
      <c r="F27" s="17"/>
    </row>
    <row r="28" spans="1:6" x14ac:dyDescent="0.4">
      <c r="A28" s="17"/>
      <c r="B28" s="17"/>
      <c r="C28" s="17"/>
      <c r="D28" s="17"/>
      <c r="E28" s="17"/>
      <c r="F28" s="17"/>
    </row>
    <row r="29" spans="1:6" x14ac:dyDescent="0.4">
      <c r="A29" s="17"/>
      <c r="B29" s="17"/>
      <c r="C29" s="17"/>
      <c r="D29" s="17"/>
      <c r="E29" s="17"/>
      <c r="F29" s="17"/>
    </row>
    <row r="30" spans="1:6" x14ac:dyDescent="0.4">
      <c r="A30" s="17"/>
      <c r="B30" s="17"/>
      <c r="C30" s="17"/>
      <c r="D30" s="17"/>
      <c r="E30" s="17"/>
      <c r="F30" s="17"/>
    </row>
    <row r="31" spans="1:6" x14ac:dyDescent="0.4">
      <c r="A31" s="17"/>
      <c r="B31" s="17"/>
      <c r="C31" s="17"/>
      <c r="D31" s="17"/>
      <c r="E31" s="17"/>
      <c r="F31" s="17"/>
    </row>
    <row r="32" spans="1:6" x14ac:dyDescent="0.4">
      <c r="A32" s="17"/>
      <c r="B32" s="17"/>
      <c r="C32" s="17"/>
      <c r="D32" s="17"/>
      <c r="E32" s="17"/>
      <c r="F32" s="17"/>
    </row>
    <row r="33" spans="1:6" x14ac:dyDescent="0.4">
      <c r="A33" s="17"/>
      <c r="B33" s="17"/>
      <c r="C33" s="17"/>
      <c r="D33" s="17"/>
      <c r="E33" s="17"/>
      <c r="F33" s="17"/>
    </row>
    <row r="34" spans="1:6" x14ac:dyDescent="0.4">
      <c r="A34" s="17"/>
      <c r="B34" s="17"/>
      <c r="C34" s="17"/>
      <c r="D34" s="17"/>
      <c r="E34" s="17"/>
      <c r="F34" s="17"/>
    </row>
    <row r="35" spans="1:6" x14ac:dyDescent="0.4">
      <c r="A35" s="17"/>
      <c r="B35" s="17"/>
      <c r="C35" s="17"/>
      <c r="D35" s="17"/>
      <c r="E35" s="17"/>
      <c r="F35" s="17"/>
    </row>
    <row r="36" spans="1:6" x14ac:dyDescent="0.4">
      <c r="A36" s="17"/>
      <c r="B36" s="17"/>
      <c r="C36" s="17"/>
      <c r="D36" s="17"/>
      <c r="E36" s="17"/>
      <c r="F36" s="17"/>
    </row>
    <row r="37" spans="1:6" x14ac:dyDescent="0.4">
      <c r="A37" s="17"/>
      <c r="B37" s="17"/>
      <c r="C37" s="17"/>
      <c r="D37" s="17"/>
      <c r="E37" s="17"/>
      <c r="F37" s="17"/>
    </row>
    <row r="38" spans="1:6" x14ac:dyDescent="0.4">
      <c r="A38" s="17"/>
      <c r="B38" s="17"/>
      <c r="C38" s="17"/>
      <c r="D38" s="17"/>
      <c r="E38" s="17"/>
      <c r="F38" s="17"/>
    </row>
    <row r="39" spans="1:6" x14ac:dyDescent="0.4">
      <c r="A39" s="17"/>
      <c r="B39" s="17"/>
      <c r="C39" s="17"/>
      <c r="D39" s="17"/>
      <c r="E39" s="17"/>
      <c r="F39" s="17"/>
    </row>
    <row r="40" spans="1:6" x14ac:dyDescent="0.4">
      <c r="A40" s="17"/>
      <c r="B40" s="17"/>
      <c r="C40" s="17"/>
      <c r="D40" s="17"/>
      <c r="E40" s="17"/>
      <c r="F40" s="17"/>
    </row>
    <row r="41" spans="1:6" x14ac:dyDescent="0.4">
      <c r="A41" s="17"/>
      <c r="B41" s="17"/>
      <c r="C41" s="17"/>
      <c r="D41" s="17"/>
      <c r="E41" s="17"/>
      <c r="F41" s="17"/>
    </row>
    <row r="42" spans="1:6" x14ac:dyDescent="0.4">
      <c r="A42" s="17"/>
      <c r="B42" s="17"/>
      <c r="C42" s="17"/>
      <c r="D42" s="17"/>
      <c r="E42" s="17"/>
      <c r="F42" s="17"/>
    </row>
    <row r="43" spans="1:6" x14ac:dyDescent="0.4">
      <c r="A43" s="17"/>
      <c r="B43" s="17"/>
      <c r="C43" s="17"/>
      <c r="D43" s="17"/>
      <c r="E43" s="17"/>
      <c r="F43" s="17"/>
    </row>
    <row r="44" spans="1:6" x14ac:dyDescent="0.4">
      <c r="A44" s="17"/>
      <c r="B44" s="17"/>
      <c r="C44" s="17"/>
      <c r="D44" s="17"/>
      <c r="E44" s="17"/>
      <c r="F44" s="17"/>
    </row>
    <row r="45" spans="1:6" x14ac:dyDescent="0.4">
      <c r="A45" s="17"/>
      <c r="B45" s="17"/>
      <c r="C45" s="17"/>
      <c r="D45" s="17"/>
      <c r="E45" s="17"/>
      <c r="F45" s="17"/>
    </row>
    <row r="46" spans="1:6" x14ac:dyDescent="0.4">
      <c r="A46" s="17"/>
      <c r="B46" s="17"/>
      <c r="C46" s="17"/>
      <c r="D46" s="17"/>
      <c r="E46" s="17"/>
      <c r="F46" s="17"/>
    </row>
    <row r="47" spans="1:6" x14ac:dyDescent="0.4">
      <c r="A47" s="17"/>
      <c r="B47" s="17"/>
      <c r="C47" s="17"/>
      <c r="D47" s="17"/>
      <c r="E47" s="17"/>
      <c r="F47" s="17"/>
    </row>
    <row r="48" spans="1:6" x14ac:dyDescent="0.4">
      <c r="A48" s="17"/>
      <c r="B48" s="17"/>
      <c r="C48" s="17"/>
      <c r="D48" s="17"/>
      <c r="E48" s="17"/>
      <c r="F48" s="17"/>
    </row>
    <row r="49" spans="1:6" x14ac:dyDescent="0.4">
      <c r="A49" s="17"/>
      <c r="B49" s="17"/>
      <c r="C49" s="17"/>
      <c r="D49" s="17"/>
      <c r="E49" s="17"/>
      <c r="F49" s="17"/>
    </row>
    <row r="50" spans="1:6" x14ac:dyDescent="0.4">
      <c r="A50" s="17"/>
      <c r="B50" s="17"/>
      <c r="C50" s="17"/>
      <c r="D50" s="17"/>
      <c r="E50" s="17"/>
      <c r="F50" s="17"/>
    </row>
    <row r="51" spans="1:6" x14ac:dyDescent="0.4">
      <c r="A51" s="17"/>
      <c r="B51" s="17"/>
      <c r="C51" s="17"/>
      <c r="D51" s="17"/>
      <c r="E51" s="17"/>
      <c r="F51" s="17"/>
    </row>
    <row r="52" spans="1:6" x14ac:dyDescent="0.4">
      <c r="A52" s="17"/>
      <c r="B52" s="17"/>
      <c r="C52" s="17"/>
      <c r="D52" s="17"/>
      <c r="E52" s="17"/>
      <c r="F52" s="17"/>
    </row>
    <row r="53" spans="1:6" x14ac:dyDescent="0.4">
      <c r="A53" s="17"/>
      <c r="B53" s="17"/>
      <c r="C53" s="17"/>
      <c r="D53" s="17"/>
      <c r="E53" s="17"/>
      <c r="F53" s="17"/>
    </row>
    <row r="54" spans="1:6" x14ac:dyDescent="0.4">
      <c r="A54" s="17"/>
      <c r="B54" s="17"/>
      <c r="C54" s="17"/>
      <c r="D54" s="17"/>
      <c r="E54" s="17"/>
      <c r="F54" s="17"/>
    </row>
    <row r="55" spans="1:6" x14ac:dyDescent="0.4">
      <c r="A55" s="17"/>
      <c r="B55" s="17"/>
      <c r="C55" s="17"/>
      <c r="D55" s="17"/>
      <c r="E55" s="17"/>
      <c r="F55" s="17"/>
    </row>
    <row r="56" spans="1:6" x14ac:dyDescent="0.4">
      <c r="A56" s="17"/>
      <c r="B56" s="17"/>
      <c r="C56" s="17"/>
      <c r="D56" s="17"/>
      <c r="E56" s="17"/>
      <c r="F56" s="17"/>
    </row>
    <row r="57" spans="1:6" x14ac:dyDescent="0.4">
      <c r="A57" s="17"/>
      <c r="B57" s="17"/>
      <c r="C57" s="17"/>
      <c r="D57" s="17"/>
      <c r="E57" s="17"/>
      <c r="F57" s="17"/>
    </row>
    <row r="58" spans="1:6" x14ac:dyDescent="0.4">
      <c r="A58" s="17"/>
      <c r="B58" s="17"/>
      <c r="C58" s="17"/>
      <c r="D58" s="17"/>
      <c r="E58" s="17"/>
      <c r="F58" s="17"/>
    </row>
    <row r="59" spans="1:6" x14ac:dyDescent="0.4">
      <c r="A59" s="17"/>
      <c r="B59" s="17"/>
      <c r="C59" s="17"/>
      <c r="D59" s="17"/>
      <c r="E59" s="17"/>
      <c r="F59" s="17"/>
    </row>
    <row r="60" spans="1:6" x14ac:dyDescent="0.4">
      <c r="A60" s="17"/>
      <c r="B60" s="17"/>
      <c r="C60" s="17"/>
      <c r="D60" s="17"/>
      <c r="E60" s="17"/>
      <c r="F60" s="17"/>
    </row>
    <row r="61" spans="1:6" x14ac:dyDescent="0.4">
      <c r="A61" s="17"/>
      <c r="B61" s="17"/>
      <c r="C61" s="17"/>
      <c r="D61" s="17"/>
      <c r="E61" s="17"/>
      <c r="F61" s="17"/>
    </row>
    <row r="62" spans="1:6" x14ac:dyDescent="0.4">
      <c r="A62" s="17"/>
      <c r="B62" s="17"/>
      <c r="C62" s="17"/>
      <c r="D62" s="17"/>
      <c r="E62" s="17"/>
      <c r="F62" s="17"/>
    </row>
    <row r="63" spans="1:6" x14ac:dyDescent="0.4">
      <c r="A63" s="17"/>
      <c r="B63" s="17"/>
      <c r="C63" s="17"/>
      <c r="D63" s="17"/>
      <c r="E63" s="17"/>
      <c r="F63" s="17"/>
    </row>
    <row r="64" spans="1:6" x14ac:dyDescent="0.4">
      <c r="A64" s="17"/>
      <c r="B64" s="17"/>
      <c r="C64" s="17"/>
      <c r="D64" s="17"/>
      <c r="E64" s="17"/>
      <c r="F64" s="17"/>
    </row>
    <row r="65" spans="1:6" x14ac:dyDescent="0.4">
      <c r="A65" s="17"/>
      <c r="B65" s="17"/>
      <c r="C65" s="17"/>
      <c r="D65" s="17"/>
      <c r="E65" s="17"/>
      <c r="F65" s="17"/>
    </row>
    <row r="66" spans="1:6" x14ac:dyDescent="0.4">
      <c r="A66" s="17"/>
      <c r="B66" s="17"/>
      <c r="C66" s="17"/>
      <c r="D66" s="17"/>
      <c r="E66" s="17"/>
      <c r="F66" s="17"/>
    </row>
    <row r="67" spans="1:6" x14ac:dyDescent="0.4">
      <c r="A67" s="17"/>
      <c r="B67" s="17"/>
      <c r="C67" s="17"/>
      <c r="D67" s="17"/>
      <c r="E67" s="17"/>
      <c r="F67" s="17"/>
    </row>
    <row r="68" spans="1:6" x14ac:dyDescent="0.4">
      <c r="A68" s="17"/>
      <c r="B68" s="17"/>
      <c r="C68" s="17"/>
      <c r="D68" s="17"/>
      <c r="E68" s="17"/>
      <c r="F68" s="17"/>
    </row>
    <row r="69" spans="1:6" x14ac:dyDescent="0.4">
      <c r="A69" s="17"/>
      <c r="B69" s="17"/>
      <c r="C69" s="17"/>
      <c r="D69" s="17"/>
      <c r="E69" s="17"/>
      <c r="F69" s="17"/>
    </row>
    <row r="70" spans="1:6" x14ac:dyDescent="0.4">
      <c r="A70" s="17"/>
      <c r="B70" s="17"/>
      <c r="C70" s="17"/>
      <c r="D70" s="17"/>
      <c r="E70" s="17"/>
      <c r="F70" s="17"/>
    </row>
    <row r="71" spans="1:6" x14ac:dyDescent="0.4">
      <c r="A71" s="17"/>
      <c r="B71" s="17"/>
      <c r="C71" s="17"/>
      <c r="D71" s="17"/>
      <c r="E71" s="17"/>
      <c r="F71" s="17"/>
    </row>
    <row r="72" spans="1:6" x14ac:dyDescent="0.4">
      <c r="A72" s="17"/>
      <c r="B72" s="17"/>
      <c r="C72" s="17"/>
      <c r="D72" s="17"/>
      <c r="E72" s="17"/>
      <c r="F72" s="17"/>
    </row>
    <row r="73" spans="1:6" x14ac:dyDescent="0.4">
      <c r="A73" s="17"/>
      <c r="B73" s="17"/>
      <c r="C73" s="17"/>
      <c r="D73" s="17"/>
      <c r="E73" s="17"/>
      <c r="F73" s="17"/>
    </row>
    <row r="74" spans="1:6" x14ac:dyDescent="0.4">
      <c r="A74" s="17"/>
      <c r="B74" s="17"/>
      <c r="C74" s="17"/>
      <c r="D74" s="17"/>
      <c r="E74" s="17"/>
      <c r="F74" s="17"/>
    </row>
    <row r="75" spans="1:6" x14ac:dyDescent="0.4">
      <c r="A75" s="17"/>
      <c r="B75" s="17"/>
      <c r="C75" s="17"/>
      <c r="D75" s="17"/>
      <c r="E75" s="17"/>
      <c r="F75" s="17"/>
    </row>
    <row r="76" spans="1:6" x14ac:dyDescent="0.4">
      <c r="A76" s="17"/>
      <c r="B76" s="17"/>
      <c r="C76" s="17"/>
      <c r="D76" s="17"/>
      <c r="E76" s="17"/>
      <c r="F76" s="17"/>
    </row>
    <row r="77" spans="1:6" x14ac:dyDescent="0.4">
      <c r="A77" s="17"/>
      <c r="B77" s="17"/>
      <c r="C77" s="17"/>
      <c r="D77" s="17"/>
      <c r="E77" s="17"/>
      <c r="F77" s="17"/>
    </row>
    <row r="78" spans="1:6" x14ac:dyDescent="0.4">
      <c r="A78" s="17"/>
      <c r="B78" s="17"/>
      <c r="C78" s="17"/>
      <c r="D78" s="17"/>
      <c r="E78" s="17"/>
      <c r="F78" s="17"/>
    </row>
    <row r="79" spans="1:6" x14ac:dyDescent="0.4">
      <c r="A79" s="17"/>
      <c r="B79" s="17"/>
      <c r="C79" s="17"/>
      <c r="D79" s="17"/>
      <c r="E79" s="17"/>
      <c r="F79" s="17"/>
    </row>
    <row r="80" spans="1:6" x14ac:dyDescent="0.4">
      <c r="A80" s="17"/>
      <c r="B80" s="17"/>
      <c r="C80" s="17"/>
      <c r="D80" s="17"/>
      <c r="E80" s="17"/>
      <c r="F80" s="17"/>
    </row>
    <row r="81" spans="1:6" x14ac:dyDescent="0.4">
      <c r="A81" s="17"/>
      <c r="B81" s="17"/>
      <c r="C81" s="17"/>
      <c r="D81" s="17"/>
      <c r="E81" s="17"/>
      <c r="F81" s="17"/>
    </row>
    <row r="82" spans="1:6" x14ac:dyDescent="0.4">
      <c r="A82" s="17"/>
      <c r="B82" s="17"/>
      <c r="C82" s="17"/>
      <c r="D82" s="17"/>
      <c r="E82" s="17"/>
      <c r="F82" s="17"/>
    </row>
    <row r="83" spans="1:6" x14ac:dyDescent="0.4">
      <c r="A83" s="17"/>
      <c r="B83" s="17"/>
      <c r="C83" s="17"/>
      <c r="D83" s="17"/>
      <c r="E83" s="17"/>
      <c r="F83" s="17"/>
    </row>
    <row r="84" spans="1:6" x14ac:dyDescent="0.4">
      <c r="A84" s="17"/>
      <c r="B84" s="17"/>
      <c r="C84" s="17"/>
      <c r="D84" s="17"/>
      <c r="E84" s="17"/>
      <c r="F84" s="17"/>
    </row>
    <row r="85" spans="1:6" x14ac:dyDescent="0.4">
      <c r="A85" s="17"/>
      <c r="B85" s="17"/>
      <c r="C85" s="17"/>
      <c r="D85" s="17"/>
      <c r="E85" s="17"/>
      <c r="F85" s="17"/>
    </row>
    <row r="86" spans="1:6" x14ac:dyDescent="0.4">
      <c r="A86" s="17"/>
      <c r="B86" s="17"/>
      <c r="C86" s="17"/>
      <c r="D86" s="17"/>
      <c r="E86" s="17"/>
      <c r="F86" s="17"/>
    </row>
    <row r="87" spans="1:6" x14ac:dyDescent="0.4">
      <c r="A87" s="17"/>
      <c r="B87" s="17"/>
      <c r="C87" s="17"/>
      <c r="D87" s="17"/>
      <c r="E87" s="17"/>
      <c r="F87" s="17"/>
    </row>
    <row r="88" spans="1:6" x14ac:dyDescent="0.4">
      <c r="A88" s="17"/>
      <c r="B88" s="17"/>
      <c r="C88" s="17"/>
      <c r="D88" s="17"/>
      <c r="E88" s="17"/>
      <c r="F88" s="17"/>
    </row>
    <row r="89" spans="1:6" x14ac:dyDescent="0.4">
      <c r="A89" s="17"/>
      <c r="B89" s="17"/>
      <c r="C89" s="17"/>
      <c r="D89" s="17"/>
      <c r="E89" s="17"/>
      <c r="F89" s="17"/>
    </row>
    <row r="90" spans="1:6" x14ac:dyDescent="0.4">
      <c r="A90" s="17"/>
      <c r="B90" s="17"/>
      <c r="C90" s="17"/>
      <c r="D90" s="17"/>
      <c r="E90" s="17"/>
      <c r="F90" s="17"/>
    </row>
    <row r="91" spans="1:6" x14ac:dyDescent="0.4">
      <c r="A91" s="17"/>
      <c r="B91" s="17"/>
      <c r="C91" s="17"/>
      <c r="D91" s="17"/>
      <c r="E91" s="17"/>
      <c r="F91" s="17"/>
    </row>
    <row r="92" spans="1:6" x14ac:dyDescent="0.4">
      <c r="A92" s="17"/>
      <c r="B92" s="17"/>
      <c r="C92" s="17"/>
      <c r="D92" s="17"/>
      <c r="E92" s="17"/>
      <c r="F92" s="17"/>
    </row>
    <row r="93" spans="1:6" x14ac:dyDescent="0.4">
      <c r="A93" s="17"/>
      <c r="B93" s="17"/>
      <c r="C93" s="17"/>
      <c r="D93" s="17"/>
      <c r="E93" s="17"/>
      <c r="F93" s="17"/>
    </row>
    <row r="94" spans="1:6" x14ac:dyDescent="0.4">
      <c r="A94" s="17"/>
      <c r="B94" s="17"/>
      <c r="C94" s="17"/>
      <c r="D94" s="17"/>
      <c r="E94" s="17"/>
      <c r="F94" s="17"/>
    </row>
    <row r="95" spans="1:6" x14ac:dyDescent="0.4">
      <c r="A95" s="17"/>
      <c r="B95" s="17"/>
      <c r="C95" s="17"/>
      <c r="D95" s="17"/>
      <c r="E95" s="17"/>
      <c r="F95" s="17"/>
    </row>
    <row r="96" spans="1:6" x14ac:dyDescent="0.4">
      <c r="A96" s="17"/>
      <c r="B96" s="17"/>
      <c r="C96" s="17"/>
      <c r="D96" s="17"/>
      <c r="E96" s="17"/>
      <c r="F96" s="17"/>
    </row>
    <row r="97" spans="1:6" x14ac:dyDescent="0.4">
      <c r="A97" s="17"/>
      <c r="B97" s="17"/>
      <c r="C97" s="17"/>
      <c r="D97" s="17"/>
      <c r="E97" s="17"/>
      <c r="F97" s="17"/>
    </row>
    <row r="98" spans="1:6" x14ac:dyDescent="0.4">
      <c r="A98" s="17"/>
      <c r="B98" s="17"/>
      <c r="C98" s="17"/>
      <c r="D98" s="17"/>
      <c r="E98" s="17"/>
      <c r="F98" s="17"/>
    </row>
    <row r="99" spans="1:6" x14ac:dyDescent="0.4">
      <c r="A99" s="17"/>
      <c r="B99" s="17"/>
      <c r="C99" s="17"/>
      <c r="D99" s="17"/>
      <c r="E99" s="17"/>
      <c r="F99" s="17"/>
    </row>
    <row r="100" spans="1:6" x14ac:dyDescent="0.4">
      <c r="A100" s="17"/>
      <c r="B100" s="17"/>
      <c r="C100" s="17"/>
      <c r="D100" s="17"/>
      <c r="E100" s="17"/>
      <c r="F100" s="17"/>
    </row>
    <row r="101" spans="1:6" x14ac:dyDescent="0.4">
      <c r="A101" s="17"/>
      <c r="B101" s="17"/>
      <c r="C101" s="17"/>
      <c r="D101" s="17"/>
      <c r="E101" s="17"/>
      <c r="F101" s="17"/>
    </row>
    <row r="102" spans="1:6" x14ac:dyDescent="0.4">
      <c r="A102" s="17"/>
      <c r="B102" s="17"/>
      <c r="C102" s="17"/>
      <c r="D102" s="17"/>
      <c r="E102" s="17"/>
      <c r="F102" s="17"/>
    </row>
    <row r="103" spans="1:6" x14ac:dyDescent="0.4">
      <c r="A103" s="17"/>
      <c r="B103" s="17"/>
      <c r="C103" s="17"/>
      <c r="D103" s="17"/>
      <c r="E103" s="17"/>
      <c r="F103" s="17"/>
    </row>
    <row r="104" spans="1:6" x14ac:dyDescent="0.4">
      <c r="A104" s="17"/>
      <c r="B104" s="17"/>
      <c r="C104" s="17"/>
      <c r="D104" s="17"/>
      <c r="E104" s="17"/>
      <c r="F104" s="17"/>
    </row>
    <row r="105" spans="1:6" x14ac:dyDescent="0.4">
      <c r="A105" s="17"/>
      <c r="B105" s="17"/>
      <c r="C105" s="17"/>
      <c r="D105" s="17"/>
      <c r="E105" s="17"/>
      <c r="F105" s="17"/>
    </row>
    <row r="106" spans="1:6" x14ac:dyDescent="0.4">
      <c r="A106" s="17"/>
      <c r="B106" s="17"/>
      <c r="C106" s="17"/>
      <c r="D106" s="17"/>
      <c r="E106" s="17"/>
      <c r="F106" s="17"/>
    </row>
    <row r="107" spans="1:6" x14ac:dyDescent="0.4">
      <c r="A107" s="17"/>
      <c r="B107" s="17"/>
      <c r="C107" s="17"/>
      <c r="D107" s="17"/>
      <c r="E107" s="17"/>
      <c r="F107" s="17"/>
    </row>
    <row r="108" spans="1:6" x14ac:dyDescent="0.4">
      <c r="A108" s="17"/>
      <c r="B108" s="17"/>
      <c r="C108" s="17"/>
      <c r="D108" s="17"/>
      <c r="E108" s="17"/>
      <c r="F108" s="17"/>
    </row>
    <row r="109" spans="1:6" x14ac:dyDescent="0.4">
      <c r="A109" s="17"/>
      <c r="B109" s="17"/>
      <c r="C109" s="17"/>
      <c r="D109" s="17"/>
      <c r="E109" s="17"/>
      <c r="F109" s="17"/>
    </row>
    <row r="110" spans="1:6" x14ac:dyDescent="0.4">
      <c r="A110" s="17"/>
      <c r="B110" s="17"/>
      <c r="C110" s="17"/>
      <c r="D110" s="17"/>
      <c r="E110" s="17"/>
      <c r="F110" s="17"/>
    </row>
    <row r="111" spans="1:6" x14ac:dyDescent="0.4">
      <c r="A111" s="17"/>
      <c r="B111" s="17"/>
      <c r="C111" s="17"/>
      <c r="D111" s="17"/>
      <c r="E111" s="17"/>
      <c r="F111" s="17"/>
    </row>
    <row r="112" spans="1:6" x14ac:dyDescent="0.4">
      <c r="A112" s="17"/>
      <c r="B112" s="17"/>
      <c r="C112" s="17"/>
      <c r="D112" s="17"/>
      <c r="E112" s="17"/>
      <c r="F112" s="17"/>
    </row>
    <row r="113" spans="1:6" x14ac:dyDescent="0.4">
      <c r="A113" s="17"/>
      <c r="B113" s="17"/>
      <c r="C113" s="17"/>
      <c r="D113" s="17"/>
      <c r="E113" s="17"/>
      <c r="F113" s="17"/>
    </row>
    <row r="114" spans="1:6" x14ac:dyDescent="0.4">
      <c r="A114" s="17"/>
      <c r="B114" s="17"/>
      <c r="C114" s="17"/>
      <c r="D114" s="17"/>
      <c r="E114" s="17"/>
      <c r="F114" s="17"/>
    </row>
    <row r="115" spans="1:6" x14ac:dyDescent="0.4">
      <c r="A115" s="17"/>
      <c r="B115" s="17"/>
      <c r="C115" s="17"/>
      <c r="D115" s="17"/>
      <c r="E115" s="17"/>
      <c r="F115" s="17"/>
    </row>
    <row r="116" spans="1:6" x14ac:dyDescent="0.4">
      <c r="A116" s="17"/>
      <c r="B116" s="17"/>
      <c r="C116" s="17"/>
      <c r="D116" s="17"/>
      <c r="E116" s="17"/>
      <c r="F116" s="17"/>
    </row>
    <row r="117" spans="1:6" x14ac:dyDescent="0.4">
      <c r="A117" s="17"/>
      <c r="B117" s="17"/>
      <c r="C117" s="17"/>
      <c r="D117" s="17"/>
      <c r="E117" s="17"/>
      <c r="F117" s="17"/>
    </row>
    <row r="118" spans="1:6" x14ac:dyDescent="0.4">
      <c r="A118" s="17"/>
      <c r="B118" s="17"/>
      <c r="C118" s="17"/>
      <c r="D118" s="17"/>
      <c r="E118" s="17"/>
      <c r="F118" s="17"/>
    </row>
    <row r="119" spans="1:6" x14ac:dyDescent="0.4">
      <c r="A119" s="17"/>
      <c r="B119" s="17"/>
      <c r="C119" s="17"/>
      <c r="D119" s="17"/>
      <c r="E119" s="17"/>
      <c r="F119" s="17"/>
    </row>
    <row r="120" spans="1:6" x14ac:dyDescent="0.4">
      <c r="A120" s="17"/>
      <c r="B120" s="17"/>
      <c r="C120" s="17"/>
      <c r="D120" s="17"/>
      <c r="E120" s="17"/>
      <c r="F120" s="17"/>
    </row>
    <row r="121" spans="1:6" x14ac:dyDescent="0.4">
      <c r="A121" s="17"/>
      <c r="B121" s="17"/>
      <c r="C121" s="17"/>
      <c r="D121" s="17"/>
      <c r="E121" s="17"/>
      <c r="F121" s="17"/>
    </row>
    <row r="122" spans="1:6" x14ac:dyDescent="0.4">
      <c r="A122" s="17"/>
      <c r="B122" s="17"/>
      <c r="C122" s="17"/>
      <c r="D122" s="17"/>
      <c r="E122" s="17"/>
      <c r="F122" s="17"/>
    </row>
    <row r="123" spans="1:6" x14ac:dyDescent="0.4">
      <c r="A123" s="17"/>
      <c r="B123" s="17"/>
      <c r="C123" s="17"/>
      <c r="D123" s="17"/>
      <c r="E123" s="17"/>
      <c r="F123" s="17"/>
    </row>
    <row r="124" spans="1:6" x14ac:dyDescent="0.4">
      <c r="A124" s="17"/>
      <c r="B124" s="17"/>
      <c r="C124" s="17"/>
      <c r="D124" s="17"/>
      <c r="E124" s="17"/>
      <c r="F124" s="17"/>
    </row>
    <row r="125" spans="1:6" x14ac:dyDescent="0.4">
      <c r="A125" s="17"/>
      <c r="B125" s="17"/>
      <c r="C125" s="17"/>
      <c r="D125" s="17"/>
      <c r="E125" s="17"/>
      <c r="F125" s="17"/>
    </row>
    <row r="126" spans="1:6" x14ac:dyDescent="0.4">
      <c r="A126" s="17"/>
      <c r="B126" s="17"/>
      <c r="C126" s="17"/>
      <c r="D126" s="17"/>
      <c r="E126" s="17"/>
      <c r="F12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CE55A-ED65-4A3E-90F8-A41C9B23C1A8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245</v>
      </c>
      <c r="B1" s="3" t="s">
        <v>246</v>
      </c>
      <c r="C1" s="3" t="s">
        <v>247</v>
      </c>
      <c r="D1" s="3" t="s">
        <v>248</v>
      </c>
      <c r="E1" s="3" t="s">
        <v>70</v>
      </c>
      <c r="F1" s="3" t="s">
        <v>231</v>
      </c>
      <c r="G1" s="3" t="s">
        <v>249</v>
      </c>
    </row>
    <row r="2" spans="1:7" x14ac:dyDescent="0.4">
      <c r="A2">
        <v>808</v>
      </c>
      <c r="B2" t="s">
        <v>250</v>
      </c>
      <c r="C2" t="s">
        <v>251</v>
      </c>
      <c r="D2" t="s">
        <v>252</v>
      </c>
      <c r="E2" t="s">
        <v>253</v>
      </c>
      <c r="F2" t="s">
        <v>254</v>
      </c>
      <c r="G2" t="s">
        <v>255</v>
      </c>
    </row>
    <row r="3" spans="1:7" x14ac:dyDescent="0.4">
      <c r="A3">
        <v>807</v>
      </c>
      <c r="B3" t="s">
        <v>250</v>
      </c>
      <c r="C3" t="s">
        <v>256</v>
      </c>
      <c r="D3" t="s">
        <v>257</v>
      </c>
      <c r="E3" t="s">
        <v>258</v>
      </c>
      <c r="F3" t="s">
        <v>259</v>
      </c>
      <c r="G3" t="s">
        <v>260</v>
      </c>
    </row>
    <row r="4" spans="1:7" x14ac:dyDescent="0.4">
      <c r="A4">
        <v>806</v>
      </c>
      <c r="B4" t="s">
        <v>250</v>
      </c>
      <c r="C4" t="s">
        <v>251</v>
      </c>
      <c r="D4" t="s">
        <v>257</v>
      </c>
      <c r="E4" t="s">
        <v>261</v>
      </c>
      <c r="F4" t="s">
        <v>262</v>
      </c>
      <c r="G4" t="s">
        <v>263</v>
      </c>
    </row>
    <row r="5" spans="1:7" x14ac:dyDescent="0.4">
      <c r="A5">
        <v>805</v>
      </c>
      <c r="B5" t="s">
        <v>250</v>
      </c>
      <c r="C5" t="s">
        <v>251</v>
      </c>
      <c r="D5" t="s">
        <v>252</v>
      </c>
      <c r="E5" t="s">
        <v>264</v>
      </c>
      <c r="F5" t="s">
        <v>265</v>
      </c>
      <c r="G5" t="s">
        <v>266</v>
      </c>
    </row>
    <row r="6" spans="1:7" x14ac:dyDescent="0.4">
      <c r="A6">
        <v>804</v>
      </c>
      <c r="B6" t="s">
        <v>250</v>
      </c>
      <c r="C6" t="s">
        <v>251</v>
      </c>
      <c r="D6" t="s">
        <v>252</v>
      </c>
      <c r="E6" t="s">
        <v>267</v>
      </c>
      <c r="F6" t="s">
        <v>268</v>
      </c>
      <c r="G6" t="s">
        <v>269</v>
      </c>
    </row>
    <row r="7" spans="1:7" x14ac:dyDescent="0.4">
      <c r="A7">
        <v>803</v>
      </c>
      <c r="B7" t="s">
        <v>250</v>
      </c>
      <c r="C7" t="s">
        <v>256</v>
      </c>
      <c r="D7" t="s">
        <v>252</v>
      </c>
      <c r="E7" t="s">
        <v>270</v>
      </c>
      <c r="F7" t="s">
        <v>268</v>
      </c>
      <c r="G7" t="s">
        <v>271</v>
      </c>
    </row>
    <row r="8" spans="1:7" x14ac:dyDescent="0.4">
      <c r="A8">
        <v>802</v>
      </c>
      <c r="B8" t="s">
        <v>250</v>
      </c>
      <c r="C8" t="s">
        <v>251</v>
      </c>
      <c r="D8" t="s">
        <v>252</v>
      </c>
      <c r="E8" t="s">
        <v>272</v>
      </c>
      <c r="F8" t="s">
        <v>273</v>
      </c>
      <c r="G8" t="s">
        <v>274</v>
      </c>
    </row>
    <row r="9" spans="1:7" x14ac:dyDescent="0.4">
      <c r="A9">
        <v>801</v>
      </c>
      <c r="B9" t="s">
        <v>250</v>
      </c>
      <c r="C9" t="s">
        <v>251</v>
      </c>
      <c r="D9" t="s">
        <v>252</v>
      </c>
      <c r="E9" t="s">
        <v>275</v>
      </c>
      <c r="F9" t="s">
        <v>276</v>
      </c>
      <c r="G9" t="s">
        <v>277</v>
      </c>
    </row>
    <row r="10" spans="1:7" x14ac:dyDescent="0.4">
      <c r="A10">
        <v>800</v>
      </c>
      <c r="B10" t="s">
        <v>250</v>
      </c>
      <c r="C10" t="s">
        <v>251</v>
      </c>
      <c r="D10" t="s">
        <v>257</v>
      </c>
      <c r="E10" t="s">
        <v>278</v>
      </c>
      <c r="F10" t="s">
        <v>279</v>
      </c>
      <c r="G10" t="s">
        <v>280</v>
      </c>
    </row>
    <row r="11" spans="1:7" x14ac:dyDescent="0.4">
      <c r="A11">
        <v>799</v>
      </c>
      <c r="B11" t="s">
        <v>250</v>
      </c>
      <c r="C11" t="s">
        <v>256</v>
      </c>
      <c r="D11" t="s">
        <v>257</v>
      </c>
      <c r="E11" t="s">
        <v>281</v>
      </c>
      <c r="F11" t="s">
        <v>282</v>
      </c>
      <c r="G11" t="s">
        <v>283</v>
      </c>
    </row>
    <row r="12" spans="1:7" x14ac:dyDescent="0.4">
      <c r="A12">
        <v>798</v>
      </c>
      <c r="B12" t="s">
        <v>250</v>
      </c>
      <c r="C12" t="s">
        <v>251</v>
      </c>
      <c r="D12" t="s">
        <v>284</v>
      </c>
      <c r="E12" t="s">
        <v>285</v>
      </c>
      <c r="F12" t="s">
        <v>286</v>
      </c>
      <c r="G12" t="s">
        <v>287</v>
      </c>
    </row>
    <row r="13" spans="1:7" x14ac:dyDescent="0.4">
      <c r="A13">
        <v>797</v>
      </c>
      <c r="B13" t="s">
        <v>250</v>
      </c>
      <c r="C13" t="s">
        <v>251</v>
      </c>
      <c r="D13" t="s">
        <v>252</v>
      </c>
      <c r="E13" t="s">
        <v>288</v>
      </c>
      <c r="F13" t="s">
        <v>289</v>
      </c>
      <c r="G13" t="s">
        <v>290</v>
      </c>
    </row>
    <row r="14" spans="1:7" x14ac:dyDescent="0.4">
      <c r="A14">
        <v>796</v>
      </c>
      <c r="B14" t="s">
        <v>250</v>
      </c>
      <c r="C14" t="s">
        <v>256</v>
      </c>
      <c r="D14" t="s">
        <v>252</v>
      </c>
      <c r="E14" t="s">
        <v>291</v>
      </c>
      <c r="F14" t="s">
        <v>273</v>
      </c>
      <c r="G14" t="s">
        <v>292</v>
      </c>
    </row>
    <row r="15" spans="1:7" x14ac:dyDescent="0.4">
      <c r="A15">
        <v>795</v>
      </c>
      <c r="B15" t="s">
        <v>250</v>
      </c>
      <c r="C15" t="s">
        <v>251</v>
      </c>
      <c r="D15" t="s">
        <v>252</v>
      </c>
      <c r="E15" t="s">
        <v>293</v>
      </c>
      <c r="F15" t="s">
        <v>294</v>
      </c>
      <c r="G15" t="s">
        <v>295</v>
      </c>
    </row>
    <row r="16" spans="1:7" x14ac:dyDescent="0.4">
      <c r="A16">
        <v>794</v>
      </c>
      <c r="B16" t="s">
        <v>250</v>
      </c>
      <c r="C16" t="s">
        <v>256</v>
      </c>
      <c r="D16" t="s">
        <v>257</v>
      </c>
      <c r="E16" t="s">
        <v>296</v>
      </c>
      <c r="F16" t="s">
        <v>297</v>
      </c>
      <c r="G16" t="s">
        <v>298</v>
      </c>
    </row>
    <row r="17" spans="1:7" x14ac:dyDescent="0.4">
      <c r="A17">
        <v>793</v>
      </c>
      <c r="B17" t="s">
        <v>250</v>
      </c>
      <c r="C17" t="s">
        <v>251</v>
      </c>
      <c r="D17" t="s">
        <v>257</v>
      </c>
      <c r="E17" t="s">
        <v>299</v>
      </c>
      <c r="F17" t="s">
        <v>300</v>
      </c>
      <c r="G17" t="s">
        <v>301</v>
      </c>
    </row>
    <row r="18" spans="1:7" x14ac:dyDescent="0.4">
      <c r="A18">
        <v>792</v>
      </c>
      <c r="B18" t="s">
        <v>250</v>
      </c>
      <c r="C18" t="s">
        <v>256</v>
      </c>
      <c r="D18" t="s">
        <v>257</v>
      </c>
      <c r="E18" t="s">
        <v>302</v>
      </c>
      <c r="F18" t="s">
        <v>303</v>
      </c>
      <c r="G18" t="s">
        <v>304</v>
      </c>
    </row>
    <row r="19" spans="1:7" x14ac:dyDescent="0.4">
      <c r="A19">
        <v>791</v>
      </c>
      <c r="B19" t="s">
        <v>250</v>
      </c>
      <c r="C19" t="s">
        <v>251</v>
      </c>
      <c r="D19" t="s">
        <v>257</v>
      </c>
      <c r="E19" t="s">
        <v>305</v>
      </c>
      <c r="F19" t="s">
        <v>306</v>
      </c>
      <c r="G19" t="s">
        <v>307</v>
      </c>
    </row>
    <row r="20" spans="1:7" x14ac:dyDescent="0.4">
      <c r="A20">
        <v>790</v>
      </c>
      <c r="B20" t="s">
        <v>250</v>
      </c>
      <c r="C20" t="s">
        <v>308</v>
      </c>
      <c r="D20" t="s">
        <v>284</v>
      </c>
      <c r="E20" t="s">
        <v>309</v>
      </c>
      <c r="F20" t="s">
        <v>310</v>
      </c>
      <c r="G20" t="s">
        <v>311</v>
      </c>
    </row>
    <row r="21" spans="1:7" x14ac:dyDescent="0.4">
      <c r="A21">
        <v>789</v>
      </c>
      <c r="B21" t="s">
        <v>250</v>
      </c>
      <c r="C21" t="s">
        <v>251</v>
      </c>
      <c r="D21" t="s">
        <v>252</v>
      </c>
      <c r="E21" t="s">
        <v>312</v>
      </c>
      <c r="F21" t="s">
        <v>313</v>
      </c>
      <c r="G21" t="s">
        <v>314</v>
      </c>
    </row>
    <row r="22" spans="1:7" x14ac:dyDescent="0.4">
      <c r="A22">
        <v>788</v>
      </c>
      <c r="B22" t="s">
        <v>250</v>
      </c>
      <c r="C22" t="s">
        <v>256</v>
      </c>
      <c r="D22" t="s">
        <v>252</v>
      </c>
      <c r="E22" t="s">
        <v>315</v>
      </c>
      <c r="F22" t="s">
        <v>313</v>
      </c>
      <c r="G22" t="s">
        <v>316</v>
      </c>
    </row>
    <row r="23" spans="1:7" x14ac:dyDescent="0.4">
      <c r="A23">
        <v>787</v>
      </c>
      <c r="B23" t="s">
        <v>250</v>
      </c>
      <c r="C23" t="s">
        <v>308</v>
      </c>
      <c r="D23" t="s">
        <v>257</v>
      </c>
      <c r="E23" t="s">
        <v>317</v>
      </c>
      <c r="F23" t="s">
        <v>318</v>
      </c>
      <c r="G23" t="s">
        <v>319</v>
      </c>
    </row>
    <row r="24" spans="1:7" x14ac:dyDescent="0.4">
      <c r="A24">
        <v>786</v>
      </c>
      <c r="B24" t="s">
        <v>250</v>
      </c>
      <c r="C24" t="s">
        <v>308</v>
      </c>
      <c r="D24" t="s">
        <v>257</v>
      </c>
      <c r="E24" t="s">
        <v>320</v>
      </c>
      <c r="F24" t="s">
        <v>321</v>
      </c>
      <c r="G24" t="s">
        <v>322</v>
      </c>
    </row>
    <row r="25" spans="1:7" x14ac:dyDescent="0.4">
      <c r="A25">
        <v>785</v>
      </c>
      <c r="B25" t="s">
        <v>250</v>
      </c>
      <c r="C25" t="s">
        <v>256</v>
      </c>
      <c r="D25" t="s">
        <v>257</v>
      </c>
      <c r="E25" t="s">
        <v>323</v>
      </c>
      <c r="F25" t="s">
        <v>324</v>
      </c>
      <c r="G25" t="s">
        <v>325</v>
      </c>
    </row>
    <row r="26" spans="1:7" x14ac:dyDescent="0.4">
      <c r="A26">
        <v>784</v>
      </c>
      <c r="B26" t="s">
        <v>250</v>
      </c>
      <c r="C26" t="s">
        <v>308</v>
      </c>
      <c r="D26" t="s">
        <v>257</v>
      </c>
      <c r="E26" t="s">
        <v>326</v>
      </c>
      <c r="F26" t="s">
        <v>327</v>
      </c>
      <c r="G26" t="s">
        <v>328</v>
      </c>
    </row>
    <row r="27" spans="1:7" x14ac:dyDescent="0.4">
      <c r="A27">
        <v>783</v>
      </c>
      <c r="B27" t="s">
        <v>250</v>
      </c>
      <c r="C27" t="s">
        <v>251</v>
      </c>
      <c r="D27" t="s">
        <v>252</v>
      </c>
      <c r="E27" t="s">
        <v>329</v>
      </c>
      <c r="F27" t="s">
        <v>330</v>
      </c>
      <c r="G27" t="s">
        <v>331</v>
      </c>
    </row>
    <row r="28" spans="1:7" x14ac:dyDescent="0.4">
      <c r="A28">
        <v>782</v>
      </c>
      <c r="B28" t="s">
        <v>250</v>
      </c>
      <c r="C28" t="s">
        <v>256</v>
      </c>
      <c r="D28" t="s">
        <v>252</v>
      </c>
      <c r="E28" t="s">
        <v>332</v>
      </c>
      <c r="F28" t="s">
        <v>330</v>
      </c>
      <c r="G28" t="s">
        <v>333</v>
      </c>
    </row>
    <row r="29" spans="1:7" x14ac:dyDescent="0.4">
      <c r="A29">
        <v>781</v>
      </c>
      <c r="B29" t="s">
        <v>250</v>
      </c>
      <c r="C29" t="s">
        <v>256</v>
      </c>
      <c r="D29" t="s">
        <v>257</v>
      </c>
      <c r="E29" t="s">
        <v>334</v>
      </c>
      <c r="F29" t="s">
        <v>335</v>
      </c>
      <c r="G29" t="s">
        <v>336</v>
      </c>
    </row>
    <row r="30" spans="1:7" x14ac:dyDescent="0.4">
      <c r="A30">
        <v>780</v>
      </c>
      <c r="B30" t="s">
        <v>250</v>
      </c>
      <c r="C30" t="s">
        <v>308</v>
      </c>
      <c r="D30" t="s">
        <v>257</v>
      </c>
      <c r="E30" t="s">
        <v>337</v>
      </c>
      <c r="F30" t="s">
        <v>338</v>
      </c>
      <c r="G30" t="s">
        <v>339</v>
      </c>
    </row>
    <row r="31" spans="1:7" x14ac:dyDescent="0.4">
      <c r="A31">
        <v>779</v>
      </c>
      <c r="B31" t="s">
        <v>250</v>
      </c>
      <c r="C31" t="s">
        <v>308</v>
      </c>
      <c r="D31" t="s">
        <v>257</v>
      </c>
      <c r="E31" t="s">
        <v>340</v>
      </c>
      <c r="F31" t="s">
        <v>341</v>
      </c>
      <c r="G31" t="s">
        <v>342</v>
      </c>
    </row>
    <row r="32" spans="1:7" x14ac:dyDescent="0.4">
      <c r="A32">
        <v>778</v>
      </c>
      <c r="B32" t="s">
        <v>250</v>
      </c>
      <c r="C32" t="s">
        <v>308</v>
      </c>
      <c r="D32" t="s">
        <v>257</v>
      </c>
      <c r="E32" t="s">
        <v>343</v>
      </c>
      <c r="F32" t="s">
        <v>344</v>
      </c>
      <c r="G32" t="s">
        <v>345</v>
      </c>
    </row>
    <row r="33" spans="1:7" x14ac:dyDescent="0.4">
      <c r="A33">
        <v>777</v>
      </c>
      <c r="B33" t="s">
        <v>250</v>
      </c>
      <c r="C33" t="s">
        <v>251</v>
      </c>
      <c r="D33" t="s">
        <v>252</v>
      </c>
      <c r="E33" t="s">
        <v>346</v>
      </c>
      <c r="F33" t="s">
        <v>347</v>
      </c>
      <c r="G33" t="s">
        <v>348</v>
      </c>
    </row>
    <row r="34" spans="1:7" x14ac:dyDescent="0.4">
      <c r="A34">
        <v>776</v>
      </c>
      <c r="B34" t="s">
        <v>250</v>
      </c>
      <c r="C34" t="s">
        <v>256</v>
      </c>
      <c r="D34" t="s">
        <v>257</v>
      </c>
      <c r="E34" t="s">
        <v>349</v>
      </c>
      <c r="F34" t="s">
        <v>350</v>
      </c>
      <c r="G34" t="s">
        <v>351</v>
      </c>
    </row>
    <row r="35" spans="1:7" x14ac:dyDescent="0.4">
      <c r="A35">
        <v>775</v>
      </c>
      <c r="B35" t="s">
        <v>250</v>
      </c>
      <c r="C35" t="s">
        <v>308</v>
      </c>
      <c r="D35" t="s">
        <v>257</v>
      </c>
      <c r="E35" t="s">
        <v>352</v>
      </c>
      <c r="F35" t="s">
        <v>353</v>
      </c>
      <c r="G35" t="s">
        <v>354</v>
      </c>
    </row>
    <row r="36" spans="1:7" x14ac:dyDescent="0.4">
      <c r="A36">
        <v>774</v>
      </c>
      <c r="B36" t="s">
        <v>250</v>
      </c>
      <c r="C36" t="s">
        <v>256</v>
      </c>
      <c r="D36" t="s">
        <v>252</v>
      </c>
      <c r="E36" t="s">
        <v>355</v>
      </c>
      <c r="F36" t="s">
        <v>356</v>
      </c>
      <c r="G36" t="s">
        <v>357</v>
      </c>
    </row>
    <row r="37" spans="1:7" x14ac:dyDescent="0.4">
      <c r="A37">
        <v>773</v>
      </c>
      <c r="B37" t="s">
        <v>250</v>
      </c>
      <c r="C37" t="s">
        <v>308</v>
      </c>
      <c r="D37" t="s">
        <v>257</v>
      </c>
      <c r="E37" t="s">
        <v>358</v>
      </c>
      <c r="F37" t="s">
        <v>359</v>
      </c>
      <c r="G37" t="s">
        <v>360</v>
      </c>
    </row>
    <row r="38" spans="1:7" x14ac:dyDescent="0.4">
      <c r="A38">
        <v>772</v>
      </c>
      <c r="B38" t="s">
        <v>250</v>
      </c>
      <c r="C38" t="s">
        <v>308</v>
      </c>
      <c r="D38" t="s">
        <v>257</v>
      </c>
      <c r="E38" t="s">
        <v>361</v>
      </c>
      <c r="F38" t="s">
        <v>362</v>
      </c>
      <c r="G38" t="s">
        <v>363</v>
      </c>
    </row>
    <row r="39" spans="1:7" x14ac:dyDescent="0.4">
      <c r="A39">
        <v>771</v>
      </c>
      <c r="B39" t="s">
        <v>250</v>
      </c>
      <c r="C39" t="s">
        <v>308</v>
      </c>
      <c r="D39" t="s">
        <v>257</v>
      </c>
      <c r="E39" t="s">
        <v>364</v>
      </c>
      <c r="F39" t="s">
        <v>365</v>
      </c>
      <c r="G39" t="s">
        <v>366</v>
      </c>
    </row>
    <row r="40" spans="1:7" x14ac:dyDescent="0.4">
      <c r="A40">
        <v>770</v>
      </c>
      <c r="B40" t="s">
        <v>250</v>
      </c>
      <c r="C40" t="s">
        <v>256</v>
      </c>
      <c r="D40" t="s">
        <v>257</v>
      </c>
      <c r="E40" t="s">
        <v>367</v>
      </c>
      <c r="F40" t="s">
        <v>368</v>
      </c>
      <c r="G40" t="s">
        <v>369</v>
      </c>
    </row>
    <row r="41" spans="1:7" x14ac:dyDescent="0.4">
      <c r="A41">
        <v>769</v>
      </c>
      <c r="B41" t="s">
        <v>250</v>
      </c>
      <c r="C41" t="s">
        <v>308</v>
      </c>
      <c r="D41" t="s">
        <v>257</v>
      </c>
      <c r="E41" t="s">
        <v>370</v>
      </c>
      <c r="F41" t="s">
        <v>371</v>
      </c>
      <c r="G41" t="s">
        <v>372</v>
      </c>
    </row>
    <row r="42" spans="1:7" x14ac:dyDescent="0.4">
      <c r="A42">
        <v>768</v>
      </c>
      <c r="B42" t="s">
        <v>250</v>
      </c>
      <c r="C42" t="s">
        <v>256</v>
      </c>
      <c r="D42" t="s">
        <v>257</v>
      </c>
      <c r="E42" t="s">
        <v>373</v>
      </c>
      <c r="F42" t="s">
        <v>374</v>
      </c>
      <c r="G42" t="s">
        <v>375</v>
      </c>
    </row>
    <row r="43" spans="1:7" x14ac:dyDescent="0.4">
      <c r="A43">
        <v>767</v>
      </c>
      <c r="B43" t="s">
        <v>250</v>
      </c>
      <c r="C43" t="s">
        <v>308</v>
      </c>
      <c r="D43" t="s">
        <v>257</v>
      </c>
      <c r="E43" t="s">
        <v>376</v>
      </c>
      <c r="F43" t="s">
        <v>377</v>
      </c>
      <c r="G43" t="s">
        <v>378</v>
      </c>
    </row>
    <row r="44" spans="1:7" x14ac:dyDescent="0.4">
      <c r="A44">
        <v>766</v>
      </c>
      <c r="B44" t="s">
        <v>250</v>
      </c>
      <c r="C44" t="s">
        <v>308</v>
      </c>
      <c r="D44" t="s">
        <v>257</v>
      </c>
      <c r="E44" t="s">
        <v>379</v>
      </c>
      <c r="F44" t="s">
        <v>380</v>
      </c>
      <c r="G44" t="s">
        <v>381</v>
      </c>
    </row>
    <row r="45" spans="1:7" x14ac:dyDescent="0.4">
      <c r="A45">
        <v>765</v>
      </c>
      <c r="B45" t="s">
        <v>250</v>
      </c>
      <c r="C45" t="s">
        <v>308</v>
      </c>
      <c r="D45" t="s">
        <v>257</v>
      </c>
      <c r="E45" t="s">
        <v>382</v>
      </c>
      <c r="F45" t="s">
        <v>383</v>
      </c>
      <c r="G45" t="s">
        <v>384</v>
      </c>
    </row>
    <row r="46" spans="1:7" x14ac:dyDescent="0.4">
      <c r="A46">
        <v>764</v>
      </c>
      <c r="B46" t="s">
        <v>250</v>
      </c>
      <c r="C46" t="s">
        <v>308</v>
      </c>
      <c r="D46" t="s">
        <v>257</v>
      </c>
      <c r="E46" t="s">
        <v>385</v>
      </c>
      <c r="F46" t="s">
        <v>386</v>
      </c>
      <c r="G46" t="s">
        <v>387</v>
      </c>
    </row>
    <row r="47" spans="1:7" x14ac:dyDescent="0.4">
      <c r="A47">
        <v>763</v>
      </c>
      <c r="B47" t="s">
        <v>250</v>
      </c>
      <c r="C47" t="s">
        <v>308</v>
      </c>
      <c r="D47" t="s">
        <v>257</v>
      </c>
      <c r="E47" t="s">
        <v>388</v>
      </c>
      <c r="F47" t="s">
        <v>389</v>
      </c>
      <c r="G47" t="s">
        <v>390</v>
      </c>
    </row>
    <row r="48" spans="1:7" x14ac:dyDescent="0.4">
      <c r="A48">
        <v>762</v>
      </c>
      <c r="B48" t="s">
        <v>250</v>
      </c>
      <c r="C48" t="s">
        <v>308</v>
      </c>
      <c r="D48" t="s">
        <v>257</v>
      </c>
      <c r="E48" t="s">
        <v>391</v>
      </c>
      <c r="F48" t="s">
        <v>392</v>
      </c>
      <c r="G48" t="s">
        <v>393</v>
      </c>
    </row>
    <row r="49" spans="1:7" x14ac:dyDescent="0.4">
      <c r="A49">
        <v>761</v>
      </c>
      <c r="B49" t="s">
        <v>250</v>
      </c>
      <c r="C49" t="s">
        <v>308</v>
      </c>
      <c r="D49" t="s">
        <v>257</v>
      </c>
      <c r="E49" t="s">
        <v>394</v>
      </c>
      <c r="F49" t="s">
        <v>395</v>
      </c>
      <c r="G49" t="s">
        <v>396</v>
      </c>
    </row>
    <row r="50" spans="1:7" x14ac:dyDescent="0.4">
      <c r="A50">
        <v>760</v>
      </c>
      <c r="B50" t="s">
        <v>250</v>
      </c>
      <c r="C50" t="s">
        <v>308</v>
      </c>
      <c r="D50" t="s">
        <v>257</v>
      </c>
      <c r="E50" t="s">
        <v>397</v>
      </c>
      <c r="F50" t="s">
        <v>398</v>
      </c>
      <c r="G50" t="s">
        <v>399</v>
      </c>
    </row>
    <row r="51" spans="1:7" x14ac:dyDescent="0.4">
      <c r="A51">
        <v>759</v>
      </c>
      <c r="B51" t="s">
        <v>250</v>
      </c>
      <c r="C51" t="s">
        <v>308</v>
      </c>
      <c r="D51" t="s">
        <v>257</v>
      </c>
      <c r="E51" t="s">
        <v>400</v>
      </c>
      <c r="F51" t="s">
        <v>401</v>
      </c>
      <c r="G51" t="s">
        <v>402</v>
      </c>
    </row>
    <row r="52" spans="1:7" x14ac:dyDescent="0.4">
      <c r="A52">
        <v>758</v>
      </c>
      <c r="B52" t="s">
        <v>250</v>
      </c>
      <c r="C52" t="s">
        <v>308</v>
      </c>
      <c r="D52" t="s">
        <v>257</v>
      </c>
      <c r="E52" t="s">
        <v>403</v>
      </c>
      <c r="F52" t="s">
        <v>404</v>
      </c>
      <c r="G52" t="s">
        <v>405</v>
      </c>
    </row>
    <row r="53" spans="1:7" x14ac:dyDescent="0.4">
      <c r="A53">
        <v>757</v>
      </c>
      <c r="B53" t="s">
        <v>250</v>
      </c>
      <c r="C53" t="s">
        <v>251</v>
      </c>
      <c r="D53" t="s">
        <v>257</v>
      </c>
      <c r="E53" t="s">
        <v>406</v>
      </c>
      <c r="F53" t="s">
        <v>407</v>
      </c>
      <c r="G53" t="s">
        <v>408</v>
      </c>
    </row>
    <row r="54" spans="1:7" x14ac:dyDescent="0.4">
      <c r="A54">
        <v>756</v>
      </c>
      <c r="B54" t="s">
        <v>250</v>
      </c>
      <c r="C54" t="s">
        <v>409</v>
      </c>
      <c r="D54" t="s">
        <v>257</v>
      </c>
      <c r="E54" t="s">
        <v>410</v>
      </c>
      <c r="F54" t="s">
        <v>411</v>
      </c>
      <c r="G54" t="s">
        <v>412</v>
      </c>
    </row>
    <row r="55" spans="1:7" x14ac:dyDescent="0.4">
      <c r="A55">
        <v>755</v>
      </c>
      <c r="B55" t="s">
        <v>250</v>
      </c>
      <c r="C55" t="s">
        <v>409</v>
      </c>
      <c r="D55" t="s">
        <v>257</v>
      </c>
      <c r="E55" t="s">
        <v>413</v>
      </c>
      <c r="F55" t="s">
        <v>414</v>
      </c>
      <c r="G55" t="s">
        <v>415</v>
      </c>
    </row>
    <row r="56" spans="1:7" x14ac:dyDescent="0.4">
      <c r="A56">
        <v>754</v>
      </c>
      <c r="B56" t="s">
        <v>250</v>
      </c>
      <c r="C56" t="s">
        <v>308</v>
      </c>
      <c r="D56" t="s">
        <v>257</v>
      </c>
      <c r="E56" t="s">
        <v>416</v>
      </c>
      <c r="F56" t="s">
        <v>417</v>
      </c>
      <c r="G56" t="s">
        <v>418</v>
      </c>
    </row>
    <row r="57" spans="1:7" x14ac:dyDescent="0.4">
      <c r="A57">
        <v>753</v>
      </c>
      <c r="B57" t="s">
        <v>250</v>
      </c>
      <c r="C57" t="s">
        <v>251</v>
      </c>
      <c r="D57" t="s">
        <v>257</v>
      </c>
      <c r="E57" t="s">
        <v>419</v>
      </c>
      <c r="F57" t="s">
        <v>420</v>
      </c>
      <c r="G57" t="s">
        <v>421</v>
      </c>
    </row>
    <row r="58" spans="1:7" x14ac:dyDescent="0.4">
      <c r="A58">
        <v>752</v>
      </c>
      <c r="B58" t="s">
        <v>250</v>
      </c>
      <c r="C58" t="s">
        <v>256</v>
      </c>
      <c r="D58" t="s">
        <v>257</v>
      </c>
      <c r="E58" t="s">
        <v>422</v>
      </c>
      <c r="F58" t="s">
        <v>423</v>
      </c>
      <c r="G58" t="s">
        <v>424</v>
      </c>
    </row>
    <row r="59" spans="1:7" x14ac:dyDescent="0.4">
      <c r="A59">
        <v>751</v>
      </c>
      <c r="B59" t="s">
        <v>250</v>
      </c>
      <c r="C59" t="s">
        <v>308</v>
      </c>
      <c r="D59" t="s">
        <v>257</v>
      </c>
      <c r="E59" t="s">
        <v>425</v>
      </c>
      <c r="F59" t="s">
        <v>426</v>
      </c>
      <c r="G59" t="s">
        <v>427</v>
      </c>
    </row>
    <row r="60" spans="1:7" x14ac:dyDescent="0.4">
      <c r="A60">
        <v>750</v>
      </c>
      <c r="B60" t="s">
        <v>250</v>
      </c>
      <c r="C60" t="s">
        <v>308</v>
      </c>
      <c r="D60" t="s">
        <v>257</v>
      </c>
      <c r="E60" t="s">
        <v>428</v>
      </c>
      <c r="F60" t="s">
        <v>429</v>
      </c>
      <c r="G60" t="s">
        <v>430</v>
      </c>
    </row>
    <row r="61" spans="1:7" x14ac:dyDescent="0.4">
      <c r="A61">
        <v>749</v>
      </c>
      <c r="B61" t="s">
        <v>250</v>
      </c>
      <c r="C61" t="s">
        <v>256</v>
      </c>
      <c r="D61" t="s">
        <v>257</v>
      </c>
      <c r="E61" t="s">
        <v>431</v>
      </c>
      <c r="F61" t="s">
        <v>432</v>
      </c>
      <c r="G61" t="s">
        <v>433</v>
      </c>
    </row>
    <row r="62" spans="1:7" x14ac:dyDescent="0.4">
      <c r="A62">
        <v>748</v>
      </c>
      <c r="B62" t="s">
        <v>250</v>
      </c>
      <c r="C62" t="s">
        <v>308</v>
      </c>
      <c r="D62" t="s">
        <v>257</v>
      </c>
      <c r="E62" t="s">
        <v>434</v>
      </c>
      <c r="F62" t="s">
        <v>435</v>
      </c>
      <c r="G62" t="s">
        <v>436</v>
      </c>
    </row>
    <row r="63" spans="1:7" x14ac:dyDescent="0.4">
      <c r="A63">
        <v>747</v>
      </c>
      <c r="B63" t="s">
        <v>250</v>
      </c>
      <c r="C63" t="s">
        <v>308</v>
      </c>
      <c r="D63" t="s">
        <v>257</v>
      </c>
      <c r="E63" t="s">
        <v>437</v>
      </c>
      <c r="F63" t="s">
        <v>438</v>
      </c>
      <c r="G63" t="s">
        <v>439</v>
      </c>
    </row>
    <row r="64" spans="1:7" x14ac:dyDescent="0.4">
      <c r="A64">
        <v>746</v>
      </c>
      <c r="B64" t="s">
        <v>250</v>
      </c>
      <c r="C64" t="s">
        <v>308</v>
      </c>
      <c r="D64" t="s">
        <v>257</v>
      </c>
      <c r="E64" t="s">
        <v>440</v>
      </c>
      <c r="F64" t="s">
        <v>441</v>
      </c>
      <c r="G64" t="s">
        <v>442</v>
      </c>
    </row>
    <row r="65" spans="1:7" x14ac:dyDescent="0.4">
      <c r="A65">
        <v>745</v>
      </c>
      <c r="B65" t="s">
        <v>250</v>
      </c>
      <c r="C65" t="s">
        <v>256</v>
      </c>
      <c r="D65" t="s">
        <v>257</v>
      </c>
      <c r="E65" t="s">
        <v>443</v>
      </c>
      <c r="F65" t="s">
        <v>444</v>
      </c>
      <c r="G65" t="s">
        <v>445</v>
      </c>
    </row>
    <row r="66" spans="1:7" x14ac:dyDescent="0.4">
      <c r="A66">
        <v>744</v>
      </c>
      <c r="B66" t="s">
        <v>250</v>
      </c>
      <c r="C66" t="s">
        <v>308</v>
      </c>
      <c r="D66" t="s">
        <v>257</v>
      </c>
      <c r="E66" t="s">
        <v>446</v>
      </c>
      <c r="F66" t="s">
        <v>447</v>
      </c>
      <c r="G66" t="s">
        <v>448</v>
      </c>
    </row>
    <row r="67" spans="1:7" x14ac:dyDescent="0.4">
      <c r="A67">
        <v>743</v>
      </c>
      <c r="B67" t="s">
        <v>250</v>
      </c>
      <c r="C67" t="s">
        <v>449</v>
      </c>
      <c r="D67" t="s">
        <v>257</v>
      </c>
      <c r="E67" t="s">
        <v>450</v>
      </c>
      <c r="F67" t="s">
        <v>451</v>
      </c>
      <c r="G67" t="s">
        <v>452</v>
      </c>
    </row>
    <row r="68" spans="1:7" x14ac:dyDescent="0.4">
      <c r="A68">
        <v>742</v>
      </c>
      <c r="B68" t="s">
        <v>250</v>
      </c>
      <c r="C68" t="s">
        <v>251</v>
      </c>
      <c r="D68" t="s">
        <v>252</v>
      </c>
      <c r="E68" t="s">
        <v>453</v>
      </c>
      <c r="F68" t="s">
        <v>454</v>
      </c>
      <c r="G68" t="s">
        <v>455</v>
      </c>
    </row>
    <row r="69" spans="1:7" x14ac:dyDescent="0.4">
      <c r="A69">
        <v>741</v>
      </c>
      <c r="B69" t="s">
        <v>250</v>
      </c>
      <c r="C69" t="s">
        <v>256</v>
      </c>
      <c r="D69" t="s">
        <v>252</v>
      </c>
      <c r="E69" t="s">
        <v>456</v>
      </c>
      <c r="F69" t="s">
        <v>454</v>
      </c>
      <c r="G69" t="s">
        <v>457</v>
      </c>
    </row>
    <row r="70" spans="1:7" x14ac:dyDescent="0.4">
      <c r="A70">
        <v>740</v>
      </c>
      <c r="B70" t="s">
        <v>250</v>
      </c>
      <c r="C70" t="s">
        <v>409</v>
      </c>
      <c r="D70" t="s">
        <v>257</v>
      </c>
      <c r="E70" t="s">
        <v>458</v>
      </c>
      <c r="F70" t="s">
        <v>459</v>
      </c>
      <c r="G70" t="s">
        <v>460</v>
      </c>
    </row>
    <row r="71" spans="1:7" x14ac:dyDescent="0.4">
      <c r="A71">
        <v>739</v>
      </c>
      <c r="B71" t="s">
        <v>250</v>
      </c>
      <c r="C71" t="s">
        <v>251</v>
      </c>
      <c r="D71" t="s">
        <v>257</v>
      </c>
      <c r="E71" t="s">
        <v>461</v>
      </c>
      <c r="F71" t="s">
        <v>462</v>
      </c>
      <c r="G71" t="s">
        <v>463</v>
      </c>
    </row>
    <row r="72" spans="1:7" x14ac:dyDescent="0.4">
      <c r="A72">
        <v>738</v>
      </c>
      <c r="B72" t="s">
        <v>250</v>
      </c>
      <c r="C72" t="s">
        <v>256</v>
      </c>
      <c r="D72" t="s">
        <v>257</v>
      </c>
      <c r="E72" t="s">
        <v>464</v>
      </c>
      <c r="F72" t="s">
        <v>465</v>
      </c>
      <c r="G72" t="s">
        <v>466</v>
      </c>
    </row>
    <row r="73" spans="1:7" x14ac:dyDescent="0.4">
      <c r="A73">
        <v>737</v>
      </c>
      <c r="B73" t="s">
        <v>250</v>
      </c>
      <c r="C73" t="s">
        <v>308</v>
      </c>
      <c r="D73" t="s">
        <v>257</v>
      </c>
      <c r="E73" t="s">
        <v>467</v>
      </c>
      <c r="F73" t="s">
        <v>468</v>
      </c>
      <c r="G73" t="s">
        <v>469</v>
      </c>
    </row>
    <row r="74" spans="1:7" x14ac:dyDescent="0.4">
      <c r="A74">
        <v>736</v>
      </c>
      <c r="B74" t="s">
        <v>250</v>
      </c>
      <c r="C74" t="s">
        <v>308</v>
      </c>
      <c r="D74" t="s">
        <v>257</v>
      </c>
      <c r="E74" t="s">
        <v>470</v>
      </c>
      <c r="F74" t="s">
        <v>471</v>
      </c>
      <c r="G74" t="s">
        <v>472</v>
      </c>
    </row>
    <row r="75" spans="1:7" x14ac:dyDescent="0.4">
      <c r="A75">
        <v>735</v>
      </c>
      <c r="B75" t="s">
        <v>250</v>
      </c>
      <c r="C75" t="s">
        <v>308</v>
      </c>
      <c r="D75" t="s">
        <v>257</v>
      </c>
      <c r="E75" t="s">
        <v>473</v>
      </c>
      <c r="F75" t="s">
        <v>474</v>
      </c>
      <c r="G75" t="s">
        <v>475</v>
      </c>
    </row>
    <row r="76" spans="1:7" x14ac:dyDescent="0.4">
      <c r="A76">
        <v>734</v>
      </c>
      <c r="B76" t="s">
        <v>250</v>
      </c>
      <c r="C76" t="s">
        <v>308</v>
      </c>
      <c r="D76" t="s">
        <v>257</v>
      </c>
      <c r="E76" t="s">
        <v>476</v>
      </c>
      <c r="F76" t="s">
        <v>477</v>
      </c>
      <c r="G76" t="s">
        <v>478</v>
      </c>
    </row>
    <row r="77" spans="1:7" x14ac:dyDescent="0.4">
      <c r="A77">
        <v>733</v>
      </c>
      <c r="B77" t="s">
        <v>250</v>
      </c>
      <c r="C77" t="s">
        <v>308</v>
      </c>
      <c r="D77" t="s">
        <v>257</v>
      </c>
      <c r="E77" t="s">
        <v>479</v>
      </c>
      <c r="F77" t="s">
        <v>480</v>
      </c>
      <c r="G77" t="s">
        <v>481</v>
      </c>
    </row>
    <row r="78" spans="1:7" x14ac:dyDescent="0.4">
      <c r="A78">
        <v>732</v>
      </c>
      <c r="B78" t="s">
        <v>250</v>
      </c>
      <c r="C78" t="s">
        <v>256</v>
      </c>
      <c r="D78" t="s">
        <v>257</v>
      </c>
      <c r="E78" t="s">
        <v>482</v>
      </c>
      <c r="F78" t="s">
        <v>483</v>
      </c>
      <c r="G78" t="s">
        <v>484</v>
      </c>
    </row>
    <row r="79" spans="1:7" x14ac:dyDescent="0.4">
      <c r="A79">
        <v>731</v>
      </c>
      <c r="B79" t="s">
        <v>250</v>
      </c>
      <c r="C79" t="s">
        <v>251</v>
      </c>
      <c r="D79" t="s">
        <v>252</v>
      </c>
      <c r="E79" t="s">
        <v>485</v>
      </c>
      <c r="F79" t="s">
        <v>486</v>
      </c>
      <c r="G79" t="s">
        <v>487</v>
      </c>
    </row>
    <row r="80" spans="1:7" x14ac:dyDescent="0.4">
      <c r="A80">
        <v>730</v>
      </c>
      <c r="B80" t="s">
        <v>250</v>
      </c>
      <c r="C80" t="s">
        <v>256</v>
      </c>
      <c r="D80" t="s">
        <v>252</v>
      </c>
      <c r="E80" t="s">
        <v>488</v>
      </c>
      <c r="F80" t="s">
        <v>486</v>
      </c>
      <c r="G80" t="s">
        <v>489</v>
      </c>
    </row>
    <row r="81" spans="1:7" x14ac:dyDescent="0.4">
      <c r="A81">
        <v>729</v>
      </c>
      <c r="B81" t="s">
        <v>250</v>
      </c>
      <c r="C81" t="s">
        <v>409</v>
      </c>
      <c r="D81" t="s">
        <v>257</v>
      </c>
      <c r="E81" t="s">
        <v>490</v>
      </c>
      <c r="F81" t="s">
        <v>491</v>
      </c>
      <c r="G81" t="s">
        <v>492</v>
      </c>
    </row>
    <row r="82" spans="1:7" x14ac:dyDescent="0.4">
      <c r="A82">
        <v>728</v>
      </c>
      <c r="B82" t="s">
        <v>250</v>
      </c>
      <c r="C82" t="s">
        <v>256</v>
      </c>
      <c r="D82" t="s">
        <v>257</v>
      </c>
      <c r="E82" t="s">
        <v>493</v>
      </c>
      <c r="F82" t="s">
        <v>494</v>
      </c>
      <c r="G82" t="s">
        <v>495</v>
      </c>
    </row>
    <row r="83" spans="1:7" x14ac:dyDescent="0.4">
      <c r="A83">
        <v>727</v>
      </c>
      <c r="B83" t="s">
        <v>250</v>
      </c>
      <c r="C83" t="s">
        <v>308</v>
      </c>
      <c r="D83" t="s">
        <v>257</v>
      </c>
      <c r="E83" t="s">
        <v>496</v>
      </c>
      <c r="F83" t="s">
        <v>497</v>
      </c>
      <c r="G83" t="s">
        <v>498</v>
      </c>
    </row>
    <row r="84" spans="1:7" x14ac:dyDescent="0.4">
      <c r="A84">
        <v>726</v>
      </c>
      <c r="B84" t="s">
        <v>250</v>
      </c>
      <c r="C84" t="s">
        <v>256</v>
      </c>
      <c r="D84" t="s">
        <v>257</v>
      </c>
      <c r="E84" t="s">
        <v>499</v>
      </c>
      <c r="F84" t="s">
        <v>500</v>
      </c>
      <c r="G84" t="s">
        <v>501</v>
      </c>
    </row>
    <row r="85" spans="1:7" x14ac:dyDescent="0.4">
      <c r="A85">
        <v>725</v>
      </c>
      <c r="B85" t="s">
        <v>250</v>
      </c>
      <c r="C85" t="s">
        <v>308</v>
      </c>
      <c r="D85" t="s">
        <v>257</v>
      </c>
      <c r="E85" t="s">
        <v>502</v>
      </c>
      <c r="F85" t="s">
        <v>503</v>
      </c>
      <c r="G85" t="s">
        <v>504</v>
      </c>
    </row>
    <row r="86" spans="1:7" x14ac:dyDescent="0.4">
      <c r="A86">
        <v>724</v>
      </c>
      <c r="B86" t="s">
        <v>250</v>
      </c>
      <c r="C86" t="s">
        <v>256</v>
      </c>
      <c r="D86" t="s">
        <v>257</v>
      </c>
      <c r="E86" t="s">
        <v>505</v>
      </c>
      <c r="F86" t="s">
        <v>506</v>
      </c>
      <c r="G86" t="s">
        <v>507</v>
      </c>
    </row>
    <row r="87" spans="1:7" x14ac:dyDescent="0.4">
      <c r="A87">
        <v>723</v>
      </c>
      <c r="B87" t="s">
        <v>250</v>
      </c>
      <c r="C87" t="s">
        <v>308</v>
      </c>
      <c r="D87" t="s">
        <v>257</v>
      </c>
      <c r="E87" t="s">
        <v>508</v>
      </c>
      <c r="F87" t="s">
        <v>509</v>
      </c>
      <c r="G87" t="s">
        <v>510</v>
      </c>
    </row>
    <row r="88" spans="1:7" x14ac:dyDescent="0.4">
      <c r="A88">
        <v>722</v>
      </c>
      <c r="B88" t="s">
        <v>250</v>
      </c>
      <c r="C88" t="s">
        <v>308</v>
      </c>
      <c r="D88" t="s">
        <v>257</v>
      </c>
      <c r="E88" t="s">
        <v>511</v>
      </c>
      <c r="F88" t="s">
        <v>512</v>
      </c>
      <c r="G88" t="s">
        <v>513</v>
      </c>
    </row>
    <row r="89" spans="1:7" x14ac:dyDescent="0.4">
      <c r="A89">
        <v>721</v>
      </c>
      <c r="B89" t="s">
        <v>250</v>
      </c>
      <c r="C89" t="s">
        <v>251</v>
      </c>
      <c r="D89" t="s">
        <v>257</v>
      </c>
      <c r="E89" t="s">
        <v>514</v>
      </c>
      <c r="F89" t="s">
        <v>515</v>
      </c>
      <c r="G89" t="s">
        <v>516</v>
      </c>
    </row>
    <row r="90" spans="1:7" x14ac:dyDescent="0.4">
      <c r="A90">
        <v>720</v>
      </c>
      <c r="B90" t="s">
        <v>250</v>
      </c>
      <c r="C90" t="s">
        <v>251</v>
      </c>
      <c r="D90" t="s">
        <v>252</v>
      </c>
      <c r="E90" t="s">
        <v>517</v>
      </c>
      <c r="F90" t="s">
        <v>518</v>
      </c>
      <c r="G90" t="s">
        <v>519</v>
      </c>
    </row>
    <row r="91" spans="1:7" x14ac:dyDescent="0.4">
      <c r="A91">
        <v>719</v>
      </c>
      <c r="B91" t="s">
        <v>250</v>
      </c>
      <c r="C91" t="s">
        <v>256</v>
      </c>
      <c r="D91" t="s">
        <v>257</v>
      </c>
      <c r="E91" t="s">
        <v>520</v>
      </c>
      <c r="F91" t="s">
        <v>521</v>
      </c>
      <c r="G91" t="s">
        <v>522</v>
      </c>
    </row>
    <row r="92" spans="1:7" x14ac:dyDescent="0.4">
      <c r="A92">
        <v>718</v>
      </c>
      <c r="B92" t="s">
        <v>250</v>
      </c>
      <c r="C92" t="s">
        <v>308</v>
      </c>
      <c r="D92" t="s">
        <v>257</v>
      </c>
      <c r="E92" t="s">
        <v>523</v>
      </c>
      <c r="F92" t="s">
        <v>524</v>
      </c>
      <c r="G92" t="s">
        <v>525</v>
      </c>
    </row>
    <row r="93" spans="1:7" x14ac:dyDescent="0.4">
      <c r="A93">
        <v>717</v>
      </c>
      <c r="B93" t="s">
        <v>250</v>
      </c>
      <c r="C93" t="s">
        <v>256</v>
      </c>
      <c r="D93" t="s">
        <v>257</v>
      </c>
      <c r="E93" t="s">
        <v>526</v>
      </c>
      <c r="F93" t="s">
        <v>527</v>
      </c>
      <c r="G93" t="s">
        <v>528</v>
      </c>
    </row>
    <row r="94" spans="1:7" x14ac:dyDescent="0.4">
      <c r="A94">
        <v>716</v>
      </c>
      <c r="B94" t="s">
        <v>250</v>
      </c>
      <c r="C94" t="s">
        <v>256</v>
      </c>
      <c r="D94" t="s">
        <v>257</v>
      </c>
      <c r="E94" t="s">
        <v>529</v>
      </c>
      <c r="F94" t="s">
        <v>530</v>
      </c>
      <c r="G94" t="s">
        <v>531</v>
      </c>
    </row>
    <row r="95" spans="1:7" x14ac:dyDescent="0.4">
      <c r="A95">
        <v>715</v>
      </c>
      <c r="B95" t="s">
        <v>250</v>
      </c>
      <c r="C95" t="s">
        <v>308</v>
      </c>
      <c r="D95" t="s">
        <v>257</v>
      </c>
      <c r="E95" t="s">
        <v>532</v>
      </c>
      <c r="F95" t="s">
        <v>533</v>
      </c>
      <c r="G95" t="s">
        <v>534</v>
      </c>
    </row>
    <row r="96" spans="1:7" x14ac:dyDescent="0.4">
      <c r="A96">
        <v>714</v>
      </c>
      <c r="B96" t="s">
        <v>250</v>
      </c>
      <c r="C96" t="s">
        <v>409</v>
      </c>
      <c r="D96" t="s">
        <v>257</v>
      </c>
      <c r="E96" t="s">
        <v>535</v>
      </c>
      <c r="F96" t="s">
        <v>536</v>
      </c>
      <c r="G96" t="s">
        <v>537</v>
      </c>
    </row>
    <row r="97" spans="1:7" x14ac:dyDescent="0.4">
      <c r="A97">
        <v>713</v>
      </c>
      <c r="B97" t="s">
        <v>250</v>
      </c>
      <c r="C97" t="s">
        <v>308</v>
      </c>
      <c r="D97" t="s">
        <v>257</v>
      </c>
      <c r="E97" t="s">
        <v>538</v>
      </c>
      <c r="F97" t="s">
        <v>539</v>
      </c>
      <c r="G97" t="s">
        <v>540</v>
      </c>
    </row>
    <row r="98" spans="1:7" x14ac:dyDescent="0.4">
      <c r="A98">
        <v>712</v>
      </c>
      <c r="B98" t="s">
        <v>250</v>
      </c>
      <c r="C98" t="s">
        <v>308</v>
      </c>
      <c r="D98" t="s">
        <v>257</v>
      </c>
      <c r="E98" t="s">
        <v>541</v>
      </c>
      <c r="F98" t="s">
        <v>303</v>
      </c>
      <c r="G98" t="s">
        <v>542</v>
      </c>
    </row>
    <row r="99" spans="1:7" x14ac:dyDescent="0.4">
      <c r="A99">
        <v>711</v>
      </c>
      <c r="B99" t="s">
        <v>250</v>
      </c>
      <c r="C99" t="s">
        <v>308</v>
      </c>
      <c r="D99" t="s">
        <v>257</v>
      </c>
      <c r="E99" t="s">
        <v>543</v>
      </c>
      <c r="F99" t="s">
        <v>544</v>
      </c>
      <c r="G99" t="s">
        <v>545</v>
      </c>
    </row>
    <row r="100" spans="1:7" x14ac:dyDescent="0.4">
      <c r="A100">
        <v>710</v>
      </c>
      <c r="B100" t="s">
        <v>250</v>
      </c>
      <c r="C100" t="s">
        <v>256</v>
      </c>
      <c r="D100" t="s">
        <v>257</v>
      </c>
      <c r="E100" t="s">
        <v>546</v>
      </c>
      <c r="F100" t="s">
        <v>547</v>
      </c>
      <c r="G100" t="s">
        <v>548</v>
      </c>
    </row>
    <row r="101" spans="1:7" x14ac:dyDescent="0.4">
      <c r="A101">
        <v>709</v>
      </c>
      <c r="B101" t="s">
        <v>250</v>
      </c>
      <c r="C101" t="s">
        <v>308</v>
      </c>
      <c r="D101" t="s">
        <v>257</v>
      </c>
      <c r="E101" t="s">
        <v>549</v>
      </c>
      <c r="F101" t="s">
        <v>550</v>
      </c>
      <c r="G101" t="s">
        <v>551</v>
      </c>
    </row>
    <row r="102" spans="1:7" x14ac:dyDescent="0.4">
      <c r="A102">
        <v>708</v>
      </c>
      <c r="B102" t="s">
        <v>250</v>
      </c>
      <c r="C102" t="s">
        <v>308</v>
      </c>
      <c r="D102" t="s">
        <v>257</v>
      </c>
      <c r="E102" t="s">
        <v>552</v>
      </c>
      <c r="F102" t="s">
        <v>553</v>
      </c>
      <c r="G102" t="s">
        <v>554</v>
      </c>
    </row>
    <row r="103" spans="1:7" x14ac:dyDescent="0.4">
      <c r="A103">
        <v>707</v>
      </c>
      <c r="B103" t="s">
        <v>250</v>
      </c>
      <c r="C103" t="s">
        <v>256</v>
      </c>
      <c r="D103" t="s">
        <v>257</v>
      </c>
      <c r="E103" t="s">
        <v>555</v>
      </c>
      <c r="F103" t="s">
        <v>556</v>
      </c>
      <c r="G103" t="s">
        <v>557</v>
      </c>
    </row>
    <row r="104" spans="1:7" x14ac:dyDescent="0.4">
      <c r="A104">
        <v>706</v>
      </c>
      <c r="B104" t="s">
        <v>250</v>
      </c>
      <c r="C104" t="s">
        <v>308</v>
      </c>
      <c r="D104" t="s">
        <v>257</v>
      </c>
      <c r="E104" t="s">
        <v>558</v>
      </c>
      <c r="F104" t="s">
        <v>559</v>
      </c>
      <c r="G104" t="s">
        <v>560</v>
      </c>
    </row>
    <row r="105" spans="1:7" x14ac:dyDescent="0.4">
      <c r="A105">
        <v>705</v>
      </c>
      <c r="B105" t="s">
        <v>250</v>
      </c>
      <c r="C105" t="s">
        <v>256</v>
      </c>
      <c r="D105" t="s">
        <v>257</v>
      </c>
      <c r="E105" t="s">
        <v>561</v>
      </c>
      <c r="F105" t="s">
        <v>562</v>
      </c>
      <c r="G105" t="s">
        <v>563</v>
      </c>
    </row>
    <row r="106" spans="1:7" x14ac:dyDescent="0.4">
      <c r="A106">
        <v>704</v>
      </c>
      <c r="B106" t="s">
        <v>250</v>
      </c>
      <c r="C106" t="s">
        <v>308</v>
      </c>
      <c r="D106" t="s">
        <v>257</v>
      </c>
      <c r="E106" t="s">
        <v>564</v>
      </c>
      <c r="F106" t="s">
        <v>565</v>
      </c>
      <c r="G106" t="s">
        <v>566</v>
      </c>
    </row>
    <row r="107" spans="1:7" x14ac:dyDescent="0.4">
      <c r="A107">
        <v>703</v>
      </c>
      <c r="B107" t="s">
        <v>250</v>
      </c>
      <c r="C107" t="s">
        <v>256</v>
      </c>
      <c r="D107" t="s">
        <v>257</v>
      </c>
      <c r="E107" t="s">
        <v>567</v>
      </c>
      <c r="F107" t="s">
        <v>568</v>
      </c>
      <c r="G107" t="s">
        <v>569</v>
      </c>
    </row>
    <row r="108" spans="1:7" x14ac:dyDescent="0.4">
      <c r="A108">
        <v>702</v>
      </c>
      <c r="B108" t="s">
        <v>250</v>
      </c>
      <c r="C108" t="s">
        <v>256</v>
      </c>
      <c r="D108" t="s">
        <v>257</v>
      </c>
      <c r="E108" t="s">
        <v>570</v>
      </c>
      <c r="F108" t="s">
        <v>571</v>
      </c>
      <c r="G108" t="s">
        <v>572</v>
      </c>
    </row>
    <row r="109" spans="1:7" x14ac:dyDescent="0.4">
      <c r="A109">
        <v>701</v>
      </c>
      <c r="B109" t="s">
        <v>250</v>
      </c>
      <c r="C109" t="s">
        <v>308</v>
      </c>
      <c r="D109" t="s">
        <v>257</v>
      </c>
      <c r="E109" t="s">
        <v>573</v>
      </c>
      <c r="F109" t="s">
        <v>574</v>
      </c>
      <c r="G109" t="s">
        <v>575</v>
      </c>
    </row>
    <row r="110" spans="1:7" x14ac:dyDescent="0.4">
      <c r="A110">
        <v>700</v>
      </c>
      <c r="B110" t="s">
        <v>250</v>
      </c>
      <c r="C110" t="s">
        <v>308</v>
      </c>
      <c r="D110" t="s">
        <v>257</v>
      </c>
      <c r="E110" t="s">
        <v>576</v>
      </c>
      <c r="F110" t="s">
        <v>577</v>
      </c>
      <c r="G110" t="s">
        <v>578</v>
      </c>
    </row>
    <row r="111" spans="1:7" x14ac:dyDescent="0.4">
      <c r="A111">
        <v>699</v>
      </c>
      <c r="B111" t="s">
        <v>250</v>
      </c>
      <c r="C111" t="s">
        <v>409</v>
      </c>
      <c r="D111" t="s">
        <v>257</v>
      </c>
      <c r="E111" t="s">
        <v>579</v>
      </c>
      <c r="F111" t="s">
        <v>580</v>
      </c>
      <c r="G111" t="s">
        <v>581</v>
      </c>
    </row>
    <row r="112" spans="1:7" x14ac:dyDescent="0.4">
      <c r="A112">
        <v>698</v>
      </c>
      <c r="B112" t="s">
        <v>250</v>
      </c>
      <c r="C112" t="s">
        <v>449</v>
      </c>
      <c r="D112" t="s">
        <v>257</v>
      </c>
      <c r="E112" t="s">
        <v>582</v>
      </c>
      <c r="F112" t="s">
        <v>583</v>
      </c>
      <c r="G112" t="s">
        <v>584</v>
      </c>
    </row>
    <row r="113" spans="1:7" x14ac:dyDescent="0.4">
      <c r="A113">
        <v>697</v>
      </c>
      <c r="B113" t="s">
        <v>250</v>
      </c>
      <c r="C113" t="s">
        <v>449</v>
      </c>
      <c r="D113" t="s">
        <v>257</v>
      </c>
      <c r="E113" t="s">
        <v>585</v>
      </c>
      <c r="F113" t="s">
        <v>586</v>
      </c>
      <c r="G113" t="s">
        <v>587</v>
      </c>
    </row>
    <row r="114" spans="1:7" x14ac:dyDescent="0.4">
      <c r="A114">
        <v>696</v>
      </c>
      <c r="B114" t="s">
        <v>250</v>
      </c>
      <c r="C114" t="s">
        <v>308</v>
      </c>
      <c r="D114" t="s">
        <v>257</v>
      </c>
      <c r="E114" t="s">
        <v>588</v>
      </c>
      <c r="F114" t="s">
        <v>589</v>
      </c>
      <c r="G114" t="s">
        <v>590</v>
      </c>
    </row>
    <row r="115" spans="1:7" x14ac:dyDescent="0.4">
      <c r="A115">
        <v>695</v>
      </c>
      <c r="B115" t="s">
        <v>250</v>
      </c>
      <c r="C115" t="s">
        <v>308</v>
      </c>
      <c r="D115" t="s">
        <v>257</v>
      </c>
      <c r="E115" t="s">
        <v>591</v>
      </c>
      <c r="F115" t="s">
        <v>592</v>
      </c>
      <c r="G115" t="s">
        <v>593</v>
      </c>
    </row>
    <row r="116" spans="1:7" x14ac:dyDescent="0.4">
      <c r="A116">
        <v>694</v>
      </c>
      <c r="B116" t="s">
        <v>250</v>
      </c>
      <c r="C116" t="s">
        <v>308</v>
      </c>
      <c r="D116" t="s">
        <v>257</v>
      </c>
      <c r="E116" t="s">
        <v>594</v>
      </c>
      <c r="F116" t="s">
        <v>595</v>
      </c>
      <c r="G116" t="s">
        <v>596</v>
      </c>
    </row>
    <row r="117" spans="1:7" x14ac:dyDescent="0.4">
      <c r="A117">
        <v>693</v>
      </c>
      <c r="B117" t="s">
        <v>250</v>
      </c>
      <c r="C117" t="s">
        <v>308</v>
      </c>
      <c r="D117" t="s">
        <v>257</v>
      </c>
      <c r="E117" t="s">
        <v>597</v>
      </c>
      <c r="F117" t="s">
        <v>598</v>
      </c>
      <c r="G117" t="s">
        <v>599</v>
      </c>
    </row>
    <row r="118" spans="1:7" x14ac:dyDescent="0.4">
      <c r="A118">
        <v>692</v>
      </c>
      <c r="B118" t="s">
        <v>250</v>
      </c>
      <c r="C118" t="s">
        <v>308</v>
      </c>
      <c r="D118" t="s">
        <v>257</v>
      </c>
      <c r="E118" t="s">
        <v>600</v>
      </c>
      <c r="F118" t="s">
        <v>601</v>
      </c>
      <c r="G118" t="s">
        <v>602</v>
      </c>
    </row>
    <row r="119" spans="1:7" x14ac:dyDescent="0.4">
      <c r="A119">
        <v>691</v>
      </c>
      <c r="B119" t="s">
        <v>250</v>
      </c>
      <c r="C119" t="s">
        <v>308</v>
      </c>
      <c r="D119" t="s">
        <v>257</v>
      </c>
      <c r="E119" t="s">
        <v>603</v>
      </c>
      <c r="F119" t="s">
        <v>604</v>
      </c>
      <c r="G119" t="s">
        <v>605</v>
      </c>
    </row>
    <row r="120" spans="1:7" x14ac:dyDescent="0.4">
      <c r="A120">
        <v>690</v>
      </c>
      <c r="B120" t="s">
        <v>250</v>
      </c>
      <c r="C120" t="s">
        <v>251</v>
      </c>
      <c r="D120" t="s">
        <v>257</v>
      </c>
      <c r="E120" t="s">
        <v>606</v>
      </c>
      <c r="F120" t="s">
        <v>607</v>
      </c>
      <c r="G120" t="s">
        <v>608</v>
      </c>
    </row>
    <row r="121" spans="1:7" x14ac:dyDescent="0.4">
      <c r="A121">
        <v>689</v>
      </c>
      <c r="B121" t="s">
        <v>250</v>
      </c>
      <c r="C121" t="s">
        <v>308</v>
      </c>
      <c r="D121" t="s">
        <v>257</v>
      </c>
      <c r="E121" t="s">
        <v>609</v>
      </c>
      <c r="F121" t="s">
        <v>610</v>
      </c>
      <c r="G121" t="s">
        <v>611</v>
      </c>
    </row>
    <row r="123" spans="1:7" x14ac:dyDescent="0.4">
      <c r="A123" s="4" t="s">
        <v>612</v>
      </c>
      <c r="B123" s="24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C4FF-C148-4AAD-86FE-98C4D5E099F2}">
  <sheetPr codeName="Sheet5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19" t="s">
        <v>219</v>
      </c>
    </row>
    <row r="3" spans="1:7" ht="30" customHeight="1" x14ac:dyDescent="0.4">
      <c r="B3" s="33" t="s">
        <v>235</v>
      </c>
      <c r="C3" s="34"/>
      <c r="D3" s="34"/>
      <c r="E3" s="34"/>
      <c r="F3" s="34"/>
      <c r="G3" s="34"/>
    </row>
    <row r="4" spans="1:7" x14ac:dyDescent="0.4">
      <c r="B4" s="34" t="s">
        <v>236</v>
      </c>
      <c r="C4" s="34"/>
      <c r="D4" s="34"/>
      <c r="E4" s="34"/>
      <c r="F4" s="34"/>
      <c r="G4" s="34"/>
    </row>
    <row r="5" spans="1:7" x14ac:dyDescent="0.4">
      <c r="B5" s="20"/>
      <c r="C5" s="20"/>
      <c r="D5" s="20"/>
      <c r="E5" s="20"/>
      <c r="F5" s="20"/>
      <c r="G5" s="20"/>
    </row>
    <row r="6" spans="1:7" x14ac:dyDescent="0.4">
      <c r="B6" s="21" t="s">
        <v>70</v>
      </c>
      <c r="C6" s="21" t="str">
        <f>IF(기초자료입력!C4&lt;&gt;"",기초자료입력!C4,"")</f>
        <v/>
      </c>
      <c r="D6" s="21" t="s">
        <v>71</v>
      </c>
      <c r="E6" s="21" t="str">
        <f>IF(기초자료입력!C5&lt;&gt;"",기초자료입력!C5,"")</f>
        <v/>
      </c>
      <c r="F6" s="21" t="s">
        <v>74</v>
      </c>
      <c r="G6" s="21" t="str">
        <f>IF(기초자료입력!C12&lt;&gt;"",기초자료입력!C12,"")</f>
        <v/>
      </c>
    </row>
    <row r="7" spans="1:7" x14ac:dyDescent="0.4">
      <c r="B7" s="20"/>
      <c r="C7" s="20"/>
      <c r="D7" s="20"/>
      <c r="E7" s="20"/>
      <c r="F7" s="20"/>
      <c r="G7" s="20"/>
    </row>
    <row r="8" spans="1:7" x14ac:dyDescent="0.4">
      <c r="B8" s="35" t="s">
        <v>237</v>
      </c>
      <c r="C8" s="35"/>
      <c r="D8" s="23" t="s">
        <v>54</v>
      </c>
      <c r="E8" s="23" t="s">
        <v>238</v>
      </c>
      <c r="F8" s="35" t="s">
        <v>239</v>
      </c>
      <c r="G8" s="35"/>
    </row>
    <row r="9" spans="1:7" x14ac:dyDescent="0.4">
      <c r="B9" s="36" t="s">
        <v>240</v>
      </c>
      <c r="C9" s="21" t="str">
        <f>IF(기초자료입력!B29&lt;&gt;"",기초자료입력!B29,"후드 점퍼")</f>
        <v>후드 점퍼</v>
      </c>
      <c r="D9" s="21">
        <f>IF(기초자료입력!C29&lt;&gt;"",기초자료입력!C29,1)</f>
        <v>1</v>
      </c>
      <c r="E9" s="21" t="str">
        <f>IF(SUM(기초자료입력!$D$29:$D$34)=0,"",TEXT(기초자료입력!D29/SUM(기초자료입력!$D$29:$D$34)*100,"0.0")&amp;"%")</f>
        <v/>
      </c>
      <c r="F9" s="37" t="s">
        <v>242</v>
      </c>
      <c r="G9" s="37"/>
    </row>
    <row r="10" spans="1:7" x14ac:dyDescent="0.4">
      <c r="B10" s="36"/>
      <c r="C10" s="21" t="str">
        <f>IF(기초자료입력!B30&lt;&gt;"",기초자료입력!B30,"집업티")</f>
        <v>집업티</v>
      </c>
      <c r="D10" s="21">
        <f>IF(기초자료입력!C30&lt;&gt;"",기초자료입력!C30,1)</f>
        <v>1</v>
      </c>
      <c r="E10" s="21" t="str">
        <f>IF(SUM(기초자료입력!$D$29:$D$34)=0,"",TEXT(기초자료입력!D30/SUM(기초자료입력!$D$29:$D$34)*100,"0.0")&amp;"%")</f>
        <v/>
      </c>
      <c r="F10" s="37"/>
      <c r="G10" s="37"/>
    </row>
    <row r="11" spans="1:7" x14ac:dyDescent="0.4">
      <c r="B11" s="36"/>
      <c r="C11" s="21" t="str">
        <f>IF(기초자료입력!B31&lt;&gt;"",기초자료입력!B31,"맨투맨티")</f>
        <v>맨투맨티</v>
      </c>
      <c r="D11" s="21">
        <f>IF(기초자료입력!C31&lt;&gt;"",기초자료입력!C31,1)</f>
        <v>1</v>
      </c>
      <c r="E11" s="21" t="str">
        <f>IF(SUM(기초자료입력!$D$29:$D$34)=0,"",TEXT(기초자료입력!D31/SUM(기초자료입력!$D$29:$D$34)*100,"0.0")&amp;"%")</f>
        <v/>
      </c>
      <c r="F11" s="37"/>
      <c r="G11" s="37"/>
    </row>
    <row r="12" spans="1:7" x14ac:dyDescent="0.4">
      <c r="B12" s="36"/>
      <c r="C12" s="21" t="str">
        <f>IF(기초자료입력!B32&lt;&gt;"",기초자료입력!B32,"긴바지(치마)")</f>
        <v>긴바지(치마)</v>
      </c>
      <c r="D12" s="21">
        <f>IF(기초자료입력!C32&lt;&gt;"",기초자료입력!C32,1)</f>
        <v>1</v>
      </c>
      <c r="E12" s="21" t="str">
        <f>IF(SUM(기초자료입력!$D$29:$D$34)=0,"",TEXT(기초자료입력!D32/SUM(기초자료입력!$D$29:$D$34)*100,"0.0")&amp;"%")</f>
        <v/>
      </c>
      <c r="F12" s="37"/>
      <c r="G12" s="37"/>
    </row>
    <row r="13" spans="1:7" x14ac:dyDescent="0.4">
      <c r="B13" s="36" t="s">
        <v>241</v>
      </c>
      <c r="C13" s="21" t="str">
        <f>IF(기초자료입력!B33&lt;&gt;"",기초자료입력!B33,"반팔티")</f>
        <v>반팔티</v>
      </c>
      <c r="D13" s="21">
        <f>IF(기초자료입력!C33&lt;&gt;"",기초자료입력!C33,1)</f>
        <v>1</v>
      </c>
      <c r="E13" s="21" t="str">
        <f>IF(SUM(기초자료입력!$D$29:$D$34)=0,"",TEXT(기초자료입력!D33/SUM(기초자료입력!$D$29:$D$34)*100,"0.0")&amp;"%")</f>
        <v/>
      </c>
      <c r="F13" s="37"/>
      <c r="G13" s="37"/>
    </row>
    <row r="14" spans="1:7" x14ac:dyDescent="0.4">
      <c r="B14" s="36"/>
      <c r="C14" s="21" t="str">
        <f>IF(기초자료입력!B34&lt;&gt;"",기초자료입력!B34,"반바지")</f>
        <v>반바지</v>
      </c>
      <c r="D14" s="21">
        <f>IF(기초자료입력!C34&lt;&gt;"",기초자료입력!C34,1)</f>
        <v>1</v>
      </c>
      <c r="E14" s="21" t="str">
        <f>IF(SUM(기초자료입력!$D$29:$D$34)=0,"",TEXT(기초자료입력!D34/SUM(기초자료입력!$D$29:$D$34)*100,"0.0")&amp;"%")</f>
        <v/>
      </c>
      <c r="F14" s="37"/>
      <c r="G14" s="37"/>
    </row>
    <row r="15" spans="1:7" x14ac:dyDescent="0.4">
      <c r="B15" s="31" t="s">
        <v>218</v>
      </c>
      <c r="C15" s="31"/>
      <c r="D15" s="22">
        <f>SUM(D9:D14)</f>
        <v>6</v>
      </c>
      <c r="E15" s="22" t="str">
        <f>"100%"</f>
        <v>100%</v>
      </c>
      <c r="F15" s="31"/>
      <c r="G15" s="31"/>
    </row>
    <row r="16" spans="1:7" x14ac:dyDescent="0.4">
      <c r="B16" s="20"/>
      <c r="C16" s="20"/>
      <c r="D16" s="20"/>
      <c r="E16" s="20"/>
      <c r="F16" s="20"/>
      <c r="G16" s="20"/>
    </row>
    <row r="17" spans="2:7" x14ac:dyDescent="0.4">
      <c r="B17" s="32" t="s">
        <v>243</v>
      </c>
      <c r="C17" s="32"/>
      <c r="D17" s="32"/>
      <c r="E17" s="32"/>
      <c r="F17" s="32"/>
      <c r="G17" s="32"/>
    </row>
    <row r="18" spans="2:7" x14ac:dyDescent="0.4">
      <c r="B18" s="32" t="s">
        <v>244</v>
      </c>
      <c r="C18" s="32"/>
      <c r="D18" s="32"/>
      <c r="E18" s="32"/>
      <c r="F18" s="32"/>
      <c r="G18" s="32"/>
    </row>
    <row r="19" spans="2:7" x14ac:dyDescent="0.4">
      <c r="B19" s="32" t="str">
        <f>IF(기초자료입력!C4&lt;&gt;"",기초자료입력!C4,"○○○○학교")&amp;"장 귀하"</f>
        <v>○○○○학교장 귀하</v>
      </c>
      <c r="C19" s="32"/>
      <c r="D19" s="32"/>
      <c r="E19" s="32"/>
      <c r="F19" s="32"/>
      <c r="G19" s="32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32B3-E844-41A7-AD6D-214A9C5A7ADB}">
  <sheetPr codeName="Sheet6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19" t="s">
        <v>219</v>
      </c>
    </row>
    <row r="3" spans="1:8" ht="30" customHeight="1" x14ac:dyDescent="0.4">
      <c r="B3" s="38" t="s">
        <v>211</v>
      </c>
      <c r="C3" s="39"/>
      <c r="D3" s="39"/>
      <c r="E3" s="39"/>
      <c r="F3" s="39"/>
      <c r="G3" s="39"/>
      <c r="H3" s="39"/>
    </row>
    <row r="5" spans="1:8" x14ac:dyDescent="0.4">
      <c r="B5" s="22" t="s">
        <v>24</v>
      </c>
      <c r="C5" s="21" t="str">
        <f>IF(기초자료입력!C9&lt;&gt;"",기초자료입력!C9,"")</f>
        <v/>
      </c>
      <c r="D5" s="21"/>
      <c r="E5" s="22" t="s">
        <v>212</v>
      </c>
      <c r="F5" s="21" t="str">
        <f>IF(기초자료입력!C8&lt;&gt;"",TEXT(기초자료입력!C8,"yyyy-mm-dd"),"")</f>
        <v/>
      </c>
      <c r="G5" s="21"/>
      <c r="H5" s="21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2" t="s">
        <v>213</v>
      </c>
      <c r="C7" s="36" t="str">
        <f>IF(기초자료입력!C21&lt;&gt;"",기초자료입력!C21,"내부결재")</f>
        <v>내부결재</v>
      </c>
      <c r="D7" s="36"/>
      <c r="E7" s="36"/>
      <c r="F7" s="36"/>
      <c r="G7" s="36"/>
      <c r="H7" s="36"/>
    </row>
    <row r="8" spans="1:8" x14ac:dyDescent="0.4">
      <c r="B8" s="22" t="s">
        <v>220</v>
      </c>
      <c r="C8" s="36"/>
      <c r="D8" s="36"/>
      <c r="E8" s="36"/>
      <c r="F8" s="36"/>
      <c r="G8" s="36"/>
      <c r="H8" s="36"/>
    </row>
    <row r="9" spans="1:8" x14ac:dyDescent="0.4">
      <c r="B9" s="22" t="s">
        <v>214</v>
      </c>
      <c r="C9" s="31" t="str">
        <f>IF(기초자료입력!C22&lt;&gt;"",기초자료입력!C22,기초자료입력!C5&amp;"학년도 "&amp;기초자료입력!C12&amp;" 구매 요청")</f>
        <v>학년도  구매 요청</v>
      </c>
      <c r="D9" s="36"/>
      <c r="E9" s="36"/>
      <c r="F9" s="36"/>
      <c r="G9" s="36"/>
      <c r="H9" s="36"/>
    </row>
    <row r="10" spans="1:8" ht="40.049999999999997" customHeight="1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2" t="s">
        <v>221</v>
      </c>
      <c r="C11" s="36" t="str">
        <f>IF(기초자료입력!C23&lt;&gt;"",기초자료입력!C23,"")</f>
        <v/>
      </c>
      <c r="D11" s="36"/>
      <c r="E11" s="36"/>
      <c r="F11" s="36"/>
      <c r="G11" s="36"/>
      <c r="H11" s="36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37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7"/>
      <c r="D13" s="37"/>
      <c r="E13" s="37"/>
      <c r="F13" s="37"/>
      <c r="G13" s="37"/>
      <c r="H13" s="37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2" t="s">
        <v>222</v>
      </c>
      <c r="C15" s="21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1"/>
      <c r="E15" s="21"/>
      <c r="F15" s="21"/>
      <c r="G15" s="21"/>
      <c r="H15" s="21"/>
    </row>
    <row r="16" spans="1:8" x14ac:dyDescent="0.4">
      <c r="B16" s="22" t="s">
        <v>223</v>
      </c>
      <c r="C16" s="21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1"/>
      <c r="E16" s="21"/>
      <c r="F16" s="21"/>
      <c r="G16" s="21"/>
      <c r="H16" s="21"/>
    </row>
    <row r="17" spans="2:8" x14ac:dyDescent="0.4">
      <c r="B17" s="22" t="s">
        <v>224</v>
      </c>
      <c r="C17" s="21" t="s">
        <v>226</v>
      </c>
      <c r="D17" s="21"/>
      <c r="E17" s="21"/>
      <c r="F17" s="21"/>
      <c r="G17" s="21"/>
      <c r="H17" s="21"/>
    </row>
    <row r="18" spans="2:8" x14ac:dyDescent="0.4">
      <c r="B18" s="22" t="s">
        <v>225</v>
      </c>
      <c r="C18" s="21" t="str">
        <f>IF(기초자료입력!C17&lt;&gt;"",IFERROR(TEXT(기초자료입력!C17,"yyyy-mm-dd"),기초자료입력!C17),"")</f>
        <v/>
      </c>
      <c r="D18" s="21"/>
      <c r="E18" s="21"/>
      <c r="F18" s="21"/>
      <c r="G18" s="21"/>
      <c r="H18" s="21"/>
    </row>
    <row r="19" spans="2:8" x14ac:dyDescent="0.4">
      <c r="B19" s="21"/>
      <c r="C19" s="21"/>
      <c r="D19" s="21"/>
      <c r="E19" s="21"/>
      <c r="F19" s="21"/>
      <c r="G19" s="21"/>
      <c r="H19" s="21"/>
    </row>
    <row r="20" spans="2:8" x14ac:dyDescent="0.4">
      <c r="B20" s="22" t="s">
        <v>215</v>
      </c>
      <c r="C20" s="21" t="str">
        <f>IF(기초자료입력!C24&lt;&gt;"",기초자료입력!C24,"교복 사양서 1부")&amp;"  끝."</f>
        <v>교복 사양서 1부  끝.</v>
      </c>
      <c r="D20" s="21"/>
      <c r="E20" s="21"/>
      <c r="F20" s="21"/>
      <c r="G20" s="21"/>
      <c r="H20" s="21"/>
    </row>
    <row r="21" spans="2:8" x14ac:dyDescent="0.4">
      <c r="B21" s="21"/>
      <c r="C21" s="21"/>
      <c r="D21" s="21"/>
      <c r="E21" s="21"/>
      <c r="F21" s="21"/>
      <c r="G21" s="21"/>
      <c r="H21" s="21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21"/>
      <c r="C23" s="21"/>
      <c r="D23" s="21"/>
      <c r="E23" s="21"/>
      <c r="F23" s="21" t="s">
        <v>216</v>
      </c>
      <c r="G23" s="21" t="s">
        <v>227</v>
      </c>
      <c r="H23" s="21" t="s">
        <v>217</v>
      </c>
    </row>
    <row r="24" spans="2:8" x14ac:dyDescent="0.4">
      <c r="B24" s="22" t="s">
        <v>228</v>
      </c>
      <c r="C24" s="36" t="str">
        <f>IF(기초자료입력!C9&lt;&gt;"",기초자료입력!C9,"")</f>
        <v/>
      </c>
      <c r="D24" s="36"/>
      <c r="E24" s="36"/>
      <c r="F24" s="22" t="s">
        <v>229</v>
      </c>
      <c r="G24" s="36"/>
      <c r="H24" s="36"/>
    </row>
    <row r="25" spans="2:8" x14ac:dyDescent="0.4">
      <c r="B25" s="22" t="s">
        <v>230</v>
      </c>
      <c r="C25" s="21"/>
      <c r="D25" s="22" t="s">
        <v>231</v>
      </c>
      <c r="E25" s="36"/>
      <c r="F25" s="36"/>
      <c r="G25" s="36"/>
      <c r="H25" s="36"/>
    </row>
    <row r="26" spans="2:8" x14ac:dyDescent="0.4">
      <c r="B26" s="22" t="s">
        <v>232</v>
      </c>
      <c r="C26" s="21"/>
      <c r="D26" s="22" t="s">
        <v>233</v>
      </c>
      <c r="E26" s="21"/>
      <c r="F26" s="22" t="s">
        <v>234</v>
      </c>
      <c r="G26" s="36"/>
      <c r="H26" s="3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487AB-298F-430D-B4F1-ECE1EC90EC05}">
  <sheetPr codeName="Sheet7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5" t="s">
        <v>88</v>
      </c>
    </row>
    <row r="2" spans="1:6" x14ac:dyDescent="0.4">
      <c r="A2" t="s">
        <v>89</v>
      </c>
    </row>
    <row r="4" spans="1:6" x14ac:dyDescent="0.4">
      <c r="A4" s="16" t="s">
        <v>90</v>
      </c>
      <c r="B4" s="16" t="s">
        <v>91</v>
      </c>
      <c r="C4" s="16" t="s">
        <v>92</v>
      </c>
      <c r="D4" s="16" t="s">
        <v>93</v>
      </c>
      <c r="E4" s="16" t="s">
        <v>94</v>
      </c>
      <c r="F4" s="16" t="s">
        <v>95</v>
      </c>
    </row>
    <row r="5" spans="1:6" x14ac:dyDescent="0.4">
      <c r="A5" s="18" t="b">
        <v>0</v>
      </c>
      <c r="B5" s="17" t="s">
        <v>96</v>
      </c>
      <c r="C5" s="17" t="s">
        <v>97</v>
      </c>
      <c r="D5" s="17" t="s">
        <v>98</v>
      </c>
      <c r="E5" s="17" t="s">
        <v>99</v>
      </c>
      <c r="F5" s="17"/>
    </row>
    <row r="6" spans="1:6" x14ac:dyDescent="0.4">
      <c r="A6" s="18" t="b">
        <v>0</v>
      </c>
      <c r="B6" s="17" t="s">
        <v>100</v>
      </c>
      <c r="C6" s="17" t="s">
        <v>101</v>
      </c>
      <c r="D6" s="17" t="s">
        <v>98</v>
      </c>
      <c r="E6" s="17" t="s">
        <v>99</v>
      </c>
      <c r="F6" s="17"/>
    </row>
    <row r="7" spans="1:6" x14ac:dyDescent="0.4">
      <c r="A7" s="18" t="b">
        <v>0</v>
      </c>
      <c r="B7" s="17" t="s">
        <v>102</v>
      </c>
      <c r="C7" s="17" t="s">
        <v>103</v>
      </c>
      <c r="D7" s="17" t="s">
        <v>98</v>
      </c>
      <c r="E7" s="17" t="s">
        <v>99</v>
      </c>
      <c r="F7" s="17"/>
    </row>
    <row r="8" spans="1:6" x14ac:dyDescent="0.4">
      <c r="A8" s="18" t="b">
        <v>0</v>
      </c>
      <c r="B8" s="17" t="s">
        <v>104</v>
      </c>
      <c r="C8" s="17" t="s">
        <v>105</v>
      </c>
      <c r="D8" s="17" t="s">
        <v>98</v>
      </c>
      <c r="E8" s="17" t="s">
        <v>99</v>
      </c>
      <c r="F8" s="17"/>
    </row>
    <row r="9" spans="1:6" x14ac:dyDescent="0.4">
      <c r="A9" s="18" t="b">
        <v>0</v>
      </c>
      <c r="B9" s="17" t="s">
        <v>106</v>
      </c>
      <c r="C9" s="17" t="s">
        <v>107</v>
      </c>
      <c r="D9" s="17" t="s">
        <v>98</v>
      </c>
      <c r="E9" s="17" t="s">
        <v>99</v>
      </c>
      <c r="F9" s="17"/>
    </row>
    <row r="10" spans="1:6" x14ac:dyDescent="0.4">
      <c r="A10" s="18" t="b">
        <v>0</v>
      </c>
      <c r="B10" s="17" t="s">
        <v>108</v>
      </c>
      <c r="C10" s="17" t="s">
        <v>109</v>
      </c>
      <c r="D10" s="17" t="s">
        <v>98</v>
      </c>
      <c r="E10" s="17" t="s">
        <v>99</v>
      </c>
      <c r="F10" s="17"/>
    </row>
    <row r="11" spans="1:6" x14ac:dyDescent="0.4">
      <c r="A11" s="18" t="b">
        <v>0</v>
      </c>
      <c r="B11" s="17" t="s">
        <v>110</v>
      </c>
      <c r="C11" s="17" t="s">
        <v>111</v>
      </c>
      <c r="D11" s="17" t="s">
        <v>112</v>
      </c>
      <c r="E11" s="17" t="s">
        <v>113</v>
      </c>
      <c r="F11" s="17" t="s">
        <v>114</v>
      </c>
    </row>
    <row r="12" spans="1:6" x14ac:dyDescent="0.4">
      <c r="A12" s="18" t="b">
        <v>0</v>
      </c>
      <c r="B12" s="17" t="s">
        <v>115</v>
      </c>
      <c r="C12" s="17" t="s">
        <v>116</v>
      </c>
      <c r="D12" s="17" t="s">
        <v>112</v>
      </c>
      <c r="E12" s="17" t="s">
        <v>99</v>
      </c>
      <c r="F12" s="17"/>
    </row>
    <row r="13" spans="1:6" x14ac:dyDescent="0.4">
      <c r="A13" s="18" t="b">
        <v>0</v>
      </c>
      <c r="B13" s="17" t="s">
        <v>117</v>
      </c>
      <c r="C13" s="17" t="s">
        <v>118</v>
      </c>
      <c r="D13" s="17" t="s">
        <v>112</v>
      </c>
      <c r="E13" s="17" t="s">
        <v>99</v>
      </c>
      <c r="F13" s="17"/>
    </row>
    <row r="14" spans="1:6" x14ac:dyDescent="0.4">
      <c r="A14" s="18" t="b">
        <v>0</v>
      </c>
      <c r="B14" s="17" t="s">
        <v>119</v>
      </c>
      <c r="C14" s="17" t="s">
        <v>120</v>
      </c>
      <c r="D14" s="17" t="s">
        <v>112</v>
      </c>
      <c r="E14" s="17" t="s">
        <v>99</v>
      </c>
      <c r="F14" s="17"/>
    </row>
    <row r="15" spans="1:6" x14ac:dyDescent="0.4">
      <c r="A15" s="18" t="b">
        <v>0</v>
      </c>
      <c r="B15" s="17" t="s">
        <v>121</v>
      </c>
      <c r="C15" s="17" t="s">
        <v>122</v>
      </c>
      <c r="D15" s="17" t="s">
        <v>112</v>
      </c>
      <c r="E15" s="17" t="s">
        <v>99</v>
      </c>
      <c r="F15" s="17"/>
    </row>
    <row r="16" spans="1:6" x14ac:dyDescent="0.4">
      <c r="A16" s="18" t="b">
        <v>0</v>
      </c>
      <c r="B16" s="17" t="s">
        <v>123</v>
      </c>
      <c r="C16" s="17" t="s">
        <v>124</v>
      </c>
      <c r="D16" s="17" t="s">
        <v>112</v>
      </c>
      <c r="E16" s="17" t="s">
        <v>99</v>
      </c>
      <c r="F16" s="17"/>
    </row>
    <row r="17" spans="1:6" x14ac:dyDescent="0.4">
      <c r="A17" s="18" t="b">
        <v>0</v>
      </c>
      <c r="B17" s="17" t="s">
        <v>125</v>
      </c>
      <c r="C17" s="17" t="s">
        <v>126</v>
      </c>
      <c r="D17" s="17" t="s">
        <v>112</v>
      </c>
      <c r="E17" s="17" t="s">
        <v>127</v>
      </c>
      <c r="F17" s="17" t="s">
        <v>128</v>
      </c>
    </row>
    <row r="18" spans="1:6" x14ac:dyDescent="0.4">
      <c r="A18" s="18" t="b">
        <v>0</v>
      </c>
      <c r="B18" s="17" t="s">
        <v>129</v>
      </c>
      <c r="C18" s="17" t="s">
        <v>130</v>
      </c>
      <c r="D18" s="17" t="s">
        <v>131</v>
      </c>
      <c r="E18" s="17" t="s">
        <v>99</v>
      </c>
      <c r="F18" s="17"/>
    </row>
    <row r="19" spans="1:6" x14ac:dyDescent="0.4">
      <c r="A19" s="18" t="b">
        <v>0</v>
      </c>
      <c r="B19" s="17" t="s">
        <v>132</v>
      </c>
      <c r="C19" s="17" t="s">
        <v>133</v>
      </c>
      <c r="D19" s="17" t="s">
        <v>131</v>
      </c>
      <c r="E19" s="17" t="s">
        <v>99</v>
      </c>
      <c r="F19" s="17"/>
    </row>
    <row r="20" spans="1:6" x14ac:dyDescent="0.4">
      <c r="A20" s="18" t="b">
        <v>0</v>
      </c>
      <c r="B20" s="17" t="s">
        <v>134</v>
      </c>
      <c r="C20" s="17" t="s">
        <v>135</v>
      </c>
      <c r="D20" s="17" t="s">
        <v>131</v>
      </c>
      <c r="E20" s="17" t="s">
        <v>99</v>
      </c>
      <c r="F20" s="17"/>
    </row>
    <row r="21" spans="1:6" x14ac:dyDescent="0.4">
      <c r="A21" s="18" t="b">
        <v>0</v>
      </c>
      <c r="B21" s="17" t="s">
        <v>136</v>
      </c>
      <c r="C21" s="17" t="s">
        <v>137</v>
      </c>
      <c r="D21" s="17" t="s">
        <v>112</v>
      </c>
      <c r="E21" s="17" t="s">
        <v>99</v>
      </c>
      <c r="F21" s="17"/>
    </row>
    <row r="22" spans="1:6" x14ac:dyDescent="0.4">
      <c r="A22" s="18" t="b">
        <v>0</v>
      </c>
      <c r="B22" s="17" t="s">
        <v>138</v>
      </c>
      <c r="C22" s="17" t="s">
        <v>139</v>
      </c>
      <c r="D22" s="17" t="s">
        <v>112</v>
      </c>
      <c r="E22" s="17" t="s">
        <v>99</v>
      </c>
      <c r="F22" s="17"/>
    </row>
    <row r="23" spans="1:6" x14ac:dyDescent="0.4">
      <c r="A23" s="18" t="b">
        <v>0</v>
      </c>
      <c r="B23" s="17" t="s">
        <v>140</v>
      </c>
      <c r="C23" s="17" t="s">
        <v>141</v>
      </c>
      <c r="D23" s="17" t="s">
        <v>112</v>
      </c>
      <c r="E23" s="17" t="s">
        <v>99</v>
      </c>
      <c r="F23" s="17"/>
    </row>
    <row r="24" spans="1:6" x14ac:dyDescent="0.4">
      <c r="A24" s="18" t="b">
        <v>0</v>
      </c>
      <c r="B24" s="17" t="s">
        <v>142</v>
      </c>
      <c r="C24" s="17" t="s">
        <v>143</v>
      </c>
      <c r="D24" s="17" t="s">
        <v>112</v>
      </c>
      <c r="E24" s="17" t="s">
        <v>99</v>
      </c>
      <c r="F24" s="17"/>
    </row>
    <row r="25" spans="1:6" x14ac:dyDescent="0.4">
      <c r="A25" s="18" t="b">
        <v>0</v>
      </c>
      <c r="B25" s="17" t="s">
        <v>144</v>
      </c>
      <c r="C25" s="17" t="s">
        <v>145</v>
      </c>
      <c r="D25" s="17" t="s">
        <v>112</v>
      </c>
      <c r="E25" s="17" t="s">
        <v>99</v>
      </c>
      <c r="F25" s="17"/>
    </row>
    <row r="26" spans="1:6" x14ac:dyDescent="0.4">
      <c r="A26" s="18" t="b">
        <v>0</v>
      </c>
      <c r="B26" s="17" t="s">
        <v>146</v>
      </c>
      <c r="C26" s="17" t="s">
        <v>147</v>
      </c>
      <c r="D26" s="17" t="s">
        <v>112</v>
      </c>
      <c r="E26" s="17" t="s">
        <v>99</v>
      </c>
      <c r="F26" s="17"/>
    </row>
    <row r="27" spans="1:6" x14ac:dyDescent="0.4">
      <c r="A27" s="18" t="b">
        <v>0</v>
      </c>
      <c r="B27" s="17" t="s">
        <v>148</v>
      </c>
      <c r="C27" s="17" t="s">
        <v>149</v>
      </c>
      <c r="D27" s="17" t="s">
        <v>112</v>
      </c>
      <c r="E27" s="17" t="s">
        <v>99</v>
      </c>
      <c r="F27" s="17"/>
    </row>
    <row r="28" spans="1:6" x14ac:dyDescent="0.4">
      <c r="A28" s="18" t="b">
        <v>0</v>
      </c>
      <c r="B28" s="17" t="s">
        <v>150</v>
      </c>
      <c r="C28" s="17" t="s">
        <v>151</v>
      </c>
      <c r="D28" s="17" t="s">
        <v>112</v>
      </c>
      <c r="E28" s="17" t="s">
        <v>113</v>
      </c>
      <c r="F28" s="17" t="s">
        <v>152</v>
      </c>
    </row>
    <row r="29" spans="1:6" x14ac:dyDescent="0.4">
      <c r="A29" s="18" t="b">
        <v>0</v>
      </c>
      <c r="B29" s="17" t="s">
        <v>153</v>
      </c>
      <c r="C29" s="17" t="s">
        <v>154</v>
      </c>
      <c r="D29" s="17" t="s">
        <v>112</v>
      </c>
      <c r="E29" s="17" t="s">
        <v>99</v>
      </c>
      <c r="F29" s="17"/>
    </row>
    <row r="30" spans="1:6" x14ac:dyDescent="0.4">
      <c r="A30" s="18" t="b">
        <v>0</v>
      </c>
      <c r="B30" s="17" t="s">
        <v>155</v>
      </c>
      <c r="C30" s="17" t="s">
        <v>156</v>
      </c>
      <c r="D30" s="17" t="s">
        <v>112</v>
      </c>
      <c r="E30" s="17" t="s">
        <v>99</v>
      </c>
      <c r="F30" s="17"/>
    </row>
    <row r="31" spans="1:6" x14ac:dyDescent="0.4">
      <c r="A31" s="18" t="b">
        <v>0</v>
      </c>
      <c r="B31" s="17" t="s">
        <v>157</v>
      </c>
      <c r="C31" s="17" t="s">
        <v>158</v>
      </c>
      <c r="D31" s="17" t="s">
        <v>112</v>
      </c>
      <c r="E31" s="17" t="s">
        <v>99</v>
      </c>
      <c r="F31" s="17"/>
    </row>
    <row r="32" spans="1:6" x14ac:dyDescent="0.4">
      <c r="A32" s="18" t="b">
        <v>0</v>
      </c>
      <c r="B32" s="17" t="s">
        <v>159</v>
      </c>
      <c r="C32" s="17" t="s">
        <v>160</v>
      </c>
      <c r="D32" s="17" t="s">
        <v>112</v>
      </c>
      <c r="E32" s="17" t="s">
        <v>99</v>
      </c>
      <c r="F32" s="17"/>
    </row>
    <row r="33" spans="1:6" x14ac:dyDescent="0.4">
      <c r="A33" s="18" t="b">
        <v>0</v>
      </c>
      <c r="B33" s="17" t="s">
        <v>161</v>
      </c>
      <c r="C33" s="17" t="s">
        <v>162</v>
      </c>
      <c r="D33" s="17" t="s">
        <v>112</v>
      </c>
      <c r="E33" s="17" t="s">
        <v>99</v>
      </c>
      <c r="F33" s="17"/>
    </row>
    <row r="34" spans="1:6" x14ac:dyDescent="0.4">
      <c r="A34" s="18" t="b">
        <v>0</v>
      </c>
      <c r="B34" s="17" t="s">
        <v>163</v>
      </c>
      <c r="C34" s="17" t="s">
        <v>164</v>
      </c>
      <c r="D34" s="17" t="s">
        <v>112</v>
      </c>
      <c r="E34" s="17" t="s">
        <v>99</v>
      </c>
      <c r="F34" s="17"/>
    </row>
    <row r="35" spans="1:6" x14ac:dyDescent="0.4">
      <c r="A35" s="18" t="b">
        <v>0</v>
      </c>
      <c r="B35" s="17" t="s">
        <v>165</v>
      </c>
      <c r="C35" s="17" t="s">
        <v>166</v>
      </c>
      <c r="D35" s="17" t="s">
        <v>112</v>
      </c>
      <c r="E35" s="17" t="s">
        <v>99</v>
      </c>
      <c r="F35" s="17"/>
    </row>
    <row r="36" spans="1:6" x14ac:dyDescent="0.4">
      <c r="A36" s="18" t="b">
        <v>0</v>
      </c>
      <c r="B36" s="17" t="s">
        <v>167</v>
      </c>
      <c r="C36" s="17" t="s">
        <v>168</v>
      </c>
      <c r="D36" s="17" t="s">
        <v>131</v>
      </c>
      <c r="E36" s="17" t="s">
        <v>99</v>
      </c>
      <c r="F36" s="17"/>
    </row>
    <row r="37" spans="1:6" x14ac:dyDescent="0.4">
      <c r="A37" s="18" t="b">
        <v>0</v>
      </c>
      <c r="B37" s="17" t="s">
        <v>169</v>
      </c>
      <c r="C37" s="17" t="s">
        <v>170</v>
      </c>
      <c r="D37" s="17" t="s">
        <v>131</v>
      </c>
      <c r="E37" s="17" t="s">
        <v>99</v>
      </c>
      <c r="F37" s="17"/>
    </row>
    <row r="38" spans="1:6" x14ac:dyDescent="0.4">
      <c r="A38" s="18" t="b">
        <v>0</v>
      </c>
      <c r="B38" s="17" t="s">
        <v>171</v>
      </c>
      <c r="C38" s="17" t="s">
        <v>172</v>
      </c>
      <c r="D38" s="17" t="s">
        <v>131</v>
      </c>
      <c r="E38" s="17" t="s">
        <v>99</v>
      </c>
      <c r="F38" s="17"/>
    </row>
    <row r="39" spans="1:6" x14ac:dyDescent="0.4">
      <c r="A39" s="18" t="b">
        <v>0</v>
      </c>
      <c r="B39" s="17" t="s">
        <v>173</v>
      </c>
      <c r="C39" s="17" t="s">
        <v>174</v>
      </c>
      <c r="D39" s="17" t="s">
        <v>131</v>
      </c>
      <c r="E39" s="17" t="s">
        <v>99</v>
      </c>
      <c r="F39" s="17"/>
    </row>
    <row r="40" spans="1:6" x14ac:dyDescent="0.4">
      <c r="A40" s="18" t="b">
        <v>0</v>
      </c>
      <c r="B40" s="17" t="s">
        <v>175</v>
      </c>
      <c r="C40" s="17" t="s">
        <v>176</v>
      </c>
      <c r="D40" s="17" t="s">
        <v>131</v>
      </c>
      <c r="E40" s="17" t="s">
        <v>99</v>
      </c>
      <c r="F40" s="17"/>
    </row>
    <row r="41" spans="1:6" x14ac:dyDescent="0.4">
      <c r="A41" s="18" t="b">
        <v>0</v>
      </c>
      <c r="B41" s="17" t="s">
        <v>177</v>
      </c>
      <c r="C41" s="17" t="s">
        <v>178</v>
      </c>
      <c r="D41" s="17" t="s">
        <v>131</v>
      </c>
      <c r="E41" s="17" t="s">
        <v>99</v>
      </c>
      <c r="F41" s="17"/>
    </row>
    <row r="42" spans="1:6" x14ac:dyDescent="0.4">
      <c r="A42" s="18" t="b">
        <v>0</v>
      </c>
      <c r="B42" s="17" t="s">
        <v>179</v>
      </c>
      <c r="C42" s="17" t="s">
        <v>180</v>
      </c>
      <c r="D42" s="17" t="s">
        <v>131</v>
      </c>
      <c r="E42" s="17" t="s">
        <v>99</v>
      </c>
      <c r="F42" s="17"/>
    </row>
    <row r="43" spans="1:6" x14ac:dyDescent="0.4">
      <c r="A43" s="18" t="b">
        <v>0</v>
      </c>
      <c r="B43" s="17" t="s">
        <v>181</v>
      </c>
      <c r="C43" s="17" t="s">
        <v>182</v>
      </c>
      <c r="D43" s="17" t="s">
        <v>131</v>
      </c>
      <c r="E43" s="17" t="s">
        <v>99</v>
      </c>
      <c r="F43" s="17"/>
    </row>
    <row r="44" spans="1:6" x14ac:dyDescent="0.4">
      <c r="A44" s="18" t="b">
        <v>0</v>
      </c>
      <c r="B44" s="17" t="s">
        <v>183</v>
      </c>
      <c r="C44" s="17" t="s">
        <v>103</v>
      </c>
      <c r="D44" s="17" t="s">
        <v>131</v>
      </c>
      <c r="E44" s="17" t="s">
        <v>99</v>
      </c>
      <c r="F44" s="17"/>
    </row>
    <row r="45" spans="1:6" x14ac:dyDescent="0.4">
      <c r="A45" s="18" t="b">
        <v>0</v>
      </c>
      <c r="B45" s="17" t="s">
        <v>184</v>
      </c>
      <c r="C45" s="17" t="s">
        <v>185</v>
      </c>
      <c r="D45" s="17" t="s">
        <v>186</v>
      </c>
      <c r="E45" s="17" t="s">
        <v>99</v>
      </c>
      <c r="F45" s="17"/>
    </row>
    <row r="46" spans="1:6" x14ac:dyDescent="0.4">
      <c r="A46" s="18" t="b">
        <v>0</v>
      </c>
      <c r="B46" s="17" t="s">
        <v>187</v>
      </c>
      <c r="C46" s="17" t="s">
        <v>188</v>
      </c>
      <c r="D46" s="17" t="s">
        <v>186</v>
      </c>
      <c r="E46" s="17" t="s">
        <v>99</v>
      </c>
      <c r="F46" s="17"/>
    </row>
    <row r="47" spans="1:6" x14ac:dyDescent="0.4">
      <c r="A47" s="18" t="b">
        <v>0</v>
      </c>
      <c r="B47" s="17" t="s">
        <v>189</v>
      </c>
      <c r="C47" s="17" t="s">
        <v>190</v>
      </c>
      <c r="D47" s="17" t="s">
        <v>186</v>
      </c>
      <c r="E47" s="17" t="s">
        <v>99</v>
      </c>
      <c r="F47" s="17"/>
    </row>
    <row r="48" spans="1:6" x14ac:dyDescent="0.4">
      <c r="A48" s="18" t="b">
        <v>0</v>
      </c>
      <c r="B48" s="17" t="s">
        <v>191</v>
      </c>
      <c r="C48" s="17" t="s">
        <v>192</v>
      </c>
      <c r="D48" s="17" t="s">
        <v>193</v>
      </c>
      <c r="E48" s="17" t="s">
        <v>99</v>
      </c>
      <c r="F48" s="17"/>
    </row>
    <row r="49" spans="1:6" x14ac:dyDescent="0.4">
      <c r="A49" s="18" t="b">
        <v>0</v>
      </c>
      <c r="B49" s="17" t="s">
        <v>194</v>
      </c>
      <c r="C49" s="17" t="s">
        <v>195</v>
      </c>
      <c r="D49" s="17" t="s">
        <v>193</v>
      </c>
      <c r="E49" s="17" t="s">
        <v>99</v>
      </c>
      <c r="F49" s="17"/>
    </row>
    <row r="50" spans="1:6" x14ac:dyDescent="0.4">
      <c r="A50" s="18" t="b">
        <v>0</v>
      </c>
      <c r="B50" s="17" t="s">
        <v>196</v>
      </c>
      <c r="C50" s="17" t="s">
        <v>197</v>
      </c>
      <c r="D50" s="17" t="s">
        <v>193</v>
      </c>
      <c r="E50" s="17" t="s">
        <v>99</v>
      </c>
      <c r="F50" s="17"/>
    </row>
    <row r="51" spans="1:6" x14ac:dyDescent="0.4">
      <c r="A51" s="18" t="b">
        <v>0</v>
      </c>
      <c r="B51" s="17" t="s">
        <v>198</v>
      </c>
      <c r="C51" s="17" t="s">
        <v>199</v>
      </c>
      <c r="D51" s="17" t="s">
        <v>193</v>
      </c>
      <c r="E51" s="17" t="s">
        <v>99</v>
      </c>
      <c r="F51" s="17"/>
    </row>
    <row r="52" spans="1:6" x14ac:dyDescent="0.4">
      <c r="A52" s="18" t="b">
        <v>0</v>
      </c>
      <c r="B52" s="17" t="s">
        <v>200</v>
      </c>
      <c r="C52" s="17" t="s">
        <v>201</v>
      </c>
      <c r="D52" s="17" t="s">
        <v>193</v>
      </c>
      <c r="E52" s="17" t="s">
        <v>99</v>
      </c>
      <c r="F52" s="17"/>
    </row>
    <row r="53" spans="1:6" x14ac:dyDescent="0.4">
      <c r="A53" s="18" t="b">
        <v>0</v>
      </c>
      <c r="B53" s="17" t="s">
        <v>202</v>
      </c>
      <c r="C53" s="17" t="s">
        <v>203</v>
      </c>
      <c r="D53" s="17" t="s">
        <v>204</v>
      </c>
      <c r="E53" s="17" t="s">
        <v>99</v>
      </c>
      <c r="F53" s="17"/>
    </row>
    <row r="54" spans="1:6" x14ac:dyDescent="0.4">
      <c r="A54" s="18" t="b">
        <v>0</v>
      </c>
      <c r="B54" s="17" t="s">
        <v>205</v>
      </c>
      <c r="C54" s="17" t="s">
        <v>206</v>
      </c>
      <c r="D54" s="17" t="s">
        <v>204</v>
      </c>
      <c r="E54" s="17" t="s">
        <v>99</v>
      </c>
      <c r="F54" s="17"/>
    </row>
    <row r="55" spans="1:6" x14ac:dyDescent="0.4">
      <c r="A55" s="18" t="b">
        <v>0</v>
      </c>
      <c r="B55" s="17" t="s">
        <v>207</v>
      </c>
      <c r="C55" s="17" t="s">
        <v>208</v>
      </c>
      <c r="D55" s="17" t="s">
        <v>204</v>
      </c>
      <c r="E55" s="17" t="s">
        <v>99</v>
      </c>
      <c r="F55" s="17"/>
    </row>
    <row r="56" spans="1:6" x14ac:dyDescent="0.4">
      <c r="A56" s="18" t="b">
        <v>0</v>
      </c>
      <c r="B56" s="17" t="s">
        <v>209</v>
      </c>
      <c r="C56" s="17" t="s">
        <v>210</v>
      </c>
      <c r="D56" s="17" t="s">
        <v>204</v>
      </c>
      <c r="E56" s="17" t="s">
        <v>99</v>
      </c>
      <c r="F5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4205B-4F8B-47AA-BAA2-3BD494FD0921}">
  <sheetPr codeName="Sheet8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82</v>
      </c>
      <c r="B1" s="3" t="s">
        <v>83</v>
      </c>
      <c r="C1" s="3" t="s">
        <v>64</v>
      </c>
      <c r="D1" s="3" t="s">
        <v>65</v>
      </c>
      <c r="E1" s="3" t="s">
        <v>66</v>
      </c>
    </row>
  </sheetData>
  <sheetProtection sheet="1" objects="1" scenarios="1"/>
  <autoFilter ref="A1:E1" xr:uid="{7194205B-4F8B-47AA-BAA2-3BD494FD0921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CDF5B-E75C-42F9-B35E-383E34644C5E}">
  <sheetPr codeName="Sheet9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82</v>
      </c>
      <c r="B1" s="3" t="s">
        <v>83</v>
      </c>
      <c r="C1" s="3" t="s">
        <v>86</v>
      </c>
      <c r="D1" s="3" t="s">
        <v>87</v>
      </c>
    </row>
  </sheetData>
  <sheetProtection sheet="1" objects="1" scenarios="1"/>
  <autoFilter ref="A1:D1" xr:uid="{618CDF5B-E75C-42F9-B35E-383E34644C5E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6189D-90FE-4F3D-B9F0-1EC495CDB6A1}">
  <sheetPr codeName="Sheet10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82</v>
      </c>
      <c r="B1" s="3" t="s">
        <v>83</v>
      </c>
      <c r="C1" s="3" t="s">
        <v>59</v>
      </c>
    </row>
  </sheetData>
  <sheetProtection sheet="1" objects="1" scenarios="1"/>
  <autoFilter ref="A1:C1" xr:uid="{4116189D-90FE-4F3D-B9F0-1EC495CDB6A1}"/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564C8-E77F-4CD0-8368-770220F8A3E8}">
  <sheetPr codeName="Sheet1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82</v>
      </c>
      <c r="B1" s="3" t="s">
        <v>83</v>
      </c>
      <c r="C1" s="3" t="s">
        <v>53</v>
      </c>
      <c r="D1" s="3" t="s">
        <v>54</v>
      </c>
      <c r="E1" s="3" t="s">
        <v>84</v>
      </c>
      <c r="F1" s="3" t="s">
        <v>85</v>
      </c>
    </row>
  </sheetData>
  <sheetProtection sheet="1" objects="1" scenarios="1"/>
  <autoFilter ref="A1:F1" xr:uid="{099564C8-E77F-4CD0-8368-770220F8A3E8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1415D-F84C-4346-8E1F-A108D5E23CC8}">
  <sheetPr codeName="Sheet12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69</v>
      </c>
      <c r="B1" s="3" t="s">
        <v>70</v>
      </c>
      <c r="C1" s="3" t="s">
        <v>71</v>
      </c>
      <c r="D1" s="3" t="s">
        <v>18</v>
      </c>
      <c r="E1" s="3" t="s">
        <v>72</v>
      </c>
      <c r="F1" s="3" t="s">
        <v>73</v>
      </c>
      <c r="G1" s="3" t="s">
        <v>24</v>
      </c>
      <c r="H1" s="3" t="s">
        <v>74</v>
      </c>
      <c r="I1" s="3" t="s">
        <v>75</v>
      </c>
      <c r="J1" s="3" t="s">
        <v>76</v>
      </c>
      <c r="K1" s="3" t="s">
        <v>77</v>
      </c>
      <c r="L1" s="3" t="s">
        <v>35</v>
      </c>
      <c r="M1" s="3" t="s">
        <v>37</v>
      </c>
      <c r="N1" s="3" t="s">
        <v>39</v>
      </c>
      <c r="O1" s="3" t="s">
        <v>42</v>
      </c>
      <c r="P1" s="3" t="s">
        <v>78</v>
      </c>
      <c r="Q1" s="3" t="s">
        <v>46</v>
      </c>
      <c r="R1" s="3" t="s">
        <v>79</v>
      </c>
      <c r="S1" s="3" t="s">
        <v>80</v>
      </c>
      <c r="T1" s="3" t="s">
        <v>81</v>
      </c>
    </row>
  </sheetData>
  <sheetProtection sheet="1" objects="1" scenarios="1"/>
  <autoFilter ref="A1:T1" xr:uid="{4BB1415D-F84C-4346-8E1F-A108D5E23CC8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C6BAE-4DE8-41A6-BD67-1E9D06B0BAA7}">
  <sheetPr codeName="Sheet13"/>
  <dimension ref="A1:G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40" t="s">
        <v>12</v>
      </c>
      <c r="B1" s="41"/>
      <c r="C1" s="41"/>
      <c r="D1" s="41"/>
      <c r="E1" s="41"/>
      <c r="F1" s="41"/>
      <c r="G1" s="4" t="s">
        <v>659</v>
      </c>
    </row>
    <row r="3" spans="1:7" x14ac:dyDescent="0.4">
      <c r="B3" s="3" t="s">
        <v>13</v>
      </c>
    </row>
    <row r="4" spans="1:7" x14ac:dyDescent="0.4">
      <c r="A4" s="5" t="s">
        <v>15</v>
      </c>
      <c r="B4" t="s">
        <v>14</v>
      </c>
      <c r="C4" s="8"/>
    </row>
    <row r="5" spans="1:7" x14ac:dyDescent="0.4">
      <c r="A5" s="5" t="s">
        <v>17</v>
      </c>
      <c r="B5" t="s">
        <v>16</v>
      </c>
      <c r="C5" s="11"/>
    </row>
    <row r="6" spans="1:7" x14ac:dyDescent="0.4">
      <c r="A6" s="5" t="s">
        <v>19</v>
      </c>
      <c r="B6" t="s">
        <v>18</v>
      </c>
      <c r="C6" s="8"/>
    </row>
    <row r="7" spans="1:7" x14ac:dyDescent="0.4">
      <c r="A7" s="5" t="s">
        <v>21</v>
      </c>
      <c r="B7" t="s">
        <v>20</v>
      </c>
      <c r="C7" s="8"/>
    </row>
    <row r="8" spans="1:7" x14ac:dyDescent="0.4">
      <c r="A8" s="5" t="s">
        <v>23</v>
      </c>
      <c r="B8" t="s">
        <v>22</v>
      </c>
      <c r="C8" s="12"/>
    </row>
    <row r="9" spans="1:7" x14ac:dyDescent="0.4">
      <c r="A9" s="5" t="s">
        <v>25</v>
      </c>
      <c r="B9" t="s">
        <v>24</v>
      </c>
      <c r="C9" s="8"/>
    </row>
    <row r="11" spans="1:7" x14ac:dyDescent="0.4">
      <c r="B11" s="3" t="s">
        <v>26</v>
      </c>
    </row>
    <row r="12" spans="1:7" x14ac:dyDescent="0.4">
      <c r="A12" s="5" t="s">
        <v>28</v>
      </c>
      <c r="B12" t="s">
        <v>27</v>
      </c>
      <c r="C12" s="8"/>
    </row>
    <row r="13" spans="1:7" x14ac:dyDescent="0.4">
      <c r="A13" s="5" t="s">
        <v>30</v>
      </c>
      <c r="B13" t="s">
        <v>29</v>
      </c>
      <c r="C13" s="8"/>
    </row>
    <row r="14" spans="1:7" x14ac:dyDescent="0.4">
      <c r="A14" s="5" t="s">
        <v>32</v>
      </c>
      <c r="B14" t="s">
        <v>31</v>
      </c>
      <c r="C14" s="8"/>
    </row>
    <row r="15" spans="1:7" x14ac:dyDescent="0.4">
      <c r="A15" s="5" t="s">
        <v>34</v>
      </c>
      <c r="B15" t="s">
        <v>33</v>
      </c>
      <c r="C15" s="13"/>
    </row>
    <row r="16" spans="1:7" x14ac:dyDescent="0.4">
      <c r="A16" s="5" t="s">
        <v>36</v>
      </c>
      <c r="B16" t="s">
        <v>35</v>
      </c>
      <c r="C16" s="11"/>
    </row>
    <row r="17" spans="1:6" x14ac:dyDescent="0.4">
      <c r="A17" s="5" t="s">
        <v>38</v>
      </c>
      <c r="B17" t="s">
        <v>37</v>
      </c>
      <c r="C17" s="12"/>
    </row>
    <row r="18" spans="1:6" x14ac:dyDescent="0.4">
      <c r="A18" s="5" t="s">
        <v>40</v>
      </c>
      <c r="B18" t="s">
        <v>39</v>
      </c>
      <c r="C18" s="14"/>
    </row>
    <row r="20" spans="1:6" x14ac:dyDescent="0.4">
      <c r="B20" s="3" t="s">
        <v>41</v>
      </c>
    </row>
    <row r="21" spans="1:6" x14ac:dyDescent="0.4">
      <c r="A21" s="5" t="s">
        <v>43</v>
      </c>
      <c r="B21" t="s">
        <v>42</v>
      </c>
      <c r="C21" s="8"/>
    </row>
    <row r="22" spans="1:6" x14ac:dyDescent="0.4">
      <c r="A22" s="5" t="s">
        <v>45</v>
      </c>
      <c r="B22" t="s">
        <v>44</v>
      </c>
      <c r="C22" s="8"/>
    </row>
    <row r="23" spans="1:6" x14ac:dyDescent="0.4">
      <c r="A23" s="5" t="s">
        <v>47</v>
      </c>
      <c r="B23" t="s">
        <v>46</v>
      </c>
      <c r="C23" s="8"/>
    </row>
    <row r="24" spans="1:6" x14ac:dyDescent="0.4">
      <c r="A24" s="5" t="s">
        <v>49</v>
      </c>
      <c r="B24" t="s">
        <v>48</v>
      </c>
      <c r="C24" s="8"/>
    </row>
    <row r="25" spans="1:6" ht="60" customHeight="1" x14ac:dyDescent="0.4">
      <c r="A25" s="5" t="s">
        <v>51</v>
      </c>
      <c r="B25" t="s">
        <v>50</v>
      </c>
      <c r="C25" s="42"/>
      <c r="D25" s="43"/>
      <c r="E25" s="43"/>
      <c r="F25" s="43"/>
    </row>
    <row r="27" spans="1:6" x14ac:dyDescent="0.4">
      <c r="B27" s="3" t="s">
        <v>52</v>
      </c>
    </row>
    <row r="28" spans="1:6" x14ac:dyDescent="0.4">
      <c r="B28" s="3" t="s">
        <v>53</v>
      </c>
      <c r="C28" s="3" t="s">
        <v>54</v>
      </c>
      <c r="D28" s="3" t="s">
        <v>55</v>
      </c>
      <c r="E28" s="3" t="s">
        <v>56</v>
      </c>
    </row>
    <row r="29" spans="1:6" x14ac:dyDescent="0.4">
      <c r="B29" s="8"/>
      <c r="C29" s="8"/>
      <c r="D29" s="13"/>
      <c r="E29" s="6" t="str">
        <f t="shared" ref="E29:E38" si="0">IF(AND(B29&lt;&gt;"",C29&lt;&gt;"",D29&lt;&gt;""),C29*D29,"")</f>
        <v/>
      </c>
    </row>
    <row r="30" spans="1:6" x14ac:dyDescent="0.4">
      <c r="B30" s="8"/>
      <c r="C30" s="8"/>
      <c r="D30" s="13"/>
      <c r="E30" s="6" t="str">
        <f t="shared" si="0"/>
        <v/>
      </c>
    </row>
    <row r="31" spans="1:6" x14ac:dyDescent="0.4">
      <c r="B31" s="8"/>
      <c r="C31" s="8"/>
      <c r="D31" s="13"/>
      <c r="E31" s="6" t="str">
        <f t="shared" si="0"/>
        <v/>
      </c>
    </row>
    <row r="32" spans="1:6" x14ac:dyDescent="0.4">
      <c r="B32" s="8"/>
      <c r="C32" s="8"/>
      <c r="D32" s="13"/>
      <c r="E32" s="6" t="str">
        <f t="shared" si="0"/>
        <v/>
      </c>
    </row>
    <row r="33" spans="2:5" x14ac:dyDescent="0.4">
      <c r="B33" s="8"/>
      <c r="C33" s="8"/>
      <c r="D33" s="13"/>
      <c r="E33" s="6" t="str">
        <f t="shared" si="0"/>
        <v/>
      </c>
    </row>
    <row r="34" spans="2:5" x14ac:dyDescent="0.4">
      <c r="B34" s="8"/>
      <c r="C34" s="8"/>
      <c r="D34" s="13"/>
      <c r="E34" s="6" t="str">
        <f t="shared" si="0"/>
        <v/>
      </c>
    </row>
    <row r="35" spans="2:5" x14ac:dyDescent="0.4">
      <c r="B35" s="8"/>
      <c r="C35" s="8"/>
      <c r="D35" s="13"/>
      <c r="E35" s="6" t="str">
        <f t="shared" si="0"/>
        <v/>
      </c>
    </row>
    <row r="36" spans="2:5" x14ac:dyDescent="0.4">
      <c r="B36" s="8"/>
      <c r="C36" s="8"/>
      <c r="D36" s="13"/>
      <c r="E36" s="6" t="str">
        <f t="shared" si="0"/>
        <v/>
      </c>
    </row>
    <row r="37" spans="2:5" x14ac:dyDescent="0.4">
      <c r="B37" s="8"/>
      <c r="C37" s="8"/>
      <c r="D37" s="13"/>
      <c r="E37" s="6" t="str">
        <f t="shared" si="0"/>
        <v/>
      </c>
    </row>
    <row r="38" spans="2:5" x14ac:dyDescent="0.4">
      <c r="B38" s="8"/>
      <c r="C38" s="8"/>
      <c r="D38" s="13"/>
      <c r="E38" s="6" t="str">
        <f t="shared" si="0"/>
        <v/>
      </c>
    </row>
    <row r="39" spans="2:5" x14ac:dyDescent="0.4">
      <c r="B39" s="3" t="s">
        <v>57</v>
      </c>
      <c r="E39" s="7">
        <f>SUM(E29:E38)</f>
        <v>0</v>
      </c>
    </row>
    <row r="42" spans="2:5" x14ac:dyDescent="0.4">
      <c r="B42" s="3" t="s">
        <v>58</v>
      </c>
    </row>
    <row r="43" spans="2:5" x14ac:dyDescent="0.4">
      <c r="B43" s="3" t="s">
        <v>59</v>
      </c>
    </row>
    <row r="44" spans="2:5" x14ac:dyDescent="0.4">
      <c r="B44" s="8"/>
    </row>
    <row r="45" spans="2:5" x14ac:dyDescent="0.4">
      <c r="B45" s="8"/>
    </row>
    <row r="46" spans="2:5" x14ac:dyDescent="0.4">
      <c r="B46" s="8"/>
    </row>
    <row r="47" spans="2:5" x14ac:dyDescent="0.4">
      <c r="B47" s="8"/>
    </row>
    <row r="48" spans="2:5" x14ac:dyDescent="0.4">
      <c r="B48" s="8"/>
    </row>
    <row r="49" spans="2:3" x14ac:dyDescent="0.4">
      <c r="B49" s="8"/>
    </row>
    <row r="50" spans="2:3" x14ac:dyDescent="0.4">
      <c r="B50" s="8"/>
    </row>
    <row r="51" spans="2:3" x14ac:dyDescent="0.4">
      <c r="B51" s="8"/>
    </row>
    <row r="52" spans="2:3" x14ac:dyDescent="0.4">
      <c r="B52" s="8"/>
    </row>
    <row r="53" spans="2:3" x14ac:dyDescent="0.4">
      <c r="B53" s="8"/>
    </row>
    <row r="56" spans="2:3" x14ac:dyDescent="0.4">
      <c r="B56" s="3" t="s">
        <v>60</v>
      </c>
    </row>
    <row r="57" spans="2:3" x14ac:dyDescent="0.4">
      <c r="B57" s="3" t="s">
        <v>61</v>
      </c>
      <c r="C57" s="3" t="s">
        <v>62</v>
      </c>
    </row>
    <row r="58" spans="2:3" x14ac:dyDescent="0.4">
      <c r="B58" s="8"/>
    </row>
    <row r="59" spans="2:3" x14ac:dyDescent="0.4">
      <c r="B59" s="8"/>
    </row>
    <row r="60" spans="2:3" x14ac:dyDescent="0.4">
      <c r="B60" s="8"/>
    </row>
    <row r="61" spans="2:3" x14ac:dyDescent="0.4">
      <c r="B61" s="8"/>
    </row>
    <row r="62" spans="2:3" x14ac:dyDescent="0.4">
      <c r="B62" s="8"/>
    </row>
    <row r="63" spans="2:3" x14ac:dyDescent="0.4">
      <c r="B63" s="8"/>
    </row>
    <row r="64" spans="2:3" x14ac:dyDescent="0.4">
      <c r="B64" s="8"/>
    </row>
    <row r="65" spans="2:5" x14ac:dyDescent="0.4">
      <c r="B65" s="8"/>
    </row>
    <row r="66" spans="2:5" x14ac:dyDescent="0.4">
      <c r="B66" s="8"/>
    </row>
    <row r="67" spans="2:5" x14ac:dyDescent="0.4">
      <c r="B67" s="8"/>
    </row>
    <row r="70" spans="2:5" x14ac:dyDescent="0.4">
      <c r="B70" s="3" t="s">
        <v>63</v>
      </c>
    </row>
    <row r="71" spans="2:5" x14ac:dyDescent="0.4">
      <c r="B71" s="3" t="s">
        <v>64</v>
      </c>
      <c r="C71" s="3" t="s">
        <v>65</v>
      </c>
      <c r="D71" s="3" t="s">
        <v>66</v>
      </c>
      <c r="E71" s="3" t="s">
        <v>67</v>
      </c>
    </row>
    <row r="72" spans="2:5" x14ac:dyDescent="0.4">
      <c r="B72" s="8"/>
      <c r="C72" s="9"/>
      <c r="E72" t="str">
        <f t="shared" ref="E72:E81" si="1">IF(AND(B72&lt;&gt;"",C72&lt;&gt;"",D72&lt;&gt;""),IF(AND(ISNUMBER(C72),ISNUMBER(D72),C72&gt;=0,D72&gt;=0,D72&lt;=C72),"정상","점수/배점 확인"),"")</f>
        <v/>
      </c>
    </row>
    <row r="73" spans="2:5" x14ac:dyDescent="0.4">
      <c r="B73" s="8"/>
      <c r="C73" s="9"/>
      <c r="E73" t="str">
        <f t="shared" si="1"/>
        <v/>
      </c>
    </row>
    <row r="74" spans="2:5" x14ac:dyDescent="0.4">
      <c r="B74" s="8"/>
      <c r="C74" s="9"/>
      <c r="E74" t="str">
        <f t="shared" si="1"/>
        <v/>
      </c>
    </row>
    <row r="75" spans="2:5" x14ac:dyDescent="0.4">
      <c r="B75" s="8"/>
      <c r="C75" s="9"/>
      <c r="E75" t="str">
        <f t="shared" si="1"/>
        <v/>
      </c>
    </row>
    <row r="76" spans="2:5" x14ac:dyDescent="0.4">
      <c r="B76" s="8"/>
      <c r="C76" s="9"/>
      <c r="E76" t="str">
        <f t="shared" si="1"/>
        <v/>
      </c>
    </row>
    <row r="77" spans="2:5" x14ac:dyDescent="0.4">
      <c r="B77" s="8"/>
      <c r="C77" s="9"/>
      <c r="E77" t="str">
        <f t="shared" si="1"/>
        <v/>
      </c>
    </row>
    <row r="78" spans="2:5" x14ac:dyDescent="0.4">
      <c r="B78" s="8"/>
      <c r="C78" s="9"/>
      <c r="E78" t="str">
        <f t="shared" si="1"/>
        <v/>
      </c>
    </row>
    <row r="79" spans="2:5" x14ac:dyDescent="0.4">
      <c r="B79" s="8"/>
      <c r="C79" s="9"/>
      <c r="E79" t="str">
        <f t="shared" si="1"/>
        <v/>
      </c>
    </row>
    <row r="80" spans="2:5" x14ac:dyDescent="0.4">
      <c r="B80" s="8"/>
      <c r="C80" s="9"/>
      <c r="E80" t="str">
        <f t="shared" si="1"/>
        <v/>
      </c>
    </row>
    <row r="81" spans="2:5" x14ac:dyDescent="0.4">
      <c r="B81" s="8"/>
      <c r="C81" s="9"/>
      <c r="E81" t="str">
        <f t="shared" si="1"/>
        <v/>
      </c>
    </row>
    <row r="82" spans="2:5" x14ac:dyDescent="0.4">
      <c r="B82" s="3" t="s">
        <v>68</v>
      </c>
      <c r="D82" s="10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A664-C98B-4E81-B66A-204169BF0BB2}">
  <sheetPr codeName="Sheet14"/>
  <dimension ref="A1:A13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계약방법안내</vt:lpstr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2026-09-16T11:04:24Z</dcterms:created>
  <dcterms:modified xsi:type="dcterms:W3CDTF">2026-09-16T11:04:47Z</dcterms:modified>
</cp:coreProperties>
</file>