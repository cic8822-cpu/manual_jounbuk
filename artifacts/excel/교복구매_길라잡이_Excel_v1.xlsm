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DE4444EB-9079-4391-ACC9-CAC3EF4B5796}" xr6:coauthVersionLast="47" xr6:coauthVersionMax="47" xr10:uidLastSave="{00000000-0000-0000-0000-000000000000}"/>
  <bookViews>
    <workbookView xWindow="-108" yWindow="-108" windowWidth="23256" windowHeight="12576" activeTab="2" xr2:uid="{03E824E3-2C4B-4AD4-A3FA-9540EE543384}"/>
  </bookViews>
  <sheets>
    <sheet name="학교정보" sheetId="7" r:id="rId1"/>
    <sheet name="F-024_단가비율표" sheetId="6" r:id="rId2"/>
    <sheet name="F-007_구매요청기안문" sheetId="5" r:id="rId3"/>
    <sheet name="서식선택_출력" sheetId="4" r:id="rId4"/>
    <sheet name="DB" sheetId="3" r:id="rId5"/>
    <sheet name="기초자료입력" sheetId="2" r:id="rId6"/>
    <sheet name="사용설명서" sheetId="1" r:id="rId7"/>
  </sheets>
  <functionGroups builtInGroupCount="19"/>
  <definedNames>
    <definedName name="_xlnm._FilterDatabase" localSheetId="4" hidden="1">DB!$A$1:$T$1</definedName>
    <definedName name="_xlnm.Print_Area" localSheetId="2">'F-007_구매요청기안문'!$A$1:$H$33</definedName>
    <definedName name="_xlnm.Print_Area" localSheetId="1">'F-024_단가비율표'!$A$1:$G$18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7" i="6" l="1"/>
  <c r="D17" i="6"/>
  <c r="C17" i="6"/>
  <c r="E16" i="6"/>
  <c r="D16" i="6"/>
  <c r="C16" i="6"/>
  <c r="E15" i="6"/>
  <c r="D15" i="6"/>
  <c r="C15" i="6"/>
  <c r="F14" i="6"/>
  <c r="E14" i="6"/>
  <c r="D14" i="6"/>
  <c r="C14" i="6"/>
  <c r="E13" i="6"/>
  <c r="D13" i="6"/>
  <c r="C13" i="6"/>
  <c r="F12" i="6"/>
  <c r="E12" i="6"/>
  <c r="D12" i="6"/>
  <c r="C12" i="6"/>
  <c r="E11" i="6"/>
  <c r="D11" i="6"/>
  <c r="C11" i="6"/>
  <c r="E10" i="6"/>
  <c r="D10" i="6"/>
  <c r="C10" i="6"/>
  <c r="E9" i="6"/>
  <c r="D9" i="6"/>
  <c r="C9" i="6"/>
  <c r="E8" i="6"/>
  <c r="D8" i="6"/>
  <c r="C8" i="6"/>
  <c r="G5" i="6"/>
  <c r="E5" i="6"/>
  <c r="C5" i="6"/>
  <c r="C26" i="5"/>
  <c r="C18" i="5"/>
  <c r="C16" i="5"/>
  <c r="C15" i="5"/>
  <c r="C14" i="5"/>
  <c r="C13" i="5"/>
  <c r="C12" i="5"/>
  <c r="B10" i="5"/>
  <c r="C8" i="5"/>
  <c r="C7" i="5"/>
  <c r="F5" i="5"/>
  <c r="C5" i="5"/>
  <c r="E38" i="2"/>
  <c r="F17" i="6" s="1"/>
  <c r="E37" i="2"/>
  <c r="F16" i="6" s="1"/>
  <c r="E36" i="2"/>
  <c r="F15" i="6" s="1"/>
  <c r="E35" i="2"/>
  <c r="E34" i="2"/>
  <c r="F13" i="6" s="1"/>
  <c r="E33" i="2"/>
  <c r="E32" i="2"/>
  <c r="F11" i="6" s="1"/>
  <c r="E31" i="2"/>
  <c r="F10" i="6" s="1"/>
  <c r="E30" i="2"/>
  <c r="F9" i="6" s="1"/>
  <c r="E29" i="2"/>
  <c r="F8" i="6" s="1"/>
  <c r="F18" i="6" l="1"/>
  <c r="G17" i="6" s="1"/>
  <c r="G15" i="6"/>
  <c r="G10" i="6"/>
  <c r="G8" i="6"/>
  <c r="G13" i="6"/>
  <c r="G16" i="6"/>
  <c r="E39" i="2"/>
  <c r="G12" i="6"/>
  <c r="G9" i="6"/>
  <c r="G14" i="6" l="1"/>
  <c r="G11" i="6"/>
</calcChain>
</file>

<file path=xl/sharedStrings.xml><?xml version="1.0" encoding="utf-8"?>
<sst xmlns="http://schemas.openxmlformats.org/spreadsheetml/2006/main" count="1049" uniqueCount="578">
  <si>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</si>
  <si>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</si>
  <si>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</si>
  <si>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</si>
  <si>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이 v1 버전은 F-007, F-024 두 서식만 완전히 구현되어 있습니다. 나머지 서식은 '구현상태' 열에 표시된 대로 순차 추가 예정입니다.</t>
  </si>
  <si>
    <t>5.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</si>
  <si>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</si>
  <si>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</si>
  <si>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</si>
  <si>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</si>
  <si>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</si>
  <si>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</si>
  <si>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</si>
  <si>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</si>
  <si>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</si>
  <si>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</si>
  <si>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</si>
  <si>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</si>
  <si>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</si>
  <si>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</si>
  <si>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</si>
  <si>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</si>
  <si>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</si>
  <si>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</si>
  <si>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</si>
  <si>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</si>
  <si>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</si>
  <si>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(목록 확정 전 — 자유 입력)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</si>
  <si>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</si>
  <si>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</si>
  <si>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</si>
  <si>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</si>
  <si>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</si>
  <si>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</si>
  <si>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</si>
  <si>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</si>
  <si>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</si>
  <si>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</si>
  <si>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</si>
  <si>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</si>
  <si>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</si>
  <si>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</si>
  <si>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</si>
  <si>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</si>
  <si>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</si>
  <si>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</si>
  <si>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</si>
  <si>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</si>
  <si>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</si>
  <si>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</si>
  <si>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</si>
  <si>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</si>
  <si>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</si>
  <si>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</si>
  <si>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</si>
  <si>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</si>
  <si>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</si>
  <si>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</si>
  <si>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</si>
  <si>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</si>
  <si>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</si>
  <si>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</si>
  <si>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</si>
  <si>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</si>
  <si>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</si>
  <si>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</si>
  <si>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</si>
  <si>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</si>
  <si>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</si>
  <si>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</si>
  <si>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</si>
  <si>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</si>
  <si>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</si>
  <si>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</si>
  <si>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</si>
  <si>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</si>
  <si>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</si>
  <si>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</si>
  <si>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</si>
  <si>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</si>
  <si>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</si>
  <si>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</si>
  <si>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</si>
  <si>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</si>
  <si>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</si>
  <si>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</si>
  <si>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</si>
  <si>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</si>
  <si>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</si>
  <si>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</si>
  <si>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</si>
  <si>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</si>
  <si>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</si>
  <si>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</si>
  <si>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</si>
  <si>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</si>
  <si>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</si>
  <si>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</si>
  <si>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</si>
  <si>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</si>
  <si>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</si>
  <si>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</si>
  <si>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</si>
  <si>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</si>
  <si>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</si>
  <si>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</si>
  <si>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</si>
  <si>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</si>
  <si>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</si>
  <si>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</si>
  <si>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</si>
  <si>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</si>
  <si>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</si>
  <si>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</si>
  <si>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</si>
  <si>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</si>
  <si>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</si>
  <si>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</si>
  <si>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</si>
  <si>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</si>
  <si>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</si>
  <si>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</si>
  <si>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</si>
  <si>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</si>
  <si>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</si>
  <si>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</si>
  <si>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</si>
  <si>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</si>
  <si>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</si>
  <si>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</si>
  <si>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</si>
  <si>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</si>
  <si>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</si>
  <si>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</si>
  <si>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</si>
  <si>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</si>
  <si>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</si>
  <si>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</si>
  <si>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</si>
  <si>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</si>
  <si>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</si>
  <si>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</si>
  <si>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</si>
  <si>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</si>
  <si>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</si>
  <si>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</si>
  <si>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</si>
  <si>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</si>
  <si>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</si>
  <si>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</si>
  <si>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</si>
  <si>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</si>
  <si>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</si>
  <si>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</si>
  <si>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</si>
  <si>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</si>
  <si>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</si>
  <si>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</si>
  <si>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</si>
  <si>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</si>
  <si>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</si>
  <si>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</si>
  <si>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</si>
  <si>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</si>
  <si>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</si>
  <si>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</si>
  <si>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</si>
  <si>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</si>
  <si>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</si>
  <si>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</si>
  <si>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</si>
  <si>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</si>
  <si>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</si>
  <si>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</si>
  <si>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</si>
  <si>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</si>
  <si>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</si>
  <si>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</si>
  <si>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</si>
  <si>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</si>
  <si>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</si>
  <si>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</si>
  <si>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</si>
  <si>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</si>
  <si>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</si>
  <si>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</si>
  <si>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</si>
  <si>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</si>
  <si>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</si>
  <si>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</si>
  <si>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[구조 초안 — HWPX 원본 문안 대조 검증 필요]</t>
  </si>
  <si>
    <t>교복 학교주관구매 구매 요청(안)</t>
  </si>
  <si>
    <t>시행일자</t>
  </si>
  <si>
    <t>수  신</t>
  </si>
  <si>
    <t>제  목</t>
  </si>
  <si>
    <t>1. 구매명</t>
  </si>
  <si>
    <t>2. 구매 학년</t>
  </si>
  <si>
    <t>3. 기초금액</t>
  </si>
  <si>
    <t>4. 계약방식</t>
  </si>
  <si>
    <t>5. 납품기한</t>
  </si>
  <si>
    <t>붙임</t>
  </si>
  <si>
    <t xml:space="preserve">관련문서: </t>
  </si>
  <si>
    <t>담당</t>
  </si>
  <si>
    <t>행정실장</t>
  </si>
  <si>
    <t>교장</t>
  </si>
  <si>
    <t>연번</t>
  </si>
  <si>
    <t>금액(원)</t>
  </si>
  <si>
    <t>비율(%)</t>
  </si>
  <si>
    <t>합계</t>
  </si>
  <si>
    <t>번호</t>
  </si>
  <si>
    <t>지역</t>
  </si>
  <si>
    <t>급별</t>
  </si>
  <si>
    <t>설립</t>
  </si>
  <si>
    <t>주소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</si>
  <si>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</si>
  <si>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</si>
  <si>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</si>
  <si>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</si>
  <si>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</si>
  <si>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</si>
  <si>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</si>
  <si>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</si>
  <si>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</si>
  <si>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</si>
  <si>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</si>
  <si>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</si>
  <si>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</si>
  <si>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</si>
  <si>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</si>
  <si>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</si>
  <si>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</si>
  <si>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</si>
  <si>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</si>
  <si>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</si>
  <si>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</si>
  <si>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</si>
  <si>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</si>
  <si>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</si>
  <si>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</si>
  <si>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</si>
  <si>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</si>
  <si>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</si>
  <si>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</si>
  <si>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</si>
  <si>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</si>
  <si>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</si>
  <si>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</si>
  <si>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</si>
  <si>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</si>
  <si>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</si>
  <si>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</si>
  <si>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</si>
  <si>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</si>
  <si>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</si>
  <si>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</si>
  <si>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</si>
  <si>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</si>
  <si>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</si>
  <si>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</si>
  <si>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</si>
  <si>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</si>
  <si>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</si>
  <si>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</si>
  <si>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</si>
  <si>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</si>
  <si>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</si>
  <si>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</si>
  <si>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</si>
  <si>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</si>
  <si>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</si>
  <si>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</si>
  <si>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</si>
  <si>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</si>
  <si>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</si>
  <si>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</si>
  <si>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</si>
  <si>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</si>
  <si>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</si>
  <si>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</si>
  <si>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</si>
  <si>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</si>
  <si>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</si>
  <si>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</si>
  <si>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</si>
  <si>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</si>
  <si>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</si>
  <si>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</si>
  <si>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</si>
  <si>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</si>
  <si>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</si>
  <si>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</si>
  <si>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</si>
  <si>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</si>
  <si>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</si>
  <si>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</si>
  <si>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</si>
  <si>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</si>
  <si>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</si>
  <si>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</si>
  <si>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</si>
  <si>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</si>
  <si>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</si>
  <si>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</si>
  <si>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</si>
  <si>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</si>
  <si>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</si>
  <si>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</si>
  <si>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</si>
  <si>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</si>
  <si>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</si>
  <si>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</si>
  <si>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</si>
  <si>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</si>
  <si>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</si>
  <si>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</si>
  <si>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</si>
  <si>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</si>
  <si>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</si>
  <si>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</si>
  <si>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</si>
  <si>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</si>
  <si>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</si>
  <si>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</si>
  <si>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</si>
  <si>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</si>
  <si>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</si>
  <si>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</si>
  <si>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</si>
  <si>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</si>
  <si>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</si>
  <si>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</si>
  <si>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</si>
  <si>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</si>
  <si>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</si>
  <si>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</si>
  <si>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</si>
  <si>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</si>
  <si>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</si>
  <si>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</si>
  <si>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</si>
  <si>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</si>
  <si>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</si>
  <si>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</si>
  <si>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</si>
  <si>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</si>
  <si>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</si>
  <si>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</si>
  <si>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</si>
  <si>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</si>
  <si>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</si>
  <si>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</si>
  <si>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</si>
  <si>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</si>
  <si>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</si>
  <si>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</si>
  <si>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</si>
  <si>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</si>
  <si>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</si>
  <si>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</si>
  <si>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</si>
  <si>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</si>
  <si>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</si>
  <si>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</si>
  <si>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</si>
  <si>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</si>
  <si>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</si>
  <si>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</si>
  <si>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</si>
  <si>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</si>
  <si>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</si>
  <si>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</si>
  <si>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</si>
  <si>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</si>
  <si>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</si>
  <si>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</si>
  <si>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</si>
  <si>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</si>
  <si>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</si>
  <si>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</si>
  <si>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</si>
  <si>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</si>
  <si>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</si>
  <si>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</si>
  <si>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</si>
  <si>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</si>
  <si>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</si>
  <si>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</si>
  <si>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</si>
  <si>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</si>
  <si>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</si>
  <si>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</si>
  <si>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</si>
  <si>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</si>
  <si>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</si>
  <si>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</si>
  <si>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</si>
  <si>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</si>
  <si>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</si>
  <si>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</si>
  <si>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</si>
  <si>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</si>
  <si>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</si>
  <si>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</si>
  <si>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</si>
  <si>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</si>
  <si>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</si>
  <si>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</si>
  <si>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</si>
  <si>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</si>
  <si>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</si>
  <si>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</si>
  <si>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</si>
  <si>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</si>
  <si>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</si>
  <si>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</si>
  <si>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</si>
  <si>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</si>
  <si>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</si>
  <si>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</si>
  <si>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</si>
  <si>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</si>
  <si>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</si>
  <si>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</si>
  <si>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</si>
  <si>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</si>
  <si>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</si>
  <si>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</si>
  <si>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</si>
  <si>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</si>
  <si>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</si>
  <si>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</si>
  <si>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</si>
  <si>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</si>
  <si>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</si>
  <si>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</si>
  <si>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</si>
  <si>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</si>
  <si>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</si>
  <si>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</si>
  <si>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</si>
  <si>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</si>
  <si>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</si>
  <si>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</si>
  <si>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</si>
  <si>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</si>
  <si>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</si>
  <si>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</si>
  <si>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</si>
  <si>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</si>
  <si>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</si>
  <si>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</si>
  <si>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</si>
  <si>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</si>
  <si>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</si>
  <si>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</si>
  <si>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</si>
  <si>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</si>
  <si>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</si>
  <si>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</si>
  <si>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</si>
  <si>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</si>
  <si>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</si>
  <si>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</si>
  <si>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</si>
  <si>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</si>
  <si>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</si>
  <si>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</si>
  <si>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</si>
  <si>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</si>
  <si>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</si>
  <si>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</si>
  <si>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</si>
  <si>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</si>
  <si>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</si>
  <si>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</si>
  <si>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</si>
  <si>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</si>
  <si>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</si>
  <si>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</si>
  <si>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</si>
  <si>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</si>
  <si>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</si>
  <si>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</si>
  <si>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</si>
  <si>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</si>
  <si>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</si>
  <si>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</si>
  <si>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</si>
  <si>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</si>
  <si>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</si>
  <si>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</si>
  <si>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</si>
  <si>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</si>
  <si>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</si>
  <si>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</si>
  <si>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</si>
  <si>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</si>
  <si>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</si>
  <si>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</si>
  <si>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</si>
  <si>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</si>
  <si>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</si>
  <si>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</si>
  <si>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</si>
  <si>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</si>
  <si>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</si>
  <si>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</si>
  <si>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</si>
  <si>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</si>
  <si>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</si>
  <si>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</si>
  <si>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</si>
  <si>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</si>
  <si>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</si>
  <si>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</si>
  <si>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</si>
  <si>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</si>
  <si>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</si>
  <si>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</si>
  <si>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</si>
  <si>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</si>
  <si>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</si>
  <si>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</si>
  <si>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</si>
  <si>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</si>
  <si>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</si>
  <si>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</si>
  <si>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</si>
  <si>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</si>
  <si>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</si>
  <si>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</si>
  <si>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</si>
  <si>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</si>
  <si>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</si>
  <si>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</si>
  <si>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</si>
  <si>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</si>
  <si>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</si>
  <si>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</si>
  <si>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</si>
  <si>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</si>
  <si>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</si>
  <si>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</si>
  <si>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</si>
  <si>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</si>
  <si>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</si>
  <si>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</si>
  <si>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</si>
  <si>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</si>
  <si>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</si>
  <si>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</si>
  <si>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</si>
  <si>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</si>
  <si>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</si>
  <si>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</si>
  <si>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</si>
  <si>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</si>
  <si>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</si>
  <si>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</si>
  <si>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</si>
  <si>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</si>
  <si>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</si>
  <si>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</si>
  <si>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</si>
  <si>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</si>
  <si>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</si>
  <si>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</si>
  <si>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</si>
  <si>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</si>
  <si>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</si>
  <si>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</si>
  <si>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</si>
  <si>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</si>
  <si>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</si>
  <si>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</si>
  <si>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</si>
  <si>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</si>
  <si>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불러온 레코드 순번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</si>
</sst>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3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rgb="FF000000"/>
      </bottom>
      <diagonal/>
    </border>
    <border>
      <left/>
      <right style="thin">
        <color rgb="FF000000"/>
      </right>
      <top style="thin">
        <color theme="9" tint="0.39997558519241921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8" fillId="0" borderId="1" xfId="0" applyFont="1" applyBorder="1">
      <alignment vertical="center"/>
    </xf>
    <xf numFmtId="0" fontId="9" fillId="0" borderId="0" xfId="0" applyFont="1">
      <alignment vertical="center"/>
    </xf>
    <xf numFmtId="1" fontId="8" fillId="0" borderId="0" xfId="0" applyNumberFormat="1" applyFont="1">
      <alignment vertical="center"/>
    </xf>
    <xf numFmtId="0" fontId="9" fillId="3" borderId="1" xfId="0" applyFont="1" applyFill="1" applyBorder="1" applyAlignment="1">
      <alignment horizontal="center" vertical="center"/>
    </xf>
    <xf numFmtId="3" fontId="8" fillId="0" borderId="1" xfId="0" applyNumberFormat="1" applyFont="1" applyBorder="1">
      <alignment vertical="center"/>
    </xf>
    <xf numFmtId="178" fontId="8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3" fontId="9" fillId="0" borderId="1" xfId="0" applyNumberFormat="1" applyFont="1" applyBorder="1">
      <alignment vertical="center"/>
    </xf>
    <xf numFmtId="0" fontId="10" fillId="4" borderId="2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vertical="center" wrapText="1"/>
    </xf>
    <xf numFmtId="0" fontId="8" fillId="5" borderId="6" xfId="0" applyFont="1" applyFill="1" applyBorder="1" applyAlignment="1">
      <alignment vertical="center" wrapText="1"/>
    </xf>
    <xf numFmtId="0" fontId="8" fillId="5" borderId="7" xfId="0" applyFont="1" applyFill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7" xfId="0" applyFont="1" applyBorder="1" applyAlignment="1">
      <alignment vertical="center" wrapText="1"/>
    </xf>
    <xf numFmtId="0" fontId="11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top" wrapText="1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  <xf numFmtId="22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FCC61-F008-4B5C-BB86-C9C3EEFFABAD}">
  <sheetPr codeName="Sheet1"/>
  <dimension ref="A1:G121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28" t="s">
        <v>209</v>
      </c>
      <c r="B1" s="29" t="s">
        <v>210</v>
      </c>
      <c r="C1" s="29" t="s">
        <v>211</v>
      </c>
      <c r="D1" s="29" t="s">
        <v>212</v>
      </c>
      <c r="E1" s="29" t="s">
        <v>55</v>
      </c>
      <c r="F1" s="29" t="s">
        <v>213</v>
      </c>
      <c r="G1" s="30" t="s">
        <v>214</v>
      </c>
    </row>
    <row r="2" spans="1:7" x14ac:dyDescent="0.4">
      <c r="A2" s="31">
        <v>808</v>
      </c>
      <c r="B2" s="32" t="s">
        <v>215</v>
      </c>
      <c r="C2" s="32" t="s">
        <v>216</v>
      </c>
      <c r="D2" s="32" t="s">
        <v>217</v>
      </c>
      <c r="E2" s="32" t="s">
        <v>218</v>
      </c>
      <c r="F2" s="32" t="s">
        <v>219</v>
      </c>
      <c r="G2" s="33" t="s">
        <v>220</v>
      </c>
    </row>
    <row r="3" spans="1:7" x14ac:dyDescent="0.4">
      <c r="A3" s="34">
        <v>807</v>
      </c>
      <c r="B3" s="35" t="s">
        <v>215</v>
      </c>
      <c r="C3" s="35" t="s">
        <v>221</v>
      </c>
      <c r="D3" s="35" t="s">
        <v>222</v>
      </c>
      <c r="E3" s="35" t="s">
        <v>223</v>
      </c>
      <c r="F3" s="35" t="s">
        <v>224</v>
      </c>
      <c r="G3" s="36" t="s">
        <v>225</v>
      </c>
    </row>
    <row r="4" spans="1:7" x14ac:dyDescent="0.4">
      <c r="A4" s="31">
        <v>806</v>
      </c>
      <c r="B4" s="32" t="s">
        <v>215</v>
      </c>
      <c r="C4" s="32" t="s">
        <v>216</v>
      </c>
      <c r="D4" s="32" t="s">
        <v>222</v>
      </c>
      <c r="E4" s="32" t="s">
        <v>226</v>
      </c>
      <c r="F4" s="32" t="s">
        <v>227</v>
      </c>
      <c r="G4" s="33" t="s">
        <v>228</v>
      </c>
    </row>
    <row r="5" spans="1:7" x14ac:dyDescent="0.4">
      <c r="A5" s="34">
        <v>805</v>
      </c>
      <c r="B5" s="35" t="s">
        <v>215</v>
      </c>
      <c r="C5" s="35" t="s">
        <v>216</v>
      </c>
      <c r="D5" s="35" t="s">
        <v>217</v>
      </c>
      <c r="E5" s="35" t="s">
        <v>229</v>
      </c>
      <c r="F5" s="35" t="s">
        <v>230</v>
      </c>
      <c r="G5" s="36" t="s">
        <v>231</v>
      </c>
    </row>
    <row r="6" spans="1:7" x14ac:dyDescent="0.4">
      <c r="A6" s="31">
        <v>804</v>
      </c>
      <c r="B6" s="32" t="s">
        <v>215</v>
      </c>
      <c r="C6" s="32" t="s">
        <v>216</v>
      </c>
      <c r="D6" s="32" t="s">
        <v>217</v>
      </c>
      <c r="E6" s="32" t="s">
        <v>232</v>
      </c>
      <c r="F6" s="32" t="s">
        <v>233</v>
      </c>
      <c r="G6" s="33" t="s">
        <v>234</v>
      </c>
    </row>
    <row r="7" spans="1:7" x14ac:dyDescent="0.4">
      <c r="A7" s="34">
        <v>803</v>
      </c>
      <c r="B7" s="35" t="s">
        <v>215</v>
      </c>
      <c r="C7" s="35" t="s">
        <v>221</v>
      </c>
      <c r="D7" s="35" t="s">
        <v>217</v>
      </c>
      <c r="E7" s="35" t="s">
        <v>235</v>
      </c>
      <c r="F7" s="35" t="s">
        <v>233</v>
      </c>
      <c r="G7" s="36" t="s">
        <v>236</v>
      </c>
    </row>
    <row r="8" spans="1:7" x14ac:dyDescent="0.4">
      <c r="A8" s="31">
        <v>802</v>
      </c>
      <c r="B8" s="32" t="s">
        <v>215</v>
      </c>
      <c r="C8" s="32" t="s">
        <v>216</v>
      </c>
      <c r="D8" s="32" t="s">
        <v>217</v>
      </c>
      <c r="E8" s="32" t="s">
        <v>237</v>
      </c>
      <c r="F8" s="32" t="s">
        <v>238</v>
      </c>
      <c r="G8" s="33" t="s">
        <v>239</v>
      </c>
    </row>
    <row r="9" spans="1:7" x14ac:dyDescent="0.4">
      <c r="A9" s="34">
        <v>801</v>
      </c>
      <c r="B9" s="35" t="s">
        <v>215</v>
      </c>
      <c r="C9" s="35" t="s">
        <v>216</v>
      </c>
      <c r="D9" s="35" t="s">
        <v>217</v>
      </c>
      <c r="E9" s="35" t="s">
        <v>240</v>
      </c>
      <c r="F9" s="35" t="s">
        <v>241</v>
      </c>
      <c r="G9" s="36" t="s">
        <v>242</v>
      </c>
    </row>
    <row r="10" spans="1:7" x14ac:dyDescent="0.4">
      <c r="A10" s="31">
        <v>800</v>
      </c>
      <c r="B10" s="32" t="s">
        <v>215</v>
      </c>
      <c r="C10" s="32" t="s">
        <v>216</v>
      </c>
      <c r="D10" s="32" t="s">
        <v>222</v>
      </c>
      <c r="E10" s="32" t="s">
        <v>243</v>
      </c>
      <c r="F10" s="32" t="s">
        <v>244</v>
      </c>
      <c r="G10" s="33" t="s">
        <v>245</v>
      </c>
    </row>
    <row r="11" spans="1:7" x14ac:dyDescent="0.4">
      <c r="A11" s="34">
        <v>799</v>
      </c>
      <c r="B11" s="35" t="s">
        <v>215</v>
      </c>
      <c r="C11" s="35" t="s">
        <v>221</v>
      </c>
      <c r="D11" s="35" t="s">
        <v>222</v>
      </c>
      <c r="E11" s="35" t="s">
        <v>246</v>
      </c>
      <c r="F11" s="35" t="s">
        <v>247</v>
      </c>
      <c r="G11" s="36" t="s">
        <v>248</v>
      </c>
    </row>
    <row r="12" spans="1:7" ht="31.2" x14ac:dyDescent="0.4">
      <c r="A12" s="31">
        <v>798</v>
      </c>
      <c r="B12" s="32" t="s">
        <v>215</v>
      </c>
      <c r="C12" s="32" t="s">
        <v>216</v>
      </c>
      <c r="D12" s="32" t="s">
        <v>249</v>
      </c>
      <c r="E12" s="32" t="s">
        <v>250</v>
      </c>
      <c r="F12" s="32" t="s">
        <v>251</v>
      </c>
      <c r="G12" s="33" t="s">
        <v>252</v>
      </c>
    </row>
    <row r="13" spans="1:7" x14ac:dyDescent="0.4">
      <c r="A13" s="34">
        <v>797</v>
      </c>
      <c r="B13" s="35" t="s">
        <v>215</v>
      </c>
      <c r="C13" s="35" t="s">
        <v>216</v>
      </c>
      <c r="D13" s="35" t="s">
        <v>217</v>
      </c>
      <c r="E13" s="35" t="s">
        <v>253</v>
      </c>
      <c r="F13" s="35" t="s">
        <v>254</v>
      </c>
      <c r="G13" s="36" t="s">
        <v>255</v>
      </c>
    </row>
    <row r="14" spans="1:7" x14ac:dyDescent="0.4">
      <c r="A14" s="31">
        <v>796</v>
      </c>
      <c r="B14" s="32" t="s">
        <v>215</v>
      </c>
      <c r="C14" s="32" t="s">
        <v>221</v>
      </c>
      <c r="D14" s="32" t="s">
        <v>217</v>
      </c>
      <c r="E14" s="32" t="s">
        <v>256</v>
      </c>
      <c r="F14" s="32" t="s">
        <v>238</v>
      </c>
      <c r="G14" s="33" t="s">
        <v>257</v>
      </c>
    </row>
    <row r="15" spans="1:7" x14ac:dyDescent="0.4">
      <c r="A15" s="34">
        <v>795</v>
      </c>
      <c r="B15" s="35" t="s">
        <v>215</v>
      </c>
      <c r="C15" s="35" t="s">
        <v>216</v>
      </c>
      <c r="D15" s="35" t="s">
        <v>217</v>
      </c>
      <c r="E15" s="35" t="s">
        <v>258</v>
      </c>
      <c r="F15" s="35" t="s">
        <v>259</v>
      </c>
      <c r="G15" s="36" t="s">
        <v>260</v>
      </c>
    </row>
    <row r="16" spans="1:7" x14ac:dyDescent="0.4">
      <c r="A16" s="31">
        <v>794</v>
      </c>
      <c r="B16" s="32" t="s">
        <v>215</v>
      </c>
      <c r="C16" s="32" t="s">
        <v>221</v>
      </c>
      <c r="D16" s="32" t="s">
        <v>222</v>
      </c>
      <c r="E16" s="32" t="s">
        <v>261</v>
      </c>
      <c r="F16" s="32" t="s">
        <v>262</v>
      </c>
      <c r="G16" s="33" t="s">
        <v>263</v>
      </c>
    </row>
    <row r="17" spans="1:7" x14ac:dyDescent="0.4">
      <c r="A17" s="34">
        <v>793</v>
      </c>
      <c r="B17" s="35" t="s">
        <v>215</v>
      </c>
      <c r="C17" s="35" t="s">
        <v>216</v>
      </c>
      <c r="D17" s="35" t="s">
        <v>222</v>
      </c>
      <c r="E17" s="35" t="s">
        <v>264</v>
      </c>
      <c r="F17" s="35" t="s">
        <v>265</v>
      </c>
      <c r="G17" s="36" t="s">
        <v>266</v>
      </c>
    </row>
    <row r="18" spans="1:7" x14ac:dyDescent="0.4">
      <c r="A18" s="31">
        <v>792</v>
      </c>
      <c r="B18" s="32" t="s">
        <v>215</v>
      </c>
      <c r="C18" s="32" t="s">
        <v>221</v>
      </c>
      <c r="D18" s="32" t="s">
        <v>222</v>
      </c>
      <c r="E18" s="32" t="s">
        <v>267</v>
      </c>
      <c r="F18" s="32" t="s">
        <v>268</v>
      </c>
      <c r="G18" s="33" t="s">
        <v>269</v>
      </c>
    </row>
    <row r="19" spans="1:7" x14ac:dyDescent="0.4">
      <c r="A19" s="34">
        <v>791</v>
      </c>
      <c r="B19" s="35" t="s">
        <v>215</v>
      </c>
      <c r="C19" s="35" t="s">
        <v>216</v>
      </c>
      <c r="D19" s="35" t="s">
        <v>222</v>
      </c>
      <c r="E19" s="35" t="s">
        <v>270</v>
      </c>
      <c r="F19" s="35" t="s">
        <v>271</v>
      </c>
      <c r="G19" s="36" t="s">
        <v>272</v>
      </c>
    </row>
    <row r="20" spans="1:7" ht="31.2" x14ac:dyDescent="0.4">
      <c r="A20" s="31">
        <v>790</v>
      </c>
      <c r="B20" s="32" t="s">
        <v>215</v>
      </c>
      <c r="C20" s="32" t="s">
        <v>273</v>
      </c>
      <c r="D20" s="32" t="s">
        <v>249</v>
      </c>
      <c r="E20" s="32" t="s">
        <v>274</v>
      </c>
      <c r="F20" s="32" t="s">
        <v>275</v>
      </c>
      <c r="G20" s="33" t="s">
        <v>276</v>
      </c>
    </row>
    <row r="21" spans="1:7" x14ac:dyDescent="0.4">
      <c r="A21" s="34">
        <v>789</v>
      </c>
      <c r="B21" s="35" t="s">
        <v>215</v>
      </c>
      <c r="C21" s="35" t="s">
        <v>216</v>
      </c>
      <c r="D21" s="35" t="s">
        <v>217</v>
      </c>
      <c r="E21" s="35" t="s">
        <v>277</v>
      </c>
      <c r="F21" s="35" t="s">
        <v>278</v>
      </c>
      <c r="G21" s="36" t="s">
        <v>279</v>
      </c>
    </row>
    <row r="22" spans="1:7" x14ac:dyDescent="0.4">
      <c r="A22" s="31">
        <v>788</v>
      </c>
      <c r="B22" s="32" t="s">
        <v>215</v>
      </c>
      <c r="C22" s="32" t="s">
        <v>221</v>
      </c>
      <c r="D22" s="32" t="s">
        <v>217</v>
      </c>
      <c r="E22" s="32" t="s">
        <v>280</v>
      </c>
      <c r="F22" s="32" t="s">
        <v>278</v>
      </c>
      <c r="G22" s="33" t="s">
        <v>281</v>
      </c>
    </row>
    <row r="23" spans="1:7" x14ac:dyDescent="0.4">
      <c r="A23" s="34">
        <v>787</v>
      </c>
      <c r="B23" s="35" t="s">
        <v>215</v>
      </c>
      <c r="C23" s="35" t="s">
        <v>273</v>
      </c>
      <c r="D23" s="35" t="s">
        <v>222</v>
      </c>
      <c r="E23" s="35" t="s">
        <v>282</v>
      </c>
      <c r="F23" s="35" t="s">
        <v>283</v>
      </c>
      <c r="G23" s="36" t="s">
        <v>284</v>
      </c>
    </row>
    <row r="24" spans="1:7" x14ac:dyDescent="0.4">
      <c r="A24" s="31">
        <v>786</v>
      </c>
      <c r="B24" s="32" t="s">
        <v>215</v>
      </c>
      <c r="C24" s="32" t="s">
        <v>273</v>
      </c>
      <c r="D24" s="32" t="s">
        <v>222</v>
      </c>
      <c r="E24" s="32" t="s">
        <v>285</v>
      </c>
      <c r="F24" s="32" t="s">
        <v>286</v>
      </c>
      <c r="G24" s="33" t="s">
        <v>287</v>
      </c>
    </row>
    <row r="25" spans="1:7" x14ac:dyDescent="0.4">
      <c r="A25" s="34">
        <v>785</v>
      </c>
      <c r="B25" s="35" t="s">
        <v>215</v>
      </c>
      <c r="C25" s="35" t="s">
        <v>221</v>
      </c>
      <c r="D25" s="35" t="s">
        <v>222</v>
      </c>
      <c r="E25" s="35" t="s">
        <v>288</v>
      </c>
      <c r="F25" s="35" t="s">
        <v>289</v>
      </c>
      <c r="G25" s="36" t="s">
        <v>290</v>
      </c>
    </row>
    <row r="26" spans="1:7" x14ac:dyDescent="0.4">
      <c r="A26" s="31">
        <v>784</v>
      </c>
      <c r="B26" s="32" t="s">
        <v>215</v>
      </c>
      <c r="C26" s="32" t="s">
        <v>273</v>
      </c>
      <c r="D26" s="32" t="s">
        <v>222</v>
      </c>
      <c r="E26" s="32" t="s">
        <v>291</v>
      </c>
      <c r="F26" s="32" t="s">
        <v>292</v>
      </c>
      <c r="G26" s="33" t="s">
        <v>293</v>
      </c>
    </row>
    <row r="27" spans="1:7" x14ac:dyDescent="0.4">
      <c r="A27" s="34">
        <v>783</v>
      </c>
      <c r="B27" s="35" t="s">
        <v>215</v>
      </c>
      <c r="C27" s="35" t="s">
        <v>216</v>
      </c>
      <c r="D27" s="35" t="s">
        <v>217</v>
      </c>
      <c r="E27" s="35" t="s">
        <v>294</v>
      </c>
      <c r="F27" s="35" t="s">
        <v>295</v>
      </c>
      <c r="G27" s="36" t="s">
        <v>296</v>
      </c>
    </row>
    <row r="28" spans="1:7" x14ac:dyDescent="0.4">
      <c r="A28" s="31">
        <v>782</v>
      </c>
      <c r="B28" s="32" t="s">
        <v>215</v>
      </c>
      <c r="C28" s="32" t="s">
        <v>221</v>
      </c>
      <c r="D28" s="32" t="s">
        <v>217</v>
      </c>
      <c r="E28" s="32" t="s">
        <v>297</v>
      </c>
      <c r="F28" s="32" t="s">
        <v>295</v>
      </c>
      <c r="G28" s="33" t="s">
        <v>298</v>
      </c>
    </row>
    <row r="29" spans="1:7" x14ac:dyDescent="0.4">
      <c r="A29" s="34">
        <v>781</v>
      </c>
      <c r="B29" s="35" t="s">
        <v>215</v>
      </c>
      <c r="C29" s="35" t="s">
        <v>221</v>
      </c>
      <c r="D29" s="35" t="s">
        <v>222</v>
      </c>
      <c r="E29" s="35" t="s">
        <v>299</v>
      </c>
      <c r="F29" s="35" t="s">
        <v>300</v>
      </c>
      <c r="G29" s="36" t="s">
        <v>301</v>
      </c>
    </row>
    <row r="30" spans="1:7" x14ac:dyDescent="0.4">
      <c r="A30" s="31">
        <v>780</v>
      </c>
      <c r="B30" s="32" t="s">
        <v>215</v>
      </c>
      <c r="C30" s="32" t="s">
        <v>273</v>
      </c>
      <c r="D30" s="32" t="s">
        <v>222</v>
      </c>
      <c r="E30" s="32" t="s">
        <v>302</v>
      </c>
      <c r="F30" s="32" t="s">
        <v>303</v>
      </c>
      <c r="G30" s="33" t="s">
        <v>304</v>
      </c>
    </row>
    <row r="31" spans="1:7" x14ac:dyDescent="0.4">
      <c r="A31" s="34">
        <v>779</v>
      </c>
      <c r="B31" s="35" t="s">
        <v>215</v>
      </c>
      <c r="C31" s="35" t="s">
        <v>273</v>
      </c>
      <c r="D31" s="35" t="s">
        <v>222</v>
      </c>
      <c r="E31" s="35" t="s">
        <v>305</v>
      </c>
      <c r="F31" s="35" t="s">
        <v>306</v>
      </c>
      <c r="G31" s="36" t="s">
        <v>307</v>
      </c>
    </row>
    <row r="32" spans="1:7" x14ac:dyDescent="0.4">
      <c r="A32" s="31">
        <v>778</v>
      </c>
      <c r="B32" s="32" t="s">
        <v>215</v>
      </c>
      <c r="C32" s="32" t="s">
        <v>273</v>
      </c>
      <c r="D32" s="32" t="s">
        <v>222</v>
      </c>
      <c r="E32" s="32" t="s">
        <v>308</v>
      </c>
      <c r="F32" s="32" t="s">
        <v>309</v>
      </c>
      <c r="G32" s="33" t="s">
        <v>310</v>
      </c>
    </row>
    <row r="33" spans="1:7" ht="31.2" x14ac:dyDescent="0.4">
      <c r="A33" s="34">
        <v>777</v>
      </c>
      <c r="B33" s="35" t="s">
        <v>215</v>
      </c>
      <c r="C33" s="35" t="s">
        <v>216</v>
      </c>
      <c r="D33" s="35" t="s">
        <v>217</v>
      </c>
      <c r="E33" s="35" t="s">
        <v>311</v>
      </c>
      <c r="F33" s="35" t="s">
        <v>312</v>
      </c>
      <c r="G33" s="36" t="s">
        <v>313</v>
      </c>
    </row>
    <row r="34" spans="1:7" x14ac:dyDescent="0.4">
      <c r="A34" s="31">
        <v>776</v>
      </c>
      <c r="B34" s="32" t="s">
        <v>215</v>
      </c>
      <c r="C34" s="32" t="s">
        <v>221</v>
      </c>
      <c r="D34" s="32" t="s">
        <v>222</v>
      </c>
      <c r="E34" s="32" t="s">
        <v>314</v>
      </c>
      <c r="F34" s="32" t="s">
        <v>315</v>
      </c>
      <c r="G34" s="33" t="s">
        <v>316</v>
      </c>
    </row>
    <row r="35" spans="1:7" x14ac:dyDescent="0.4">
      <c r="A35" s="34">
        <v>775</v>
      </c>
      <c r="B35" s="35" t="s">
        <v>215</v>
      </c>
      <c r="C35" s="35" t="s">
        <v>273</v>
      </c>
      <c r="D35" s="35" t="s">
        <v>222</v>
      </c>
      <c r="E35" s="35" t="s">
        <v>317</v>
      </c>
      <c r="F35" s="35" t="s">
        <v>318</v>
      </c>
      <c r="G35" s="36" t="s">
        <v>319</v>
      </c>
    </row>
    <row r="36" spans="1:7" x14ac:dyDescent="0.4">
      <c r="A36" s="31">
        <v>774</v>
      </c>
      <c r="B36" s="32" t="s">
        <v>215</v>
      </c>
      <c r="C36" s="32" t="s">
        <v>221</v>
      </c>
      <c r="D36" s="32" t="s">
        <v>217</v>
      </c>
      <c r="E36" s="32" t="s">
        <v>320</v>
      </c>
      <c r="F36" s="32" t="s">
        <v>321</v>
      </c>
      <c r="G36" s="33" t="s">
        <v>322</v>
      </c>
    </row>
    <row r="37" spans="1:7" x14ac:dyDescent="0.4">
      <c r="A37" s="34">
        <v>773</v>
      </c>
      <c r="B37" s="35" t="s">
        <v>215</v>
      </c>
      <c r="C37" s="35" t="s">
        <v>273</v>
      </c>
      <c r="D37" s="35" t="s">
        <v>222</v>
      </c>
      <c r="E37" s="35" t="s">
        <v>323</v>
      </c>
      <c r="F37" s="35" t="s">
        <v>324</v>
      </c>
      <c r="G37" s="36" t="s">
        <v>325</v>
      </c>
    </row>
    <row r="38" spans="1:7" x14ac:dyDescent="0.4">
      <c r="A38" s="31">
        <v>772</v>
      </c>
      <c r="B38" s="32" t="s">
        <v>215</v>
      </c>
      <c r="C38" s="32" t="s">
        <v>273</v>
      </c>
      <c r="D38" s="32" t="s">
        <v>222</v>
      </c>
      <c r="E38" s="32" t="s">
        <v>326</v>
      </c>
      <c r="F38" s="32" t="s">
        <v>327</v>
      </c>
      <c r="G38" s="33" t="s">
        <v>328</v>
      </c>
    </row>
    <row r="39" spans="1:7" x14ac:dyDescent="0.4">
      <c r="A39" s="34">
        <v>771</v>
      </c>
      <c r="B39" s="35" t="s">
        <v>215</v>
      </c>
      <c r="C39" s="35" t="s">
        <v>273</v>
      </c>
      <c r="D39" s="35" t="s">
        <v>222</v>
      </c>
      <c r="E39" s="35" t="s">
        <v>329</v>
      </c>
      <c r="F39" s="35" t="s">
        <v>330</v>
      </c>
      <c r="G39" s="36" t="s">
        <v>331</v>
      </c>
    </row>
    <row r="40" spans="1:7" x14ac:dyDescent="0.4">
      <c r="A40" s="31">
        <v>770</v>
      </c>
      <c r="B40" s="32" t="s">
        <v>215</v>
      </c>
      <c r="C40" s="32" t="s">
        <v>221</v>
      </c>
      <c r="D40" s="32" t="s">
        <v>222</v>
      </c>
      <c r="E40" s="32" t="s">
        <v>332</v>
      </c>
      <c r="F40" s="32" t="s">
        <v>333</v>
      </c>
      <c r="G40" s="33" t="s">
        <v>334</v>
      </c>
    </row>
    <row r="41" spans="1:7" x14ac:dyDescent="0.4">
      <c r="A41" s="34">
        <v>769</v>
      </c>
      <c r="B41" s="35" t="s">
        <v>215</v>
      </c>
      <c r="C41" s="35" t="s">
        <v>273</v>
      </c>
      <c r="D41" s="35" t="s">
        <v>222</v>
      </c>
      <c r="E41" s="35" t="s">
        <v>335</v>
      </c>
      <c r="F41" s="35" t="s">
        <v>336</v>
      </c>
      <c r="G41" s="36" t="s">
        <v>337</v>
      </c>
    </row>
    <row r="42" spans="1:7" x14ac:dyDescent="0.4">
      <c r="A42" s="31">
        <v>768</v>
      </c>
      <c r="B42" s="32" t="s">
        <v>215</v>
      </c>
      <c r="C42" s="32" t="s">
        <v>221</v>
      </c>
      <c r="D42" s="32" t="s">
        <v>222</v>
      </c>
      <c r="E42" s="32" t="s">
        <v>338</v>
      </c>
      <c r="F42" s="32" t="s">
        <v>339</v>
      </c>
      <c r="G42" s="33" t="s">
        <v>340</v>
      </c>
    </row>
    <row r="43" spans="1:7" x14ac:dyDescent="0.4">
      <c r="A43" s="34">
        <v>767</v>
      </c>
      <c r="B43" s="35" t="s">
        <v>215</v>
      </c>
      <c r="C43" s="35" t="s">
        <v>273</v>
      </c>
      <c r="D43" s="35" t="s">
        <v>222</v>
      </c>
      <c r="E43" s="35" t="s">
        <v>341</v>
      </c>
      <c r="F43" s="35" t="s">
        <v>342</v>
      </c>
      <c r="G43" s="36" t="s">
        <v>343</v>
      </c>
    </row>
    <row r="44" spans="1:7" x14ac:dyDescent="0.4">
      <c r="A44" s="31">
        <v>766</v>
      </c>
      <c r="B44" s="32" t="s">
        <v>215</v>
      </c>
      <c r="C44" s="32" t="s">
        <v>273</v>
      </c>
      <c r="D44" s="32" t="s">
        <v>222</v>
      </c>
      <c r="E44" s="32" t="s">
        <v>344</v>
      </c>
      <c r="F44" s="32" t="s">
        <v>345</v>
      </c>
      <c r="G44" s="33" t="s">
        <v>346</v>
      </c>
    </row>
    <row r="45" spans="1:7" x14ac:dyDescent="0.4">
      <c r="A45" s="34">
        <v>765</v>
      </c>
      <c r="B45" s="35" t="s">
        <v>215</v>
      </c>
      <c r="C45" s="35" t="s">
        <v>273</v>
      </c>
      <c r="D45" s="35" t="s">
        <v>222</v>
      </c>
      <c r="E45" s="35" t="s">
        <v>347</v>
      </c>
      <c r="F45" s="35" t="s">
        <v>348</v>
      </c>
      <c r="G45" s="36" t="s">
        <v>349</v>
      </c>
    </row>
    <row r="46" spans="1:7" x14ac:dyDescent="0.4">
      <c r="A46" s="31">
        <v>764</v>
      </c>
      <c r="B46" s="32" t="s">
        <v>215</v>
      </c>
      <c r="C46" s="32" t="s">
        <v>273</v>
      </c>
      <c r="D46" s="32" t="s">
        <v>222</v>
      </c>
      <c r="E46" s="32" t="s">
        <v>350</v>
      </c>
      <c r="F46" s="32" t="s">
        <v>351</v>
      </c>
      <c r="G46" s="33" t="s">
        <v>352</v>
      </c>
    </row>
    <row r="47" spans="1:7" x14ac:dyDescent="0.4">
      <c r="A47" s="34">
        <v>763</v>
      </c>
      <c r="B47" s="35" t="s">
        <v>215</v>
      </c>
      <c r="C47" s="35" t="s">
        <v>273</v>
      </c>
      <c r="D47" s="35" t="s">
        <v>222</v>
      </c>
      <c r="E47" s="35" t="s">
        <v>353</v>
      </c>
      <c r="F47" s="35" t="s">
        <v>354</v>
      </c>
      <c r="G47" s="36" t="s">
        <v>355</v>
      </c>
    </row>
    <row r="48" spans="1:7" x14ac:dyDescent="0.4">
      <c r="A48" s="31">
        <v>762</v>
      </c>
      <c r="B48" s="32" t="s">
        <v>215</v>
      </c>
      <c r="C48" s="32" t="s">
        <v>273</v>
      </c>
      <c r="D48" s="32" t="s">
        <v>222</v>
      </c>
      <c r="E48" s="32" t="s">
        <v>356</v>
      </c>
      <c r="F48" s="32" t="s">
        <v>357</v>
      </c>
      <c r="G48" s="33" t="s">
        <v>358</v>
      </c>
    </row>
    <row r="49" spans="1:7" x14ac:dyDescent="0.4">
      <c r="A49" s="34">
        <v>761</v>
      </c>
      <c r="B49" s="35" t="s">
        <v>215</v>
      </c>
      <c r="C49" s="35" t="s">
        <v>273</v>
      </c>
      <c r="D49" s="35" t="s">
        <v>222</v>
      </c>
      <c r="E49" s="35" t="s">
        <v>359</v>
      </c>
      <c r="F49" s="35" t="s">
        <v>360</v>
      </c>
      <c r="G49" s="36" t="s">
        <v>361</v>
      </c>
    </row>
    <row r="50" spans="1:7" x14ac:dyDescent="0.4">
      <c r="A50" s="31">
        <v>760</v>
      </c>
      <c r="B50" s="32" t="s">
        <v>215</v>
      </c>
      <c r="C50" s="32" t="s">
        <v>273</v>
      </c>
      <c r="D50" s="32" t="s">
        <v>222</v>
      </c>
      <c r="E50" s="32" t="s">
        <v>362</v>
      </c>
      <c r="F50" s="32" t="s">
        <v>363</v>
      </c>
      <c r="G50" s="33" t="s">
        <v>364</v>
      </c>
    </row>
    <row r="51" spans="1:7" x14ac:dyDescent="0.4">
      <c r="A51" s="34">
        <v>759</v>
      </c>
      <c r="B51" s="35" t="s">
        <v>215</v>
      </c>
      <c r="C51" s="35" t="s">
        <v>273</v>
      </c>
      <c r="D51" s="35" t="s">
        <v>222</v>
      </c>
      <c r="E51" s="35" t="s">
        <v>365</v>
      </c>
      <c r="F51" s="35" t="s">
        <v>366</v>
      </c>
      <c r="G51" s="36" t="s">
        <v>367</v>
      </c>
    </row>
    <row r="52" spans="1:7" x14ac:dyDescent="0.4">
      <c r="A52" s="31">
        <v>758</v>
      </c>
      <c r="B52" s="32" t="s">
        <v>215</v>
      </c>
      <c r="C52" s="32" t="s">
        <v>273</v>
      </c>
      <c r="D52" s="32" t="s">
        <v>222</v>
      </c>
      <c r="E52" s="32" t="s">
        <v>368</v>
      </c>
      <c r="F52" s="32" t="s">
        <v>369</v>
      </c>
      <c r="G52" s="33" t="s">
        <v>370</v>
      </c>
    </row>
    <row r="53" spans="1:7" x14ac:dyDescent="0.4">
      <c r="A53" s="34">
        <v>757</v>
      </c>
      <c r="B53" s="35" t="s">
        <v>215</v>
      </c>
      <c r="C53" s="35" t="s">
        <v>216</v>
      </c>
      <c r="D53" s="35" t="s">
        <v>222</v>
      </c>
      <c r="E53" s="35" t="s">
        <v>371</v>
      </c>
      <c r="F53" s="35" t="s">
        <v>372</v>
      </c>
      <c r="G53" s="36" t="s">
        <v>373</v>
      </c>
    </row>
    <row r="54" spans="1:7" x14ac:dyDescent="0.4">
      <c r="A54" s="31">
        <v>756</v>
      </c>
      <c r="B54" s="32" t="s">
        <v>215</v>
      </c>
      <c r="C54" s="32" t="s">
        <v>374</v>
      </c>
      <c r="D54" s="32" t="s">
        <v>222</v>
      </c>
      <c r="E54" s="32" t="s">
        <v>375</v>
      </c>
      <c r="F54" s="32" t="s">
        <v>376</v>
      </c>
      <c r="G54" s="33" t="s">
        <v>377</v>
      </c>
    </row>
    <row r="55" spans="1:7" x14ac:dyDescent="0.4">
      <c r="A55" s="34">
        <v>755</v>
      </c>
      <c r="B55" s="35" t="s">
        <v>215</v>
      </c>
      <c r="C55" s="35" t="s">
        <v>374</v>
      </c>
      <c r="D55" s="35" t="s">
        <v>222</v>
      </c>
      <c r="E55" s="35" t="s">
        <v>378</v>
      </c>
      <c r="F55" s="35" t="s">
        <v>379</v>
      </c>
      <c r="G55" s="36" t="s">
        <v>380</v>
      </c>
    </row>
    <row r="56" spans="1:7" x14ac:dyDescent="0.4">
      <c r="A56" s="31">
        <v>754</v>
      </c>
      <c r="B56" s="32" t="s">
        <v>215</v>
      </c>
      <c r="C56" s="32" t="s">
        <v>273</v>
      </c>
      <c r="D56" s="32" t="s">
        <v>222</v>
      </c>
      <c r="E56" s="32" t="s">
        <v>381</v>
      </c>
      <c r="F56" s="32" t="s">
        <v>382</v>
      </c>
      <c r="G56" s="33" t="s">
        <v>383</v>
      </c>
    </row>
    <row r="57" spans="1:7" x14ac:dyDescent="0.4">
      <c r="A57" s="34">
        <v>753</v>
      </c>
      <c r="B57" s="35" t="s">
        <v>215</v>
      </c>
      <c r="C57" s="35" t="s">
        <v>216</v>
      </c>
      <c r="D57" s="35" t="s">
        <v>222</v>
      </c>
      <c r="E57" s="35" t="s">
        <v>384</v>
      </c>
      <c r="F57" s="35" t="s">
        <v>385</v>
      </c>
      <c r="G57" s="36" t="s">
        <v>386</v>
      </c>
    </row>
    <row r="58" spans="1:7" x14ac:dyDescent="0.4">
      <c r="A58" s="31">
        <v>752</v>
      </c>
      <c r="B58" s="32" t="s">
        <v>215</v>
      </c>
      <c r="C58" s="32" t="s">
        <v>221</v>
      </c>
      <c r="D58" s="32" t="s">
        <v>222</v>
      </c>
      <c r="E58" s="32" t="s">
        <v>387</v>
      </c>
      <c r="F58" s="32" t="s">
        <v>388</v>
      </c>
      <c r="G58" s="33" t="s">
        <v>389</v>
      </c>
    </row>
    <row r="59" spans="1:7" x14ac:dyDescent="0.4">
      <c r="A59" s="34">
        <v>751</v>
      </c>
      <c r="B59" s="35" t="s">
        <v>215</v>
      </c>
      <c r="C59" s="35" t="s">
        <v>273</v>
      </c>
      <c r="D59" s="35" t="s">
        <v>222</v>
      </c>
      <c r="E59" s="35" t="s">
        <v>390</v>
      </c>
      <c r="F59" s="35" t="s">
        <v>391</v>
      </c>
      <c r="G59" s="36" t="s">
        <v>392</v>
      </c>
    </row>
    <row r="60" spans="1:7" x14ac:dyDescent="0.4">
      <c r="A60" s="31">
        <v>750</v>
      </c>
      <c r="B60" s="32" t="s">
        <v>215</v>
      </c>
      <c r="C60" s="32" t="s">
        <v>273</v>
      </c>
      <c r="D60" s="32" t="s">
        <v>222</v>
      </c>
      <c r="E60" s="32" t="s">
        <v>393</v>
      </c>
      <c r="F60" s="32" t="s">
        <v>394</v>
      </c>
      <c r="G60" s="33" t="s">
        <v>395</v>
      </c>
    </row>
    <row r="61" spans="1:7" x14ac:dyDescent="0.4">
      <c r="A61" s="34">
        <v>749</v>
      </c>
      <c r="B61" s="35" t="s">
        <v>215</v>
      </c>
      <c r="C61" s="35" t="s">
        <v>221</v>
      </c>
      <c r="D61" s="35" t="s">
        <v>222</v>
      </c>
      <c r="E61" s="35" t="s">
        <v>396</v>
      </c>
      <c r="F61" s="35" t="s">
        <v>397</v>
      </c>
      <c r="G61" s="36" t="s">
        <v>398</v>
      </c>
    </row>
    <row r="62" spans="1:7" x14ac:dyDescent="0.4">
      <c r="A62" s="31">
        <v>748</v>
      </c>
      <c r="B62" s="32" t="s">
        <v>215</v>
      </c>
      <c r="C62" s="32" t="s">
        <v>273</v>
      </c>
      <c r="D62" s="32" t="s">
        <v>222</v>
      </c>
      <c r="E62" s="32" t="s">
        <v>399</v>
      </c>
      <c r="F62" s="32" t="s">
        <v>400</v>
      </c>
      <c r="G62" s="33" t="s">
        <v>401</v>
      </c>
    </row>
    <row r="63" spans="1:7" x14ac:dyDescent="0.4">
      <c r="A63" s="34">
        <v>747</v>
      </c>
      <c r="B63" s="35" t="s">
        <v>215</v>
      </c>
      <c r="C63" s="35" t="s">
        <v>273</v>
      </c>
      <c r="D63" s="35" t="s">
        <v>222</v>
      </c>
      <c r="E63" s="35" t="s">
        <v>402</v>
      </c>
      <c r="F63" s="35" t="s">
        <v>403</v>
      </c>
      <c r="G63" s="36" t="s">
        <v>404</v>
      </c>
    </row>
    <row r="64" spans="1:7" x14ac:dyDescent="0.4">
      <c r="A64" s="31">
        <v>746</v>
      </c>
      <c r="B64" s="32" t="s">
        <v>215</v>
      </c>
      <c r="C64" s="32" t="s">
        <v>273</v>
      </c>
      <c r="D64" s="32" t="s">
        <v>222</v>
      </c>
      <c r="E64" s="32" t="s">
        <v>405</v>
      </c>
      <c r="F64" s="32" t="s">
        <v>406</v>
      </c>
      <c r="G64" s="33" t="s">
        <v>407</v>
      </c>
    </row>
    <row r="65" spans="1:7" x14ac:dyDescent="0.4">
      <c r="A65" s="34">
        <v>745</v>
      </c>
      <c r="B65" s="35" t="s">
        <v>215</v>
      </c>
      <c r="C65" s="35" t="s">
        <v>221</v>
      </c>
      <c r="D65" s="35" t="s">
        <v>222</v>
      </c>
      <c r="E65" s="35" t="s">
        <v>408</v>
      </c>
      <c r="F65" s="35" t="s">
        <v>409</v>
      </c>
      <c r="G65" s="36" t="s">
        <v>410</v>
      </c>
    </row>
    <row r="66" spans="1:7" x14ac:dyDescent="0.4">
      <c r="A66" s="31">
        <v>744</v>
      </c>
      <c r="B66" s="32" t="s">
        <v>215</v>
      </c>
      <c r="C66" s="32" t="s">
        <v>273</v>
      </c>
      <c r="D66" s="32" t="s">
        <v>222</v>
      </c>
      <c r="E66" s="32" t="s">
        <v>411</v>
      </c>
      <c r="F66" s="32" t="s">
        <v>412</v>
      </c>
      <c r="G66" s="33" t="s">
        <v>413</v>
      </c>
    </row>
    <row r="67" spans="1:7" x14ac:dyDescent="0.4">
      <c r="A67" s="34">
        <v>743</v>
      </c>
      <c r="B67" s="35" t="s">
        <v>215</v>
      </c>
      <c r="C67" s="35" t="s">
        <v>414</v>
      </c>
      <c r="D67" s="35" t="s">
        <v>222</v>
      </c>
      <c r="E67" s="35" t="s">
        <v>415</v>
      </c>
      <c r="F67" s="35" t="s">
        <v>416</v>
      </c>
      <c r="G67" s="36" t="s">
        <v>417</v>
      </c>
    </row>
    <row r="68" spans="1:7" x14ac:dyDescent="0.4">
      <c r="A68" s="31">
        <v>742</v>
      </c>
      <c r="B68" s="32" t="s">
        <v>215</v>
      </c>
      <c r="C68" s="32" t="s">
        <v>216</v>
      </c>
      <c r="D68" s="32" t="s">
        <v>217</v>
      </c>
      <c r="E68" s="32" t="s">
        <v>418</v>
      </c>
      <c r="F68" s="32" t="s">
        <v>419</v>
      </c>
      <c r="G68" s="33" t="s">
        <v>420</v>
      </c>
    </row>
    <row r="69" spans="1:7" x14ac:dyDescent="0.4">
      <c r="A69" s="34">
        <v>741</v>
      </c>
      <c r="B69" s="35" t="s">
        <v>215</v>
      </c>
      <c r="C69" s="35" t="s">
        <v>221</v>
      </c>
      <c r="D69" s="35" t="s">
        <v>217</v>
      </c>
      <c r="E69" s="35" t="s">
        <v>421</v>
      </c>
      <c r="F69" s="35" t="s">
        <v>419</v>
      </c>
      <c r="G69" s="36" t="s">
        <v>422</v>
      </c>
    </row>
    <row r="70" spans="1:7" x14ac:dyDescent="0.4">
      <c r="A70" s="31">
        <v>740</v>
      </c>
      <c r="B70" s="32" t="s">
        <v>215</v>
      </c>
      <c r="C70" s="32" t="s">
        <v>374</v>
      </c>
      <c r="D70" s="32" t="s">
        <v>222</v>
      </c>
      <c r="E70" s="32" t="s">
        <v>423</v>
      </c>
      <c r="F70" s="32" t="s">
        <v>424</v>
      </c>
      <c r="G70" s="33" t="s">
        <v>425</v>
      </c>
    </row>
    <row r="71" spans="1:7" x14ac:dyDescent="0.4">
      <c r="A71" s="34">
        <v>739</v>
      </c>
      <c r="B71" s="35" t="s">
        <v>215</v>
      </c>
      <c r="C71" s="35" t="s">
        <v>216</v>
      </c>
      <c r="D71" s="35" t="s">
        <v>222</v>
      </c>
      <c r="E71" s="35" t="s">
        <v>426</v>
      </c>
      <c r="F71" s="35" t="s">
        <v>427</v>
      </c>
      <c r="G71" s="36" t="s">
        <v>428</v>
      </c>
    </row>
    <row r="72" spans="1:7" x14ac:dyDescent="0.4">
      <c r="A72" s="31">
        <v>738</v>
      </c>
      <c r="B72" s="32" t="s">
        <v>215</v>
      </c>
      <c r="C72" s="32" t="s">
        <v>221</v>
      </c>
      <c r="D72" s="32" t="s">
        <v>222</v>
      </c>
      <c r="E72" s="32" t="s">
        <v>429</v>
      </c>
      <c r="F72" s="32" t="s">
        <v>430</v>
      </c>
      <c r="G72" s="33" t="s">
        <v>431</v>
      </c>
    </row>
    <row r="73" spans="1:7" x14ac:dyDescent="0.4">
      <c r="A73" s="34">
        <v>737</v>
      </c>
      <c r="B73" s="35" t="s">
        <v>215</v>
      </c>
      <c r="C73" s="35" t="s">
        <v>273</v>
      </c>
      <c r="D73" s="35" t="s">
        <v>222</v>
      </c>
      <c r="E73" s="35" t="s">
        <v>432</v>
      </c>
      <c r="F73" s="35" t="s">
        <v>433</v>
      </c>
      <c r="G73" s="36" t="s">
        <v>434</v>
      </c>
    </row>
    <row r="74" spans="1:7" x14ac:dyDescent="0.4">
      <c r="A74" s="31">
        <v>736</v>
      </c>
      <c r="B74" s="32" t="s">
        <v>215</v>
      </c>
      <c r="C74" s="32" t="s">
        <v>273</v>
      </c>
      <c r="D74" s="32" t="s">
        <v>222</v>
      </c>
      <c r="E74" s="32" t="s">
        <v>435</v>
      </c>
      <c r="F74" s="32" t="s">
        <v>436</v>
      </c>
      <c r="G74" s="33" t="s">
        <v>437</v>
      </c>
    </row>
    <row r="75" spans="1:7" x14ac:dyDescent="0.4">
      <c r="A75" s="34">
        <v>735</v>
      </c>
      <c r="B75" s="35" t="s">
        <v>215</v>
      </c>
      <c r="C75" s="35" t="s">
        <v>273</v>
      </c>
      <c r="D75" s="35" t="s">
        <v>222</v>
      </c>
      <c r="E75" s="35" t="s">
        <v>438</v>
      </c>
      <c r="F75" s="35" t="s">
        <v>439</v>
      </c>
      <c r="G75" s="36" t="s">
        <v>440</v>
      </c>
    </row>
    <row r="76" spans="1:7" x14ac:dyDescent="0.4">
      <c r="A76" s="31">
        <v>734</v>
      </c>
      <c r="B76" s="32" t="s">
        <v>215</v>
      </c>
      <c r="C76" s="32" t="s">
        <v>273</v>
      </c>
      <c r="D76" s="32" t="s">
        <v>222</v>
      </c>
      <c r="E76" s="32" t="s">
        <v>441</v>
      </c>
      <c r="F76" s="32" t="s">
        <v>442</v>
      </c>
      <c r="G76" s="33" t="s">
        <v>443</v>
      </c>
    </row>
    <row r="77" spans="1:7" x14ac:dyDescent="0.4">
      <c r="A77" s="34">
        <v>733</v>
      </c>
      <c r="B77" s="35" t="s">
        <v>215</v>
      </c>
      <c r="C77" s="35" t="s">
        <v>273</v>
      </c>
      <c r="D77" s="35" t="s">
        <v>222</v>
      </c>
      <c r="E77" s="35" t="s">
        <v>444</v>
      </c>
      <c r="F77" s="35" t="s">
        <v>445</v>
      </c>
      <c r="G77" s="36" t="s">
        <v>446</v>
      </c>
    </row>
    <row r="78" spans="1:7" x14ac:dyDescent="0.4">
      <c r="A78" s="31">
        <v>732</v>
      </c>
      <c r="B78" s="32" t="s">
        <v>215</v>
      </c>
      <c r="C78" s="32" t="s">
        <v>221</v>
      </c>
      <c r="D78" s="32" t="s">
        <v>222</v>
      </c>
      <c r="E78" s="32" t="s">
        <v>447</v>
      </c>
      <c r="F78" s="32" t="s">
        <v>448</v>
      </c>
      <c r="G78" s="33" t="s">
        <v>449</v>
      </c>
    </row>
    <row r="79" spans="1:7" x14ac:dyDescent="0.4">
      <c r="A79" s="34">
        <v>731</v>
      </c>
      <c r="B79" s="35" t="s">
        <v>215</v>
      </c>
      <c r="C79" s="35" t="s">
        <v>216</v>
      </c>
      <c r="D79" s="35" t="s">
        <v>217</v>
      </c>
      <c r="E79" s="35" t="s">
        <v>450</v>
      </c>
      <c r="F79" s="35" t="s">
        <v>451</v>
      </c>
      <c r="G79" s="36" t="s">
        <v>452</v>
      </c>
    </row>
    <row r="80" spans="1:7" x14ac:dyDescent="0.4">
      <c r="A80" s="31">
        <v>730</v>
      </c>
      <c r="B80" s="32" t="s">
        <v>215</v>
      </c>
      <c r="C80" s="32" t="s">
        <v>221</v>
      </c>
      <c r="D80" s="32" t="s">
        <v>217</v>
      </c>
      <c r="E80" s="32" t="s">
        <v>453</v>
      </c>
      <c r="F80" s="32" t="s">
        <v>451</v>
      </c>
      <c r="G80" s="33" t="s">
        <v>454</v>
      </c>
    </row>
    <row r="81" spans="1:7" x14ac:dyDescent="0.4">
      <c r="A81" s="34">
        <v>729</v>
      </c>
      <c r="B81" s="35" t="s">
        <v>215</v>
      </c>
      <c r="C81" s="35" t="s">
        <v>374</v>
      </c>
      <c r="D81" s="35" t="s">
        <v>222</v>
      </c>
      <c r="E81" s="35" t="s">
        <v>455</v>
      </c>
      <c r="F81" s="35" t="s">
        <v>456</v>
      </c>
      <c r="G81" s="36" t="s">
        <v>457</v>
      </c>
    </row>
    <row r="82" spans="1:7" x14ac:dyDescent="0.4">
      <c r="A82" s="31">
        <v>728</v>
      </c>
      <c r="B82" s="32" t="s">
        <v>215</v>
      </c>
      <c r="C82" s="32" t="s">
        <v>221</v>
      </c>
      <c r="D82" s="32" t="s">
        <v>222</v>
      </c>
      <c r="E82" s="32" t="s">
        <v>458</v>
      </c>
      <c r="F82" s="32" t="s">
        <v>459</v>
      </c>
      <c r="G82" s="33" t="s">
        <v>460</v>
      </c>
    </row>
    <row r="83" spans="1:7" x14ac:dyDescent="0.4">
      <c r="A83" s="34">
        <v>727</v>
      </c>
      <c r="B83" s="35" t="s">
        <v>215</v>
      </c>
      <c r="C83" s="35" t="s">
        <v>273</v>
      </c>
      <c r="D83" s="35" t="s">
        <v>222</v>
      </c>
      <c r="E83" s="35" t="s">
        <v>461</v>
      </c>
      <c r="F83" s="35" t="s">
        <v>462</v>
      </c>
      <c r="G83" s="36" t="s">
        <v>463</v>
      </c>
    </row>
    <row r="84" spans="1:7" x14ac:dyDescent="0.4">
      <c r="A84" s="31">
        <v>726</v>
      </c>
      <c r="B84" s="32" t="s">
        <v>215</v>
      </c>
      <c r="C84" s="32" t="s">
        <v>221</v>
      </c>
      <c r="D84" s="32" t="s">
        <v>222</v>
      </c>
      <c r="E84" s="32" t="s">
        <v>464</v>
      </c>
      <c r="F84" s="32" t="s">
        <v>465</v>
      </c>
      <c r="G84" s="33" t="s">
        <v>466</v>
      </c>
    </row>
    <row r="85" spans="1:7" x14ac:dyDescent="0.4">
      <c r="A85" s="34">
        <v>725</v>
      </c>
      <c r="B85" s="35" t="s">
        <v>215</v>
      </c>
      <c r="C85" s="35" t="s">
        <v>273</v>
      </c>
      <c r="D85" s="35" t="s">
        <v>222</v>
      </c>
      <c r="E85" s="35" t="s">
        <v>467</v>
      </c>
      <c r="F85" s="35" t="s">
        <v>468</v>
      </c>
      <c r="G85" s="36" t="s">
        <v>469</v>
      </c>
    </row>
    <row r="86" spans="1:7" x14ac:dyDescent="0.4">
      <c r="A86" s="31">
        <v>724</v>
      </c>
      <c r="B86" s="32" t="s">
        <v>215</v>
      </c>
      <c r="C86" s="32" t="s">
        <v>221</v>
      </c>
      <c r="D86" s="32" t="s">
        <v>222</v>
      </c>
      <c r="E86" s="32" t="s">
        <v>470</v>
      </c>
      <c r="F86" s="32" t="s">
        <v>471</v>
      </c>
      <c r="G86" s="33" t="s">
        <v>472</v>
      </c>
    </row>
    <row r="87" spans="1:7" x14ac:dyDescent="0.4">
      <c r="A87" s="34">
        <v>723</v>
      </c>
      <c r="B87" s="35" t="s">
        <v>215</v>
      </c>
      <c r="C87" s="35" t="s">
        <v>273</v>
      </c>
      <c r="D87" s="35" t="s">
        <v>222</v>
      </c>
      <c r="E87" s="35" t="s">
        <v>473</v>
      </c>
      <c r="F87" s="35" t="s">
        <v>474</v>
      </c>
      <c r="G87" s="36" t="s">
        <v>475</v>
      </c>
    </row>
    <row r="88" spans="1:7" x14ac:dyDescent="0.4">
      <c r="A88" s="31">
        <v>722</v>
      </c>
      <c r="B88" s="32" t="s">
        <v>215</v>
      </c>
      <c r="C88" s="32" t="s">
        <v>273</v>
      </c>
      <c r="D88" s="32" t="s">
        <v>222</v>
      </c>
      <c r="E88" s="32" t="s">
        <v>476</v>
      </c>
      <c r="F88" s="32" t="s">
        <v>477</v>
      </c>
      <c r="G88" s="33" t="s">
        <v>478</v>
      </c>
    </row>
    <row r="89" spans="1:7" x14ac:dyDescent="0.4">
      <c r="A89" s="34">
        <v>721</v>
      </c>
      <c r="B89" s="35" t="s">
        <v>215</v>
      </c>
      <c r="C89" s="35" t="s">
        <v>216</v>
      </c>
      <c r="D89" s="35" t="s">
        <v>222</v>
      </c>
      <c r="E89" s="35" t="s">
        <v>479</v>
      </c>
      <c r="F89" s="35" t="s">
        <v>480</v>
      </c>
      <c r="G89" s="36" t="s">
        <v>481</v>
      </c>
    </row>
    <row r="90" spans="1:7" x14ac:dyDescent="0.4">
      <c r="A90" s="31">
        <v>720</v>
      </c>
      <c r="B90" s="32" t="s">
        <v>215</v>
      </c>
      <c r="C90" s="32" t="s">
        <v>216</v>
      </c>
      <c r="D90" s="32" t="s">
        <v>217</v>
      </c>
      <c r="E90" s="32" t="s">
        <v>482</v>
      </c>
      <c r="F90" s="32" t="s">
        <v>483</v>
      </c>
      <c r="G90" s="33" t="s">
        <v>484</v>
      </c>
    </row>
    <row r="91" spans="1:7" x14ac:dyDescent="0.4">
      <c r="A91" s="34">
        <v>719</v>
      </c>
      <c r="B91" s="35" t="s">
        <v>215</v>
      </c>
      <c r="C91" s="35" t="s">
        <v>221</v>
      </c>
      <c r="D91" s="35" t="s">
        <v>222</v>
      </c>
      <c r="E91" s="35" t="s">
        <v>485</v>
      </c>
      <c r="F91" s="35" t="s">
        <v>486</v>
      </c>
      <c r="G91" s="36" t="s">
        <v>487</v>
      </c>
    </row>
    <row r="92" spans="1:7" x14ac:dyDescent="0.4">
      <c r="A92" s="31">
        <v>718</v>
      </c>
      <c r="B92" s="32" t="s">
        <v>215</v>
      </c>
      <c r="C92" s="32" t="s">
        <v>273</v>
      </c>
      <c r="D92" s="32" t="s">
        <v>222</v>
      </c>
      <c r="E92" s="32" t="s">
        <v>488</v>
      </c>
      <c r="F92" s="32" t="s">
        <v>489</v>
      </c>
      <c r="G92" s="33" t="s">
        <v>490</v>
      </c>
    </row>
    <row r="93" spans="1:7" x14ac:dyDescent="0.4">
      <c r="A93" s="34">
        <v>717</v>
      </c>
      <c r="B93" s="35" t="s">
        <v>215</v>
      </c>
      <c r="C93" s="35" t="s">
        <v>221</v>
      </c>
      <c r="D93" s="35" t="s">
        <v>222</v>
      </c>
      <c r="E93" s="35" t="s">
        <v>491</v>
      </c>
      <c r="F93" s="35" t="s">
        <v>492</v>
      </c>
      <c r="G93" s="36" t="s">
        <v>493</v>
      </c>
    </row>
    <row r="94" spans="1:7" x14ac:dyDescent="0.4">
      <c r="A94" s="31">
        <v>716</v>
      </c>
      <c r="B94" s="32" t="s">
        <v>215</v>
      </c>
      <c r="C94" s="32" t="s">
        <v>221</v>
      </c>
      <c r="D94" s="32" t="s">
        <v>222</v>
      </c>
      <c r="E94" s="32" t="s">
        <v>494</v>
      </c>
      <c r="F94" s="32" t="s">
        <v>495</v>
      </c>
      <c r="G94" s="33" t="s">
        <v>496</v>
      </c>
    </row>
    <row r="95" spans="1:7" x14ac:dyDescent="0.4">
      <c r="A95" s="34">
        <v>715</v>
      </c>
      <c r="B95" s="35" t="s">
        <v>215</v>
      </c>
      <c r="C95" s="35" t="s">
        <v>273</v>
      </c>
      <c r="D95" s="35" t="s">
        <v>222</v>
      </c>
      <c r="E95" s="35" t="s">
        <v>497</v>
      </c>
      <c r="F95" s="35" t="s">
        <v>498</v>
      </c>
      <c r="G95" s="36" t="s">
        <v>499</v>
      </c>
    </row>
    <row r="96" spans="1:7" x14ac:dyDescent="0.4">
      <c r="A96" s="31">
        <v>714</v>
      </c>
      <c r="B96" s="32" t="s">
        <v>215</v>
      </c>
      <c r="C96" s="32" t="s">
        <v>374</v>
      </c>
      <c r="D96" s="32" t="s">
        <v>222</v>
      </c>
      <c r="E96" s="32" t="s">
        <v>500</v>
      </c>
      <c r="F96" s="32" t="s">
        <v>501</v>
      </c>
      <c r="G96" s="33" t="s">
        <v>502</v>
      </c>
    </row>
    <row r="97" spans="1:7" x14ac:dyDescent="0.4">
      <c r="A97" s="34">
        <v>713</v>
      </c>
      <c r="B97" s="35" t="s">
        <v>215</v>
      </c>
      <c r="C97" s="35" t="s">
        <v>273</v>
      </c>
      <c r="D97" s="35" t="s">
        <v>222</v>
      </c>
      <c r="E97" s="35" t="s">
        <v>503</v>
      </c>
      <c r="F97" s="35" t="s">
        <v>504</v>
      </c>
      <c r="G97" s="36" t="s">
        <v>505</v>
      </c>
    </row>
    <row r="98" spans="1:7" x14ac:dyDescent="0.4">
      <c r="A98" s="31">
        <v>712</v>
      </c>
      <c r="B98" s="32" t="s">
        <v>215</v>
      </c>
      <c r="C98" s="32" t="s">
        <v>273</v>
      </c>
      <c r="D98" s="32" t="s">
        <v>222</v>
      </c>
      <c r="E98" s="32" t="s">
        <v>506</v>
      </c>
      <c r="F98" s="32" t="s">
        <v>268</v>
      </c>
      <c r="G98" s="33" t="s">
        <v>507</v>
      </c>
    </row>
    <row r="99" spans="1:7" x14ac:dyDescent="0.4">
      <c r="A99" s="34">
        <v>711</v>
      </c>
      <c r="B99" s="35" t="s">
        <v>215</v>
      </c>
      <c r="C99" s="35" t="s">
        <v>273</v>
      </c>
      <c r="D99" s="35" t="s">
        <v>222</v>
      </c>
      <c r="E99" s="35" t="s">
        <v>508</v>
      </c>
      <c r="F99" s="35" t="s">
        <v>509</v>
      </c>
      <c r="G99" s="36" t="s">
        <v>510</v>
      </c>
    </row>
    <row r="100" spans="1:7" x14ac:dyDescent="0.4">
      <c r="A100" s="31">
        <v>710</v>
      </c>
      <c r="B100" s="32" t="s">
        <v>215</v>
      </c>
      <c r="C100" s="32" t="s">
        <v>221</v>
      </c>
      <c r="D100" s="32" t="s">
        <v>222</v>
      </c>
      <c r="E100" s="32" t="s">
        <v>511</v>
      </c>
      <c r="F100" s="32" t="s">
        <v>512</v>
      </c>
      <c r="G100" s="33" t="s">
        <v>513</v>
      </c>
    </row>
    <row r="101" spans="1:7" x14ac:dyDescent="0.4">
      <c r="A101" s="34">
        <v>709</v>
      </c>
      <c r="B101" s="35" t="s">
        <v>215</v>
      </c>
      <c r="C101" s="35" t="s">
        <v>273</v>
      </c>
      <c r="D101" s="35" t="s">
        <v>222</v>
      </c>
      <c r="E101" s="35" t="s">
        <v>514</v>
      </c>
      <c r="F101" s="35" t="s">
        <v>515</v>
      </c>
      <c r="G101" s="36" t="s">
        <v>516</v>
      </c>
    </row>
    <row r="102" spans="1:7" x14ac:dyDescent="0.4">
      <c r="A102" s="31">
        <v>708</v>
      </c>
      <c r="B102" s="32" t="s">
        <v>215</v>
      </c>
      <c r="C102" s="32" t="s">
        <v>273</v>
      </c>
      <c r="D102" s="32" t="s">
        <v>222</v>
      </c>
      <c r="E102" s="32" t="s">
        <v>517</v>
      </c>
      <c r="F102" s="32" t="s">
        <v>518</v>
      </c>
      <c r="G102" s="33" t="s">
        <v>519</v>
      </c>
    </row>
    <row r="103" spans="1:7" x14ac:dyDescent="0.4">
      <c r="A103" s="34">
        <v>707</v>
      </c>
      <c r="B103" s="35" t="s">
        <v>215</v>
      </c>
      <c r="C103" s="35" t="s">
        <v>221</v>
      </c>
      <c r="D103" s="35" t="s">
        <v>222</v>
      </c>
      <c r="E103" s="35" t="s">
        <v>520</v>
      </c>
      <c r="F103" s="35" t="s">
        <v>521</v>
      </c>
      <c r="G103" s="36" t="s">
        <v>522</v>
      </c>
    </row>
    <row r="104" spans="1:7" x14ac:dyDescent="0.4">
      <c r="A104" s="31">
        <v>706</v>
      </c>
      <c r="B104" s="32" t="s">
        <v>215</v>
      </c>
      <c r="C104" s="32" t="s">
        <v>273</v>
      </c>
      <c r="D104" s="32" t="s">
        <v>222</v>
      </c>
      <c r="E104" s="32" t="s">
        <v>523</v>
      </c>
      <c r="F104" s="32" t="s">
        <v>524</v>
      </c>
      <c r="G104" s="33" t="s">
        <v>525</v>
      </c>
    </row>
    <row r="105" spans="1:7" x14ac:dyDescent="0.4">
      <c r="A105" s="34">
        <v>705</v>
      </c>
      <c r="B105" s="35" t="s">
        <v>215</v>
      </c>
      <c r="C105" s="35" t="s">
        <v>221</v>
      </c>
      <c r="D105" s="35" t="s">
        <v>222</v>
      </c>
      <c r="E105" s="35" t="s">
        <v>526</v>
      </c>
      <c r="F105" s="35" t="s">
        <v>527</v>
      </c>
      <c r="G105" s="36" t="s">
        <v>528</v>
      </c>
    </row>
    <row r="106" spans="1:7" x14ac:dyDescent="0.4">
      <c r="A106" s="31">
        <v>704</v>
      </c>
      <c r="B106" s="32" t="s">
        <v>215</v>
      </c>
      <c r="C106" s="32" t="s">
        <v>273</v>
      </c>
      <c r="D106" s="32" t="s">
        <v>222</v>
      </c>
      <c r="E106" s="32" t="s">
        <v>529</v>
      </c>
      <c r="F106" s="32" t="s">
        <v>530</v>
      </c>
      <c r="G106" s="33" t="s">
        <v>531</v>
      </c>
    </row>
    <row r="107" spans="1:7" x14ac:dyDescent="0.4">
      <c r="A107" s="34">
        <v>703</v>
      </c>
      <c r="B107" s="35" t="s">
        <v>215</v>
      </c>
      <c r="C107" s="35" t="s">
        <v>221</v>
      </c>
      <c r="D107" s="35" t="s">
        <v>222</v>
      </c>
      <c r="E107" s="35" t="s">
        <v>532</v>
      </c>
      <c r="F107" s="35" t="s">
        <v>533</v>
      </c>
      <c r="G107" s="36" t="s">
        <v>534</v>
      </c>
    </row>
    <row r="108" spans="1:7" x14ac:dyDescent="0.4">
      <c r="A108" s="31">
        <v>702</v>
      </c>
      <c r="B108" s="32" t="s">
        <v>215</v>
      </c>
      <c r="C108" s="32" t="s">
        <v>221</v>
      </c>
      <c r="D108" s="32" t="s">
        <v>222</v>
      </c>
      <c r="E108" s="32" t="s">
        <v>535</v>
      </c>
      <c r="F108" s="32" t="s">
        <v>536</v>
      </c>
      <c r="G108" s="33" t="s">
        <v>537</v>
      </c>
    </row>
    <row r="109" spans="1:7" x14ac:dyDescent="0.4">
      <c r="A109" s="34">
        <v>701</v>
      </c>
      <c r="B109" s="35" t="s">
        <v>215</v>
      </c>
      <c r="C109" s="35" t="s">
        <v>273</v>
      </c>
      <c r="D109" s="35" t="s">
        <v>222</v>
      </c>
      <c r="E109" s="35" t="s">
        <v>538</v>
      </c>
      <c r="F109" s="35" t="s">
        <v>539</v>
      </c>
      <c r="G109" s="36" t="s">
        <v>540</v>
      </c>
    </row>
    <row r="110" spans="1:7" x14ac:dyDescent="0.4">
      <c r="A110" s="31">
        <v>700</v>
      </c>
      <c r="B110" s="32" t="s">
        <v>215</v>
      </c>
      <c r="C110" s="32" t="s">
        <v>273</v>
      </c>
      <c r="D110" s="32" t="s">
        <v>222</v>
      </c>
      <c r="E110" s="32" t="s">
        <v>541</v>
      </c>
      <c r="F110" s="32" t="s">
        <v>542</v>
      </c>
      <c r="G110" s="33" t="s">
        <v>543</v>
      </c>
    </row>
    <row r="111" spans="1:7" x14ac:dyDescent="0.4">
      <c r="A111" s="34">
        <v>699</v>
      </c>
      <c r="B111" s="35" t="s">
        <v>215</v>
      </c>
      <c r="C111" s="35" t="s">
        <v>374</v>
      </c>
      <c r="D111" s="35" t="s">
        <v>222</v>
      </c>
      <c r="E111" s="35" t="s">
        <v>544</v>
      </c>
      <c r="F111" s="35" t="s">
        <v>545</v>
      </c>
      <c r="G111" s="36" t="s">
        <v>546</v>
      </c>
    </row>
    <row r="112" spans="1:7" x14ac:dyDescent="0.4">
      <c r="A112" s="31">
        <v>698</v>
      </c>
      <c r="B112" s="32" t="s">
        <v>215</v>
      </c>
      <c r="C112" s="32" t="s">
        <v>414</v>
      </c>
      <c r="D112" s="32" t="s">
        <v>222</v>
      </c>
      <c r="E112" s="32" t="s">
        <v>547</v>
      </c>
      <c r="F112" s="32" t="s">
        <v>548</v>
      </c>
      <c r="G112" s="33" t="s">
        <v>549</v>
      </c>
    </row>
    <row r="113" spans="1:7" x14ac:dyDescent="0.4">
      <c r="A113" s="34">
        <v>697</v>
      </c>
      <c r="B113" s="35" t="s">
        <v>215</v>
      </c>
      <c r="C113" s="35" t="s">
        <v>414</v>
      </c>
      <c r="D113" s="35" t="s">
        <v>222</v>
      </c>
      <c r="E113" s="35" t="s">
        <v>550</v>
      </c>
      <c r="F113" s="35" t="s">
        <v>551</v>
      </c>
      <c r="G113" s="36" t="s">
        <v>552</v>
      </c>
    </row>
    <row r="114" spans="1:7" x14ac:dyDescent="0.4">
      <c r="A114" s="31">
        <v>696</v>
      </c>
      <c r="B114" s="32" t="s">
        <v>215</v>
      </c>
      <c r="C114" s="32" t="s">
        <v>273</v>
      </c>
      <c r="D114" s="32" t="s">
        <v>222</v>
      </c>
      <c r="E114" s="32" t="s">
        <v>553</v>
      </c>
      <c r="F114" s="32" t="s">
        <v>554</v>
      </c>
      <c r="G114" s="33" t="s">
        <v>555</v>
      </c>
    </row>
    <row r="115" spans="1:7" x14ac:dyDescent="0.4">
      <c r="A115" s="34">
        <v>695</v>
      </c>
      <c r="B115" s="35" t="s">
        <v>215</v>
      </c>
      <c r="C115" s="35" t="s">
        <v>273</v>
      </c>
      <c r="D115" s="35" t="s">
        <v>222</v>
      </c>
      <c r="E115" s="35" t="s">
        <v>556</v>
      </c>
      <c r="F115" s="35" t="s">
        <v>557</v>
      </c>
      <c r="G115" s="36" t="s">
        <v>558</v>
      </c>
    </row>
    <row r="116" spans="1:7" x14ac:dyDescent="0.4">
      <c r="A116" s="31">
        <v>694</v>
      </c>
      <c r="B116" s="32" t="s">
        <v>215</v>
      </c>
      <c r="C116" s="32" t="s">
        <v>273</v>
      </c>
      <c r="D116" s="32" t="s">
        <v>222</v>
      </c>
      <c r="E116" s="32" t="s">
        <v>559</v>
      </c>
      <c r="F116" s="32" t="s">
        <v>560</v>
      </c>
      <c r="G116" s="33" t="s">
        <v>561</v>
      </c>
    </row>
    <row r="117" spans="1:7" x14ac:dyDescent="0.4">
      <c r="A117" s="34">
        <v>693</v>
      </c>
      <c r="B117" s="35" t="s">
        <v>215</v>
      </c>
      <c r="C117" s="35" t="s">
        <v>273</v>
      </c>
      <c r="D117" s="35" t="s">
        <v>222</v>
      </c>
      <c r="E117" s="35" t="s">
        <v>562</v>
      </c>
      <c r="F117" s="35" t="s">
        <v>563</v>
      </c>
      <c r="G117" s="36" t="s">
        <v>564</v>
      </c>
    </row>
    <row r="118" spans="1:7" x14ac:dyDescent="0.4">
      <c r="A118" s="31">
        <v>692</v>
      </c>
      <c r="B118" s="32" t="s">
        <v>215</v>
      </c>
      <c r="C118" s="32" t="s">
        <v>273</v>
      </c>
      <c r="D118" s="32" t="s">
        <v>222</v>
      </c>
      <c r="E118" s="32" t="s">
        <v>565</v>
      </c>
      <c r="F118" s="32" t="s">
        <v>566</v>
      </c>
      <c r="G118" s="33" t="s">
        <v>567</v>
      </c>
    </row>
    <row r="119" spans="1:7" x14ac:dyDescent="0.4">
      <c r="A119" s="34">
        <v>691</v>
      </c>
      <c r="B119" s="35" t="s">
        <v>215</v>
      </c>
      <c r="C119" s="35" t="s">
        <v>273</v>
      </c>
      <c r="D119" s="35" t="s">
        <v>222</v>
      </c>
      <c r="E119" s="35" t="s">
        <v>568</v>
      </c>
      <c r="F119" s="35" t="s">
        <v>569</v>
      </c>
      <c r="G119" s="36" t="s">
        <v>570</v>
      </c>
    </row>
    <row r="120" spans="1:7" x14ac:dyDescent="0.4">
      <c r="A120" s="31">
        <v>690</v>
      </c>
      <c r="B120" s="32" t="s">
        <v>215</v>
      </c>
      <c r="C120" s="32" t="s">
        <v>216</v>
      </c>
      <c r="D120" s="32" t="s">
        <v>222</v>
      </c>
      <c r="E120" s="32" t="s">
        <v>571</v>
      </c>
      <c r="F120" s="32" t="s">
        <v>572</v>
      </c>
      <c r="G120" s="33" t="s">
        <v>573</v>
      </c>
    </row>
    <row r="121" spans="1:7" x14ac:dyDescent="0.4">
      <c r="A121" s="34">
        <v>689</v>
      </c>
      <c r="B121" s="35" t="s">
        <v>215</v>
      </c>
      <c r="C121" s="35" t="s">
        <v>273</v>
      </c>
      <c r="D121" s="35" t="s">
        <v>222</v>
      </c>
      <c r="E121" s="35" t="s">
        <v>574</v>
      </c>
      <c r="F121" s="35" t="s">
        <v>575</v>
      </c>
      <c r="G121" s="36" t="s">
        <v>576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9754A-B905-4A68-B9BD-E1A0BC5B3C4C}">
  <sheetPr codeName="Sheet2"/>
  <dimension ref="A1:G18"/>
  <sheetViews>
    <sheetView tabSelected="1"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8.69921875" customWidth="1"/>
    <col min="5" max="6" width="12.69921875" customWidth="1"/>
    <col min="7" max="7" width="10.69921875" customWidth="1"/>
  </cols>
  <sheetData>
    <row r="1" spans="1:7" x14ac:dyDescent="0.4">
      <c r="A1" s="16" t="s">
        <v>190</v>
      </c>
    </row>
    <row r="3" spans="1:7" ht="30" customHeight="1" x14ac:dyDescent="0.4">
      <c r="B3" s="38" t="s">
        <v>130</v>
      </c>
      <c r="C3" s="39"/>
      <c r="D3" s="39"/>
      <c r="E3" s="39"/>
      <c r="F3" s="39"/>
      <c r="G3" s="39"/>
    </row>
    <row r="5" spans="1:7" x14ac:dyDescent="0.4">
      <c r="B5" s="17" t="s">
        <v>55</v>
      </c>
      <c r="C5" s="17">
        <f>기초자료입력!C4</f>
        <v>0</v>
      </c>
      <c r="D5" s="17" t="s">
        <v>56</v>
      </c>
      <c r="E5" s="22">
        <f>기초자료입력!C5</f>
        <v>0</v>
      </c>
      <c r="F5" s="17" t="s">
        <v>59</v>
      </c>
      <c r="G5" s="17">
        <f>기초자료입력!C12</f>
        <v>0</v>
      </c>
    </row>
    <row r="6" spans="1:7" x14ac:dyDescent="0.4">
      <c r="B6" s="17"/>
      <c r="C6" s="17"/>
      <c r="D6" s="17"/>
      <c r="E6" s="17"/>
      <c r="F6" s="17"/>
      <c r="G6" s="17"/>
    </row>
    <row r="7" spans="1:7" x14ac:dyDescent="0.4">
      <c r="B7" s="23" t="s">
        <v>205</v>
      </c>
      <c r="C7" s="23" t="s">
        <v>49</v>
      </c>
      <c r="D7" s="23" t="s">
        <v>50</v>
      </c>
      <c r="E7" s="23" t="s">
        <v>51</v>
      </c>
      <c r="F7" s="23" t="s">
        <v>206</v>
      </c>
      <c r="G7" s="23" t="s">
        <v>207</v>
      </c>
    </row>
    <row r="8" spans="1:7" x14ac:dyDescent="0.4">
      <c r="B8" s="20">
        <v>1</v>
      </c>
      <c r="C8" s="20">
        <f>기초자료입력!B29</f>
        <v>0</v>
      </c>
      <c r="D8" s="20">
        <f>기초자료입력!C29</f>
        <v>0</v>
      </c>
      <c r="E8" s="24">
        <f>기초자료입력!D29</f>
        <v>0</v>
      </c>
      <c r="F8" s="24" t="str">
        <f>기초자료입력!E29</f>
        <v/>
      </c>
      <c r="G8" s="25" t="str">
        <f t="shared" ref="G8:G17" si="0">IF(AND(F$18&lt;&gt;0,ISNUMBER(F8)),F8/F$18*100,"")</f>
        <v/>
      </c>
    </row>
    <row r="9" spans="1:7" x14ac:dyDescent="0.4">
      <c r="B9" s="20">
        <v>2</v>
      </c>
      <c r="C9" s="20">
        <f>기초자료입력!B30</f>
        <v>0</v>
      </c>
      <c r="D9" s="20">
        <f>기초자료입력!C30</f>
        <v>0</v>
      </c>
      <c r="E9" s="24">
        <f>기초자료입력!D30</f>
        <v>0</v>
      </c>
      <c r="F9" s="24" t="str">
        <f>기초자료입력!E30</f>
        <v/>
      </c>
      <c r="G9" s="25" t="str">
        <f t="shared" si="0"/>
        <v/>
      </c>
    </row>
    <row r="10" spans="1:7" x14ac:dyDescent="0.4">
      <c r="B10" s="20">
        <v>3</v>
      </c>
      <c r="C10" s="20">
        <f>기초자료입력!B31</f>
        <v>0</v>
      </c>
      <c r="D10" s="20">
        <f>기초자료입력!C31</f>
        <v>0</v>
      </c>
      <c r="E10" s="24">
        <f>기초자료입력!D31</f>
        <v>0</v>
      </c>
      <c r="F10" s="24" t="str">
        <f>기초자료입력!E31</f>
        <v/>
      </c>
      <c r="G10" s="25" t="str">
        <f t="shared" si="0"/>
        <v/>
      </c>
    </row>
    <row r="11" spans="1:7" x14ac:dyDescent="0.4">
      <c r="B11" s="20">
        <v>4</v>
      </c>
      <c r="C11" s="20">
        <f>기초자료입력!B32</f>
        <v>0</v>
      </c>
      <c r="D11" s="20">
        <f>기초자료입력!C32</f>
        <v>0</v>
      </c>
      <c r="E11" s="24">
        <f>기초자료입력!D32</f>
        <v>0</v>
      </c>
      <c r="F11" s="24" t="str">
        <f>기초자료입력!E32</f>
        <v/>
      </c>
      <c r="G11" s="25" t="str">
        <f t="shared" si="0"/>
        <v/>
      </c>
    </row>
    <row r="12" spans="1:7" x14ac:dyDescent="0.4">
      <c r="B12" s="20">
        <v>5</v>
      </c>
      <c r="C12" s="20">
        <f>기초자료입력!B33</f>
        <v>0</v>
      </c>
      <c r="D12" s="20">
        <f>기초자료입력!C33</f>
        <v>0</v>
      </c>
      <c r="E12" s="24">
        <f>기초자료입력!D33</f>
        <v>0</v>
      </c>
      <c r="F12" s="24" t="str">
        <f>기초자료입력!E33</f>
        <v/>
      </c>
      <c r="G12" s="25" t="str">
        <f t="shared" si="0"/>
        <v/>
      </c>
    </row>
    <row r="13" spans="1:7" x14ac:dyDescent="0.4">
      <c r="B13" s="20">
        <v>6</v>
      </c>
      <c r="C13" s="20">
        <f>기초자료입력!B34</f>
        <v>0</v>
      </c>
      <c r="D13" s="20">
        <f>기초자료입력!C34</f>
        <v>0</v>
      </c>
      <c r="E13" s="24">
        <f>기초자료입력!D34</f>
        <v>0</v>
      </c>
      <c r="F13" s="24" t="str">
        <f>기초자료입력!E34</f>
        <v/>
      </c>
      <c r="G13" s="25" t="str">
        <f t="shared" si="0"/>
        <v/>
      </c>
    </row>
    <row r="14" spans="1:7" x14ac:dyDescent="0.4">
      <c r="B14" s="20">
        <v>7</v>
      </c>
      <c r="C14" s="20">
        <f>기초자료입력!B35</f>
        <v>0</v>
      </c>
      <c r="D14" s="20">
        <f>기초자료입력!C35</f>
        <v>0</v>
      </c>
      <c r="E14" s="24">
        <f>기초자료입력!D35</f>
        <v>0</v>
      </c>
      <c r="F14" s="24" t="str">
        <f>기초자료입력!E35</f>
        <v/>
      </c>
      <c r="G14" s="25" t="str">
        <f t="shared" si="0"/>
        <v/>
      </c>
    </row>
    <row r="15" spans="1:7" x14ac:dyDescent="0.4">
      <c r="B15" s="20">
        <v>8</v>
      </c>
      <c r="C15" s="20">
        <f>기초자료입력!B36</f>
        <v>0</v>
      </c>
      <c r="D15" s="20">
        <f>기초자료입력!C36</f>
        <v>0</v>
      </c>
      <c r="E15" s="24">
        <f>기초자료입력!D36</f>
        <v>0</v>
      </c>
      <c r="F15" s="24" t="str">
        <f>기초자료입력!E36</f>
        <v/>
      </c>
      <c r="G15" s="25" t="str">
        <f t="shared" si="0"/>
        <v/>
      </c>
    </row>
    <row r="16" spans="1:7" x14ac:dyDescent="0.4">
      <c r="B16" s="20">
        <v>9</v>
      </c>
      <c r="C16" s="20">
        <f>기초자료입력!B37</f>
        <v>0</v>
      </c>
      <c r="D16" s="20">
        <f>기초자료입력!C37</f>
        <v>0</v>
      </c>
      <c r="E16" s="24">
        <f>기초자료입력!D37</f>
        <v>0</v>
      </c>
      <c r="F16" s="24" t="str">
        <f>기초자료입력!E37</f>
        <v/>
      </c>
      <c r="G16" s="25" t="str">
        <f t="shared" si="0"/>
        <v/>
      </c>
    </row>
    <row r="17" spans="2:7" x14ac:dyDescent="0.4">
      <c r="B17" s="20">
        <v>10</v>
      </c>
      <c r="C17" s="20">
        <f>기초자료입력!B38</f>
        <v>0</v>
      </c>
      <c r="D17" s="20">
        <f>기초자료입력!C38</f>
        <v>0</v>
      </c>
      <c r="E17" s="24">
        <f>기초자료입력!D38</f>
        <v>0</v>
      </c>
      <c r="F17" s="24" t="str">
        <f>기초자료입력!E38</f>
        <v/>
      </c>
      <c r="G17" s="25" t="str">
        <f t="shared" si="0"/>
        <v/>
      </c>
    </row>
    <row r="18" spans="2:7" x14ac:dyDescent="0.4">
      <c r="B18" s="20"/>
      <c r="C18" s="26" t="s">
        <v>208</v>
      </c>
      <c r="D18" s="20"/>
      <c r="E18" s="20"/>
      <c r="F18" s="27">
        <f>SUM(F8:F17)</f>
        <v>0</v>
      </c>
      <c r="G18" s="26">
        <v>100</v>
      </c>
    </row>
  </sheetData>
  <mergeCells count="1">
    <mergeCell ref="B3:G3"/>
  </mergeCells>
  <phoneticPr fontId="5" type="noConversion"/>
  <pageMargins left="0.59055208333333331" right="0.59055208333333331" top="0.59055208333333331" bottom="0.59055208333333331" header="0.31496111111111108" footer="0.31496111111111108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B33B-F271-41B7-A85E-9DED5903F793}">
  <sheetPr codeName="Sheet3"/>
  <dimension ref="A1:H33"/>
  <sheetViews>
    <sheetView tabSelected="1"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19921875" customWidth="1"/>
  </cols>
  <sheetData>
    <row r="1" spans="1:8" x14ac:dyDescent="0.4">
      <c r="A1" s="16" t="s">
        <v>190</v>
      </c>
    </row>
    <row r="3" spans="1:8" ht="30" customHeight="1" x14ac:dyDescent="0.4">
      <c r="B3" s="38" t="s">
        <v>191</v>
      </c>
      <c r="C3" s="39"/>
      <c r="D3" s="39"/>
      <c r="E3" s="39"/>
      <c r="F3" s="39"/>
      <c r="G3" s="39"/>
      <c r="H3" s="39"/>
    </row>
    <row r="5" spans="1:8" x14ac:dyDescent="0.4">
      <c r="B5" s="21" t="s">
        <v>20</v>
      </c>
      <c r="C5" s="17">
        <f>기초자료입력!C9</f>
        <v>0</v>
      </c>
      <c r="D5" s="17"/>
      <c r="E5" s="21" t="s">
        <v>192</v>
      </c>
      <c r="F5" s="18">
        <f>기초자료입력!C8</f>
        <v>0</v>
      </c>
      <c r="G5" s="17"/>
      <c r="H5" s="17"/>
    </row>
    <row r="6" spans="1:8" x14ac:dyDescent="0.4">
      <c r="B6" s="17"/>
      <c r="C6" s="17"/>
      <c r="D6" s="17"/>
      <c r="E6" s="17"/>
      <c r="F6" s="17"/>
      <c r="G6" s="17"/>
      <c r="H6" s="17"/>
    </row>
    <row r="7" spans="1:8" x14ac:dyDescent="0.4">
      <c r="B7" s="21" t="s">
        <v>193</v>
      </c>
      <c r="C7" s="40" t="str">
        <f>IF(기초자료입력!C21&lt;&gt;"",기초자료입력!C21,"내부결재")</f>
        <v>내부결재</v>
      </c>
      <c r="D7" s="40"/>
      <c r="E7" s="40"/>
      <c r="F7" s="40"/>
      <c r="G7" s="40"/>
      <c r="H7" s="40"/>
    </row>
    <row r="8" spans="1:8" x14ac:dyDescent="0.4">
      <c r="B8" s="21" t="s">
        <v>194</v>
      </c>
      <c r="C8" s="41" t="str">
        <f>IF(기초자료입력!C22&lt;&gt;"",기초자료입력!C22,기초자료입력!C12&amp;" 구매 요청")</f>
        <v xml:space="preserve"> 구매 요청</v>
      </c>
      <c r="D8" s="40"/>
      <c r="E8" s="40"/>
      <c r="F8" s="40"/>
      <c r="G8" s="40"/>
      <c r="H8" s="40"/>
    </row>
    <row r="9" spans="1:8" x14ac:dyDescent="0.4">
      <c r="B9" s="17"/>
      <c r="C9" s="17"/>
      <c r="D9" s="17"/>
      <c r="E9" s="17"/>
      <c r="F9" s="17"/>
      <c r="G9" s="17"/>
      <c r="H9" s="17"/>
    </row>
    <row r="10" spans="1:8" ht="40.049999999999997" customHeight="1" x14ac:dyDescent="0.4">
      <c r="B10" s="42" t="str">
        <f>기초자료입력!C4&amp;" "&amp;기초자료입력!C5&amp;"학년도 "&amp;기초자료입력!C12&amp;"을(를) 다음과 같이 학교주관구매 방식으로 구매하고자 요청합니다."</f>
        <v xml:space="preserve"> 학년도 을(를) 다음과 같이 학교주관구매 방식으로 구매하고자 요청합니다.</v>
      </c>
      <c r="C10" s="42"/>
      <c r="D10" s="42"/>
      <c r="E10" s="42"/>
      <c r="F10" s="42"/>
      <c r="G10" s="42"/>
      <c r="H10" s="42"/>
    </row>
    <row r="11" spans="1:8" x14ac:dyDescent="0.4">
      <c r="B11" s="17"/>
      <c r="C11" s="17"/>
      <c r="D11" s="17"/>
      <c r="E11" s="17"/>
      <c r="F11" s="17"/>
      <c r="G11" s="17"/>
      <c r="H11" s="17"/>
    </row>
    <row r="12" spans="1:8" x14ac:dyDescent="0.4">
      <c r="B12" s="21" t="s">
        <v>195</v>
      </c>
      <c r="C12" s="40">
        <f>기초자료입력!C12</f>
        <v>0</v>
      </c>
      <c r="D12" s="40"/>
      <c r="E12" s="40"/>
      <c r="F12" s="40"/>
      <c r="G12" s="40"/>
      <c r="H12" s="40"/>
    </row>
    <row r="13" spans="1:8" x14ac:dyDescent="0.4">
      <c r="B13" s="21" t="s">
        <v>196</v>
      </c>
      <c r="C13" s="40">
        <f>기초자료입력!C13</f>
        <v>0</v>
      </c>
      <c r="D13" s="40"/>
      <c r="E13" s="40"/>
      <c r="F13" s="40"/>
      <c r="G13" s="40"/>
      <c r="H13" s="40"/>
    </row>
    <row r="14" spans="1:8" x14ac:dyDescent="0.4">
      <c r="B14" s="21" t="s">
        <v>197</v>
      </c>
      <c r="C14" s="40" t="str">
        <f>IF(기초자료입력!C15&lt;&gt;"",TEXT(기초자료입력!C15,"#,##0")&amp;"원","")</f>
        <v/>
      </c>
      <c r="D14" s="40"/>
      <c r="E14" s="40"/>
      <c r="F14" s="40"/>
      <c r="G14" s="40"/>
      <c r="H14" s="40"/>
    </row>
    <row r="15" spans="1:8" x14ac:dyDescent="0.4">
      <c r="B15" s="21" t="s">
        <v>198</v>
      </c>
      <c r="C15" s="40">
        <f>기초자료입력!C14</f>
        <v>0</v>
      </c>
      <c r="D15" s="40"/>
      <c r="E15" s="40"/>
      <c r="F15" s="40"/>
      <c r="G15" s="40"/>
      <c r="H15" s="40"/>
    </row>
    <row r="16" spans="1:8" x14ac:dyDescent="0.4">
      <c r="B16" s="21" t="s">
        <v>199</v>
      </c>
      <c r="C16" s="40">
        <f>기초자료입력!C17</f>
        <v>0</v>
      </c>
      <c r="D16" s="40"/>
      <c r="E16" s="40"/>
      <c r="F16" s="40"/>
      <c r="G16" s="40"/>
      <c r="H16" s="40"/>
    </row>
    <row r="17" spans="2:8" x14ac:dyDescent="0.4">
      <c r="B17" s="17"/>
      <c r="C17" s="17"/>
      <c r="D17" s="17"/>
      <c r="E17" s="17"/>
      <c r="F17" s="17"/>
      <c r="G17" s="17"/>
      <c r="H17" s="17"/>
    </row>
    <row r="18" spans="2:8" x14ac:dyDescent="0.4">
      <c r="B18" s="21" t="s">
        <v>200</v>
      </c>
      <c r="C18" s="40">
        <f>기초자료입력!C24</f>
        <v>0</v>
      </c>
      <c r="D18" s="40"/>
      <c r="E18" s="40"/>
      <c r="F18" s="40"/>
      <c r="G18" s="40"/>
      <c r="H18" s="40"/>
    </row>
    <row r="19" spans="2:8" x14ac:dyDescent="0.4">
      <c r="B19" s="17"/>
      <c r="C19" s="17"/>
      <c r="D19" s="17"/>
      <c r="E19" s="17"/>
      <c r="F19" s="17"/>
      <c r="G19" s="17"/>
      <c r="H19" s="17"/>
    </row>
    <row r="20" spans="2:8" x14ac:dyDescent="0.4">
      <c r="B20" s="17"/>
      <c r="C20" s="17"/>
      <c r="D20" s="17"/>
      <c r="E20" s="17"/>
      <c r="F20" s="17"/>
      <c r="G20" s="17"/>
      <c r="H20" s="17"/>
    </row>
    <row r="21" spans="2:8" x14ac:dyDescent="0.4">
      <c r="B21" s="17"/>
      <c r="C21" s="17"/>
      <c r="D21" s="17"/>
      <c r="E21" s="17"/>
      <c r="F21" s="17"/>
      <c r="G21" s="17"/>
      <c r="H21" s="17"/>
    </row>
    <row r="22" spans="2:8" x14ac:dyDescent="0.4">
      <c r="B22" s="17"/>
      <c r="C22" s="17"/>
      <c r="D22" s="17"/>
      <c r="E22" s="17"/>
      <c r="F22" s="17"/>
      <c r="G22" s="17"/>
      <c r="H22" s="17"/>
    </row>
    <row r="23" spans="2:8" x14ac:dyDescent="0.4">
      <c r="B23" s="17"/>
      <c r="C23" s="17"/>
      <c r="D23" s="17"/>
      <c r="E23" s="17"/>
      <c r="F23" s="17"/>
      <c r="G23" s="17"/>
      <c r="H23" s="17"/>
    </row>
    <row r="24" spans="2:8" x14ac:dyDescent="0.4">
      <c r="B24" s="17"/>
      <c r="C24" s="17"/>
      <c r="D24" s="17"/>
      <c r="E24" s="17"/>
      <c r="F24" s="17"/>
      <c r="G24" s="17"/>
      <c r="H24" s="17"/>
    </row>
    <row r="25" spans="2:8" x14ac:dyDescent="0.4">
      <c r="B25" s="17"/>
      <c r="C25" s="17"/>
      <c r="D25" s="17"/>
      <c r="E25" s="17"/>
      <c r="F25" s="17"/>
      <c r="G25" s="17"/>
      <c r="H25" s="17"/>
    </row>
    <row r="26" spans="2:8" x14ac:dyDescent="0.4">
      <c r="B26" s="21" t="s">
        <v>201</v>
      </c>
      <c r="C26" s="40">
        <f>기초자료입력!C23</f>
        <v>0</v>
      </c>
      <c r="D26" s="40"/>
      <c r="E26" s="40"/>
      <c r="F26" s="40"/>
      <c r="G26" s="40"/>
      <c r="H26" s="40"/>
    </row>
    <row r="27" spans="2:8" x14ac:dyDescent="0.4">
      <c r="B27" s="17"/>
      <c r="C27" s="17"/>
      <c r="D27" s="17"/>
      <c r="E27" s="17"/>
      <c r="F27" s="17"/>
      <c r="G27" s="17"/>
      <c r="H27" s="17"/>
    </row>
    <row r="28" spans="2:8" x14ac:dyDescent="0.4">
      <c r="B28" s="17"/>
      <c r="C28" s="17"/>
      <c r="D28" s="17"/>
      <c r="E28" s="17"/>
      <c r="F28" s="19" t="s">
        <v>202</v>
      </c>
      <c r="G28" s="19" t="s">
        <v>203</v>
      </c>
      <c r="H28" s="19" t="s">
        <v>204</v>
      </c>
    </row>
    <row r="29" spans="2:8" ht="4.95" customHeight="1" x14ac:dyDescent="0.4">
      <c r="B29" s="17"/>
      <c r="C29" s="17"/>
      <c r="D29" s="17"/>
      <c r="E29" s="17"/>
      <c r="F29" s="20"/>
      <c r="G29" s="20"/>
      <c r="H29" s="20"/>
    </row>
    <row r="30" spans="2:8" ht="18" customHeight="1" x14ac:dyDescent="0.4">
      <c r="B30" s="17"/>
      <c r="C30" s="17"/>
      <c r="D30" s="17"/>
      <c r="E30" s="17"/>
      <c r="F30" s="20"/>
      <c r="G30" s="20"/>
      <c r="H30" s="20"/>
    </row>
    <row r="31" spans="2:8" ht="18" customHeight="1" x14ac:dyDescent="0.4">
      <c r="B31" s="17"/>
      <c r="C31" s="17"/>
      <c r="D31" s="17"/>
      <c r="E31" s="17"/>
      <c r="F31" s="20"/>
      <c r="G31" s="20"/>
      <c r="H31" s="20"/>
    </row>
    <row r="32" spans="2:8" ht="18" customHeight="1" x14ac:dyDescent="0.4">
      <c r="B32" s="17"/>
      <c r="C32" s="17"/>
      <c r="D32" s="17"/>
      <c r="E32" s="17"/>
      <c r="F32" s="20"/>
      <c r="G32" s="20"/>
      <c r="H32" s="20"/>
    </row>
    <row r="33" spans="2:8" ht="18" customHeight="1" x14ac:dyDescent="0.4">
      <c r="B33" s="17"/>
      <c r="C33" s="17"/>
      <c r="D33" s="17"/>
      <c r="E33" s="17"/>
      <c r="F33" s="20"/>
      <c r="G33" s="20"/>
      <c r="H33" s="20"/>
    </row>
  </sheetData>
  <mergeCells count="11">
    <mergeCell ref="C13:H13"/>
    <mergeCell ref="B3:H3"/>
    <mergeCell ref="C7:H7"/>
    <mergeCell ref="C8:H8"/>
    <mergeCell ref="B10:H10"/>
    <mergeCell ref="C12:H12"/>
    <mergeCell ref="C14:H14"/>
    <mergeCell ref="C15:H15"/>
    <mergeCell ref="C16:H16"/>
    <mergeCell ref="C18:H18"/>
    <mergeCell ref="C26:H26"/>
  </mergeCells>
  <phoneticPr fontId="5" type="noConversion"/>
  <pageMargins left="0.59055208333333331" right="0.59055208333333331" top="0.59055208333333331" bottom="0.59055208333333331" header="0.31496111111111108" footer="0.31496111111111108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10D1-7E4F-4C0C-9A1E-BA5E1ECDF0B5}">
  <sheetPr codeName="Sheet4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2" t="s">
        <v>67</v>
      </c>
    </row>
    <row r="2" spans="1:6" x14ac:dyDescent="0.4">
      <c r="A2" t="s">
        <v>68</v>
      </c>
    </row>
    <row r="4" spans="1:6" x14ac:dyDescent="0.4">
      <c r="A4" s="13" t="s">
        <v>69</v>
      </c>
      <c r="B4" s="13" t="s">
        <v>70</v>
      </c>
      <c r="C4" s="13" t="s">
        <v>71</v>
      </c>
      <c r="D4" s="13" t="s">
        <v>72</v>
      </c>
      <c r="E4" s="13" t="s">
        <v>73</v>
      </c>
      <c r="F4" s="13" t="s">
        <v>74</v>
      </c>
    </row>
    <row r="5" spans="1:6" x14ac:dyDescent="0.4">
      <c r="A5" s="15" t="b">
        <v>0</v>
      </c>
      <c r="B5" s="14" t="s">
        <v>75</v>
      </c>
      <c r="C5" s="14" t="s">
        <v>76</v>
      </c>
      <c r="D5" s="14" t="s">
        <v>77</v>
      </c>
      <c r="E5" s="14" t="s">
        <v>78</v>
      </c>
      <c r="F5" s="14"/>
    </row>
    <row r="6" spans="1:6" x14ac:dyDescent="0.4">
      <c r="A6" s="15" t="b">
        <v>0</v>
      </c>
      <c r="B6" s="14" t="s">
        <v>79</v>
      </c>
      <c r="C6" s="14" t="s">
        <v>80</v>
      </c>
      <c r="D6" s="14" t="s">
        <v>77</v>
      </c>
      <c r="E6" s="14" t="s">
        <v>78</v>
      </c>
      <c r="F6" s="14"/>
    </row>
    <row r="7" spans="1:6" x14ac:dyDescent="0.4">
      <c r="A7" s="15" t="b">
        <v>0</v>
      </c>
      <c r="B7" s="14" t="s">
        <v>81</v>
      </c>
      <c r="C7" s="14" t="s">
        <v>82</v>
      </c>
      <c r="D7" s="14" t="s">
        <v>77</v>
      </c>
      <c r="E7" s="14" t="s">
        <v>78</v>
      </c>
      <c r="F7" s="14"/>
    </row>
    <row r="8" spans="1:6" x14ac:dyDescent="0.4">
      <c r="A8" s="15" t="b">
        <v>0</v>
      </c>
      <c r="B8" s="14" t="s">
        <v>83</v>
      </c>
      <c r="C8" s="14" t="s">
        <v>84</v>
      </c>
      <c r="D8" s="14" t="s">
        <v>77</v>
      </c>
      <c r="E8" s="14" t="s">
        <v>78</v>
      </c>
      <c r="F8" s="14"/>
    </row>
    <row r="9" spans="1:6" x14ac:dyDescent="0.4">
      <c r="A9" s="15" t="b">
        <v>0</v>
      </c>
      <c r="B9" s="14" t="s">
        <v>85</v>
      </c>
      <c r="C9" s="14" t="s">
        <v>86</v>
      </c>
      <c r="D9" s="14" t="s">
        <v>77</v>
      </c>
      <c r="E9" s="14" t="s">
        <v>78</v>
      </c>
      <c r="F9" s="14"/>
    </row>
    <row r="10" spans="1:6" x14ac:dyDescent="0.4">
      <c r="A10" s="15" t="b">
        <v>0</v>
      </c>
      <c r="B10" s="14" t="s">
        <v>87</v>
      </c>
      <c r="C10" s="14" t="s">
        <v>88</v>
      </c>
      <c r="D10" s="14" t="s">
        <v>77</v>
      </c>
      <c r="E10" s="14" t="s">
        <v>78</v>
      </c>
      <c r="F10" s="14"/>
    </row>
    <row r="11" spans="1:6" x14ac:dyDescent="0.4">
      <c r="A11" s="15" t="b">
        <v>1</v>
      </c>
      <c r="B11" s="14" t="s">
        <v>89</v>
      </c>
      <c r="C11" s="14" t="s">
        <v>90</v>
      </c>
      <c r="D11" s="14" t="s">
        <v>91</v>
      </c>
      <c r="E11" s="14" t="s">
        <v>92</v>
      </c>
      <c r="F11" s="14" t="s">
        <v>93</v>
      </c>
    </row>
    <row r="12" spans="1:6" x14ac:dyDescent="0.4">
      <c r="A12" s="15" t="b">
        <v>0</v>
      </c>
      <c r="B12" s="14" t="s">
        <v>94</v>
      </c>
      <c r="C12" s="14" t="s">
        <v>95</v>
      </c>
      <c r="D12" s="14" t="s">
        <v>91</v>
      </c>
      <c r="E12" s="14" t="s">
        <v>78</v>
      </c>
      <c r="F12" s="14"/>
    </row>
    <row r="13" spans="1:6" x14ac:dyDescent="0.4">
      <c r="A13" s="15" t="b">
        <v>0</v>
      </c>
      <c r="B13" s="14" t="s">
        <v>96</v>
      </c>
      <c r="C13" s="14" t="s">
        <v>97</v>
      </c>
      <c r="D13" s="14" t="s">
        <v>91</v>
      </c>
      <c r="E13" s="14" t="s">
        <v>78</v>
      </c>
      <c r="F13" s="14"/>
    </row>
    <row r="14" spans="1:6" x14ac:dyDescent="0.4">
      <c r="A14" s="15" t="b">
        <v>0</v>
      </c>
      <c r="B14" s="14" t="s">
        <v>98</v>
      </c>
      <c r="C14" s="14" t="s">
        <v>99</v>
      </c>
      <c r="D14" s="14" t="s">
        <v>91</v>
      </c>
      <c r="E14" s="14" t="s">
        <v>78</v>
      </c>
      <c r="F14" s="14"/>
    </row>
    <row r="15" spans="1:6" x14ac:dyDescent="0.4">
      <c r="A15" s="15" t="b">
        <v>0</v>
      </c>
      <c r="B15" s="14" t="s">
        <v>100</v>
      </c>
      <c r="C15" s="14" t="s">
        <v>101</v>
      </c>
      <c r="D15" s="14" t="s">
        <v>91</v>
      </c>
      <c r="E15" s="14" t="s">
        <v>78</v>
      </c>
      <c r="F15" s="14"/>
    </row>
    <row r="16" spans="1:6" x14ac:dyDescent="0.4">
      <c r="A16" s="15" t="b">
        <v>0</v>
      </c>
      <c r="B16" s="14" t="s">
        <v>102</v>
      </c>
      <c r="C16" s="14" t="s">
        <v>103</v>
      </c>
      <c r="D16" s="14" t="s">
        <v>91</v>
      </c>
      <c r="E16" s="14" t="s">
        <v>78</v>
      </c>
      <c r="F16" s="14"/>
    </row>
    <row r="17" spans="1:6" x14ac:dyDescent="0.4">
      <c r="A17" s="15" t="b">
        <v>0</v>
      </c>
      <c r="B17" s="14" t="s">
        <v>104</v>
      </c>
      <c r="C17" s="14" t="s">
        <v>105</v>
      </c>
      <c r="D17" s="14" t="s">
        <v>91</v>
      </c>
      <c r="E17" s="14" t="s">
        <v>106</v>
      </c>
      <c r="F17" s="14" t="s">
        <v>107</v>
      </c>
    </row>
    <row r="18" spans="1:6" x14ac:dyDescent="0.4">
      <c r="A18" s="15" t="b">
        <v>0</v>
      </c>
      <c r="B18" s="14" t="s">
        <v>108</v>
      </c>
      <c r="C18" s="14" t="s">
        <v>109</v>
      </c>
      <c r="D18" s="14" t="s">
        <v>110</v>
      </c>
      <c r="E18" s="14" t="s">
        <v>78</v>
      </c>
      <c r="F18" s="14"/>
    </row>
    <row r="19" spans="1:6" x14ac:dyDescent="0.4">
      <c r="A19" s="15" t="b">
        <v>0</v>
      </c>
      <c r="B19" s="14" t="s">
        <v>111</v>
      </c>
      <c r="C19" s="14" t="s">
        <v>112</v>
      </c>
      <c r="D19" s="14" t="s">
        <v>110</v>
      </c>
      <c r="E19" s="14" t="s">
        <v>78</v>
      </c>
      <c r="F19" s="14"/>
    </row>
    <row r="20" spans="1:6" x14ac:dyDescent="0.4">
      <c r="A20" s="15" t="b">
        <v>0</v>
      </c>
      <c r="B20" s="14" t="s">
        <v>113</v>
      </c>
      <c r="C20" s="14" t="s">
        <v>114</v>
      </c>
      <c r="D20" s="14" t="s">
        <v>110</v>
      </c>
      <c r="E20" s="14" t="s">
        <v>78</v>
      </c>
      <c r="F20" s="14"/>
    </row>
    <row r="21" spans="1:6" x14ac:dyDescent="0.4">
      <c r="A21" s="15" t="b">
        <v>0</v>
      </c>
      <c r="B21" s="14" t="s">
        <v>115</v>
      </c>
      <c r="C21" s="14" t="s">
        <v>116</v>
      </c>
      <c r="D21" s="14" t="s">
        <v>91</v>
      </c>
      <c r="E21" s="14" t="s">
        <v>78</v>
      </c>
      <c r="F21" s="14"/>
    </row>
    <row r="22" spans="1:6" x14ac:dyDescent="0.4">
      <c r="A22" s="15" t="b">
        <v>0</v>
      </c>
      <c r="B22" s="14" t="s">
        <v>117</v>
      </c>
      <c r="C22" s="14" t="s">
        <v>118</v>
      </c>
      <c r="D22" s="14" t="s">
        <v>91</v>
      </c>
      <c r="E22" s="14" t="s">
        <v>78</v>
      </c>
      <c r="F22" s="14"/>
    </row>
    <row r="23" spans="1:6" x14ac:dyDescent="0.4">
      <c r="A23" s="15" t="b">
        <v>0</v>
      </c>
      <c r="B23" s="14" t="s">
        <v>119</v>
      </c>
      <c r="C23" s="14" t="s">
        <v>120</v>
      </c>
      <c r="D23" s="14" t="s">
        <v>91</v>
      </c>
      <c r="E23" s="14" t="s">
        <v>78</v>
      </c>
      <c r="F23" s="14"/>
    </row>
    <row r="24" spans="1:6" x14ac:dyDescent="0.4">
      <c r="A24" s="15" t="b">
        <v>0</v>
      </c>
      <c r="B24" s="14" t="s">
        <v>121</v>
      </c>
      <c r="C24" s="14" t="s">
        <v>122</v>
      </c>
      <c r="D24" s="14" t="s">
        <v>91</v>
      </c>
      <c r="E24" s="14" t="s">
        <v>78</v>
      </c>
      <c r="F24" s="14"/>
    </row>
    <row r="25" spans="1:6" x14ac:dyDescent="0.4">
      <c r="A25" s="15" t="b">
        <v>0</v>
      </c>
      <c r="B25" s="14" t="s">
        <v>123</v>
      </c>
      <c r="C25" s="14" t="s">
        <v>124</v>
      </c>
      <c r="D25" s="14" t="s">
        <v>91</v>
      </c>
      <c r="E25" s="14" t="s">
        <v>78</v>
      </c>
      <c r="F25" s="14"/>
    </row>
    <row r="26" spans="1:6" x14ac:dyDescent="0.4">
      <c r="A26" s="15" t="b">
        <v>0</v>
      </c>
      <c r="B26" s="14" t="s">
        <v>125</v>
      </c>
      <c r="C26" s="14" t="s">
        <v>126</v>
      </c>
      <c r="D26" s="14" t="s">
        <v>91</v>
      </c>
      <c r="E26" s="14" t="s">
        <v>78</v>
      </c>
      <c r="F26" s="14"/>
    </row>
    <row r="27" spans="1:6" x14ac:dyDescent="0.4">
      <c r="A27" s="15" t="b">
        <v>0</v>
      </c>
      <c r="B27" s="14" t="s">
        <v>127</v>
      </c>
      <c r="C27" s="14" t="s">
        <v>128</v>
      </c>
      <c r="D27" s="14" t="s">
        <v>91</v>
      </c>
      <c r="E27" s="14" t="s">
        <v>78</v>
      </c>
      <c r="F27" s="14"/>
    </row>
    <row r="28" spans="1:6" x14ac:dyDescent="0.4">
      <c r="A28" s="15" t="b">
        <v>1</v>
      </c>
      <c r="B28" s="14" t="s">
        <v>129</v>
      </c>
      <c r="C28" s="14" t="s">
        <v>130</v>
      </c>
      <c r="D28" s="14" t="s">
        <v>91</v>
      </c>
      <c r="E28" s="14" t="s">
        <v>92</v>
      </c>
      <c r="F28" s="14" t="s">
        <v>131</v>
      </c>
    </row>
    <row r="29" spans="1:6" x14ac:dyDescent="0.4">
      <c r="A29" s="15" t="b">
        <v>0</v>
      </c>
      <c r="B29" s="14" t="s">
        <v>132</v>
      </c>
      <c r="C29" s="14" t="s">
        <v>133</v>
      </c>
      <c r="D29" s="14" t="s">
        <v>91</v>
      </c>
      <c r="E29" s="14" t="s">
        <v>78</v>
      </c>
      <c r="F29" s="14"/>
    </row>
    <row r="30" spans="1:6" x14ac:dyDescent="0.4">
      <c r="A30" s="15" t="b">
        <v>0</v>
      </c>
      <c r="B30" s="14" t="s">
        <v>134</v>
      </c>
      <c r="C30" s="14" t="s">
        <v>135</v>
      </c>
      <c r="D30" s="14" t="s">
        <v>91</v>
      </c>
      <c r="E30" s="14" t="s">
        <v>78</v>
      </c>
      <c r="F30" s="14"/>
    </row>
    <row r="31" spans="1:6" x14ac:dyDescent="0.4">
      <c r="A31" s="15" t="b">
        <v>0</v>
      </c>
      <c r="B31" s="14" t="s">
        <v>136</v>
      </c>
      <c r="C31" s="14" t="s">
        <v>137</v>
      </c>
      <c r="D31" s="14" t="s">
        <v>91</v>
      </c>
      <c r="E31" s="14" t="s">
        <v>78</v>
      </c>
      <c r="F31" s="14"/>
    </row>
    <row r="32" spans="1:6" x14ac:dyDescent="0.4">
      <c r="A32" s="15" t="b">
        <v>0</v>
      </c>
      <c r="B32" s="14" t="s">
        <v>138</v>
      </c>
      <c r="C32" s="14" t="s">
        <v>139</v>
      </c>
      <c r="D32" s="14" t="s">
        <v>91</v>
      </c>
      <c r="E32" s="14" t="s">
        <v>78</v>
      </c>
      <c r="F32" s="14"/>
    </row>
    <row r="33" spans="1:6" x14ac:dyDescent="0.4">
      <c r="A33" s="15" t="b">
        <v>0</v>
      </c>
      <c r="B33" s="14" t="s">
        <v>140</v>
      </c>
      <c r="C33" s="14" t="s">
        <v>141</v>
      </c>
      <c r="D33" s="14" t="s">
        <v>91</v>
      </c>
      <c r="E33" s="14" t="s">
        <v>78</v>
      </c>
      <c r="F33" s="14"/>
    </row>
    <row r="34" spans="1:6" x14ac:dyDescent="0.4">
      <c r="A34" s="15" t="b">
        <v>0</v>
      </c>
      <c r="B34" s="14" t="s">
        <v>142</v>
      </c>
      <c r="C34" s="14" t="s">
        <v>143</v>
      </c>
      <c r="D34" s="14" t="s">
        <v>91</v>
      </c>
      <c r="E34" s="14" t="s">
        <v>78</v>
      </c>
      <c r="F34" s="14"/>
    </row>
    <row r="35" spans="1:6" x14ac:dyDescent="0.4">
      <c r="A35" s="15" t="b">
        <v>0</v>
      </c>
      <c r="B35" s="14" t="s">
        <v>144</v>
      </c>
      <c r="C35" s="14" t="s">
        <v>145</v>
      </c>
      <c r="D35" s="14" t="s">
        <v>91</v>
      </c>
      <c r="E35" s="14" t="s">
        <v>78</v>
      </c>
      <c r="F35" s="14"/>
    </row>
    <row r="36" spans="1:6" x14ac:dyDescent="0.4">
      <c r="A36" s="15" t="b">
        <v>0</v>
      </c>
      <c r="B36" s="14" t="s">
        <v>146</v>
      </c>
      <c r="C36" s="14" t="s">
        <v>147</v>
      </c>
      <c r="D36" s="14" t="s">
        <v>110</v>
      </c>
      <c r="E36" s="14" t="s">
        <v>78</v>
      </c>
      <c r="F36" s="14"/>
    </row>
    <row r="37" spans="1:6" x14ac:dyDescent="0.4">
      <c r="A37" s="15" t="b">
        <v>0</v>
      </c>
      <c r="B37" s="14" t="s">
        <v>148</v>
      </c>
      <c r="C37" s="14" t="s">
        <v>149</v>
      </c>
      <c r="D37" s="14" t="s">
        <v>110</v>
      </c>
      <c r="E37" s="14" t="s">
        <v>78</v>
      </c>
      <c r="F37" s="14"/>
    </row>
    <row r="38" spans="1:6" x14ac:dyDescent="0.4">
      <c r="A38" s="15" t="b">
        <v>0</v>
      </c>
      <c r="B38" s="14" t="s">
        <v>150</v>
      </c>
      <c r="C38" s="14" t="s">
        <v>151</v>
      </c>
      <c r="D38" s="14" t="s">
        <v>110</v>
      </c>
      <c r="E38" s="14" t="s">
        <v>78</v>
      </c>
      <c r="F38" s="14"/>
    </row>
    <row r="39" spans="1:6" x14ac:dyDescent="0.4">
      <c r="A39" s="15" t="b">
        <v>0</v>
      </c>
      <c r="B39" s="14" t="s">
        <v>152</v>
      </c>
      <c r="C39" s="14" t="s">
        <v>153</v>
      </c>
      <c r="D39" s="14" t="s">
        <v>110</v>
      </c>
      <c r="E39" s="14" t="s">
        <v>78</v>
      </c>
      <c r="F39" s="14"/>
    </row>
    <row r="40" spans="1:6" x14ac:dyDescent="0.4">
      <c r="A40" s="15" t="b">
        <v>0</v>
      </c>
      <c r="B40" s="14" t="s">
        <v>154</v>
      </c>
      <c r="C40" s="14" t="s">
        <v>155</v>
      </c>
      <c r="D40" s="14" t="s">
        <v>110</v>
      </c>
      <c r="E40" s="14" t="s">
        <v>78</v>
      </c>
      <c r="F40" s="14"/>
    </row>
    <row r="41" spans="1:6" x14ac:dyDescent="0.4">
      <c r="A41" s="15" t="b">
        <v>0</v>
      </c>
      <c r="B41" s="14" t="s">
        <v>156</v>
      </c>
      <c r="C41" s="14" t="s">
        <v>157</v>
      </c>
      <c r="D41" s="14" t="s">
        <v>110</v>
      </c>
      <c r="E41" s="14" t="s">
        <v>78</v>
      </c>
      <c r="F41" s="14"/>
    </row>
    <row r="42" spans="1:6" x14ac:dyDescent="0.4">
      <c r="A42" s="15" t="b">
        <v>0</v>
      </c>
      <c r="B42" s="14" t="s">
        <v>158</v>
      </c>
      <c r="C42" s="14" t="s">
        <v>159</v>
      </c>
      <c r="D42" s="14" t="s">
        <v>110</v>
      </c>
      <c r="E42" s="14" t="s">
        <v>78</v>
      </c>
      <c r="F42" s="14"/>
    </row>
    <row r="43" spans="1:6" x14ac:dyDescent="0.4">
      <c r="A43" s="15" t="b">
        <v>0</v>
      </c>
      <c r="B43" s="14" t="s">
        <v>160</v>
      </c>
      <c r="C43" s="14" t="s">
        <v>161</v>
      </c>
      <c r="D43" s="14" t="s">
        <v>110</v>
      </c>
      <c r="E43" s="14" t="s">
        <v>78</v>
      </c>
      <c r="F43" s="14"/>
    </row>
    <row r="44" spans="1:6" x14ac:dyDescent="0.4">
      <c r="A44" s="15" t="b">
        <v>0</v>
      </c>
      <c r="B44" s="14" t="s">
        <v>162</v>
      </c>
      <c r="C44" s="14" t="s">
        <v>82</v>
      </c>
      <c r="D44" s="14" t="s">
        <v>110</v>
      </c>
      <c r="E44" s="14" t="s">
        <v>78</v>
      </c>
      <c r="F44" s="14"/>
    </row>
    <row r="45" spans="1:6" x14ac:dyDescent="0.4">
      <c r="A45" s="15" t="b">
        <v>0</v>
      </c>
      <c r="B45" s="14" t="s">
        <v>163</v>
      </c>
      <c r="C45" s="14" t="s">
        <v>164</v>
      </c>
      <c r="D45" s="14" t="s">
        <v>165</v>
      </c>
      <c r="E45" s="14" t="s">
        <v>78</v>
      </c>
      <c r="F45" s="14"/>
    </row>
    <row r="46" spans="1:6" x14ac:dyDescent="0.4">
      <c r="A46" s="15" t="b">
        <v>0</v>
      </c>
      <c r="B46" s="14" t="s">
        <v>166</v>
      </c>
      <c r="C46" s="14" t="s">
        <v>167</v>
      </c>
      <c r="D46" s="14" t="s">
        <v>165</v>
      </c>
      <c r="E46" s="14" t="s">
        <v>78</v>
      </c>
      <c r="F46" s="14"/>
    </row>
    <row r="47" spans="1:6" x14ac:dyDescent="0.4">
      <c r="A47" s="15" t="b">
        <v>0</v>
      </c>
      <c r="B47" s="14" t="s">
        <v>168</v>
      </c>
      <c r="C47" s="14" t="s">
        <v>169</v>
      </c>
      <c r="D47" s="14" t="s">
        <v>165</v>
      </c>
      <c r="E47" s="14" t="s">
        <v>78</v>
      </c>
      <c r="F47" s="14"/>
    </row>
    <row r="48" spans="1:6" x14ac:dyDescent="0.4">
      <c r="A48" s="15" t="b">
        <v>0</v>
      </c>
      <c r="B48" s="14" t="s">
        <v>170</v>
      </c>
      <c r="C48" s="14" t="s">
        <v>171</v>
      </c>
      <c r="D48" s="14" t="s">
        <v>172</v>
      </c>
      <c r="E48" s="14" t="s">
        <v>78</v>
      </c>
      <c r="F48" s="14"/>
    </row>
    <row r="49" spans="1:6" x14ac:dyDescent="0.4">
      <c r="A49" s="15" t="b">
        <v>0</v>
      </c>
      <c r="B49" s="14" t="s">
        <v>173</v>
      </c>
      <c r="C49" s="14" t="s">
        <v>174</v>
      </c>
      <c r="D49" s="14" t="s">
        <v>172</v>
      </c>
      <c r="E49" s="14" t="s">
        <v>78</v>
      </c>
      <c r="F49" s="14"/>
    </row>
    <row r="50" spans="1:6" x14ac:dyDescent="0.4">
      <c r="A50" s="15" t="b">
        <v>0</v>
      </c>
      <c r="B50" s="14" t="s">
        <v>175</v>
      </c>
      <c r="C50" s="14" t="s">
        <v>176</v>
      </c>
      <c r="D50" s="14" t="s">
        <v>172</v>
      </c>
      <c r="E50" s="14" t="s">
        <v>78</v>
      </c>
      <c r="F50" s="14"/>
    </row>
    <row r="51" spans="1:6" x14ac:dyDescent="0.4">
      <c r="A51" s="15" t="b">
        <v>0</v>
      </c>
      <c r="B51" s="14" t="s">
        <v>177</v>
      </c>
      <c r="C51" s="14" t="s">
        <v>178</v>
      </c>
      <c r="D51" s="14" t="s">
        <v>172</v>
      </c>
      <c r="E51" s="14" t="s">
        <v>78</v>
      </c>
      <c r="F51" s="14"/>
    </row>
    <row r="52" spans="1:6" x14ac:dyDescent="0.4">
      <c r="A52" s="15" t="b">
        <v>0</v>
      </c>
      <c r="B52" s="14" t="s">
        <v>179</v>
      </c>
      <c r="C52" s="14" t="s">
        <v>180</v>
      </c>
      <c r="D52" s="14" t="s">
        <v>172</v>
      </c>
      <c r="E52" s="14" t="s">
        <v>78</v>
      </c>
      <c r="F52" s="14"/>
    </row>
    <row r="53" spans="1:6" x14ac:dyDescent="0.4">
      <c r="A53" s="15" t="b">
        <v>0</v>
      </c>
      <c r="B53" s="14" t="s">
        <v>181</v>
      </c>
      <c r="C53" s="14" t="s">
        <v>182</v>
      </c>
      <c r="D53" s="14" t="s">
        <v>183</v>
      </c>
      <c r="E53" s="14" t="s">
        <v>78</v>
      </c>
      <c r="F53" s="14"/>
    </row>
    <row r="54" spans="1:6" x14ac:dyDescent="0.4">
      <c r="A54" s="15" t="b">
        <v>0</v>
      </c>
      <c r="B54" s="14" t="s">
        <v>184</v>
      </c>
      <c r="C54" s="14" t="s">
        <v>185</v>
      </c>
      <c r="D54" s="14" t="s">
        <v>183</v>
      </c>
      <c r="E54" s="14" t="s">
        <v>78</v>
      </c>
      <c r="F54" s="14"/>
    </row>
    <row r="55" spans="1:6" x14ac:dyDescent="0.4">
      <c r="A55" s="15" t="b">
        <v>0</v>
      </c>
      <c r="B55" s="14" t="s">
        <v>186</v>
      </c>
      <c r="C55" s="14" t="s">
        <v>187</v>
      </c>
      <c r="D55" s="14" t="s">
        <v>183</v>
      </c>
      <c r="E55" s="14" t="s">
        <v>78</v>
      </c>
      <c r="F55" s="14"/>
    </row>
    <row r="56" spans="1:6" x14ac:dyDescent="0.4">
      <c r="A56" s="15" t="b">
        <v>0</v>
      </c>
      <c r="B56" s="14" t="s">
        <v>188</v>
      </c>
      <c r="C56" s="14" t="s">
        <v>189</v>
      </c>
      <c r="D56" s="14" t="s">
        <v>183</v>
      </c>
      <c r="E56" s="14" t="s">
        <v>78</v>
      </c>
      <c r="F56" s="14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8B60D-FE3C-4CAE-B0C3-29122C552392}">
  <sheetPr codeName="Sheet5"/>
  <dimension ref="A1:T2"/>
  <sheetViews>
    <sheetView workbookViewId="0"/>
  </sheetViews>
  <sheetFormatPr defaultRowHeight="17.399999999999999" x14ac:dyDescent="0.4"/>
  <sheetData>
    <row r="1" spans="1:20" x14ac:dyDescent="0.4">
      <c r="A1" s="3" t="s">
        <v>54</v>
      </c>
      <c r="B1" s="3" t="s">
        <v>55</v>
      </c>
      <c r="C1" s="3" t="s">
        <v>56</v>
      </c>
      <c r="D1" s="3" t="s">
        <v>14</v>
      </c>
      <c r="E1" s="3" t="s">
        <v>57</v>
      </c>
      <c r="F1" s="3" t="s">
        <v>58</v>
      </c>
      <c r="G1" s="3" t="s">
        <v>20</v>
      </c>
      <c r="H1" s="3" t="s">
        <v>59</v>
      </c>
      <c r="I1" s="3" t="s">
        <v>60</v>
      </c>
      <c r="J1" s="3" t="s">
        <v>61</v>
      </c>
      <c r="K1" s="3" t="s">
        <v>62</v>
      </c>
      <c r="L1" s="3" t="s">
        <v>31</v>
      </c>
      <c r="M1" s="3" t="s">
        <v>33</v>
      </c>
      <c r="N1" s="3" t="s">
        <v>35</v>
      </c>
      <c r="O1" s="3" t="s">
        <v>38</v>
      </c>
      <c r="P1" s="3" t="s">
        <v>63</v>
      </c>
      <c r="Q1" s="3" t="s">
        <v>42</v>
      </c>
      <c r="R1" s="3" t="s">
        <v>64</v>
      </c>
      <c r="S1" s="3" t="s">
        <v>65</v>
      </c>
      <c r="T1" s="3" t="s">
        <v>66</v>
      </c>
    </row>
    <row r="2" spans="1:20" x14ac:dyDescent="0.4">
      <c r="T2" s="47"/>
    </row>
  </sheetData>
  <autoFilter ref="A1:T1" xr:uid="{E6D8B60D-FE3C-4CAE-B0C3-29122C552392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C1914-B08A-408C-8157-B29B491824BC}">
  <sheetPr codeName="Sheet6"/>
  <dimension ref="A1:G39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43" t="s">
        <v>8</v>
      </c>
      <c r="B1" s="44"/>
      <c r="C1" s="44"/>
      <c r="D1" s="44"/>
      <c r="E1" s="44"/>
      <c r="F1" s="44"/>
      <c r="G1" s="37" t="s">
        <v>577</v>
      </c>
    </row>
    <row r="3" spans="1:7" x14ac:dyDescent="0.4">
      <c r="B3" s="3" t="s">
        <v>9</v>
      </c>
    </row>
    <row r="4" spans="1:7" x14ac:dyDescent="0.4">
      <c r="A4" s="4" t="s">
        <v>11</v>
      </c>
      <c r="B4" t="s">
        <v>10</v>
      </c>
      <c r="C4" s="7"/>
    </row>
    <row r="5" spans="1:7" x14ac:dyDescent="0.4">
      <c r="A5" s="4" t="s">
        <v>13</v>
      </c>
      <c r="B5" t="s">
        <v>12</v>
      </c>
      <c r="C5" s="8"/>
    </row>
    <row r="6" spans="1:7" x14ac:dyDescent="0.4">
      <c r="A6" s="4" t="s">
        <v>15</v>
      </c>
      <c r="B6" t="s">
        <v>14</v>
      </c>
      <c r="C6" s="7"/>
    </row>
    <row r="7" spans="1:7" x14ac:dyDescent="0.4">
      <c r="A7" s="4" t="s">
        <v>17</v>
      </c>
      <c r="B7" t="s">
        <v>16</v>
      </c>
      <c r="C7" s="7"/>
    </row>
    <row r="8" spans="1:7" x14ac:dyDescent="0.4">
      <c r="A8" s="4" t="s">
        <v>19</v>
      </c>
      <c r="B8" t="s">
        <v>18</v>
      </c>
      <c r="C8" s="9"/>
    </row>
    <row r="9" spans="1:7" x14ac:dyDescent="0.4">
      <c r="A9" s="4" t="s">
        <v>21</v>
      </c>
      <c r="B9" t="s">
        <v>20</v>
      </c>
      <c r="C9" s="7"/>
    </row>
    <row r="11" spans="1:7" x14ac:dyDescent="0.4">
      <c r="B11" s="3" t="s">
        <v>22</v>
      </c>
    </row>
    <row r="12" spans="1:7" x14ac:dyDescent="0.4">
      <c r="A12" s="4" t="s">
        <v>24</v>
      </c>
      <c r="B12" t="s">
        <v>23</v>
      </c>
      <c r="C12" s="7"/>
    </row>
    <row r="13" spans="1:7" x14ac:dyDescent="0.4">
      <c r="A13" s="4" t="s">
        <v>26</v>
      </c>
      <c r="B13" t="s">
        <v>25</v>
      </c>
      <c r="C13" s="7"/>
    </row>
    <row r="14" spans="1:7" x14ac:dyDescent="0.4">
      <c r="A14" s="4" t="s">
        <v>28</v>
      </c>
      <c r="B14" t="s">
        <v>27</v>
      </c>
      <c r="C14" s="7"/>
    </row>
    <row r="15" spans="1:7" x14ac:dyDescent="0.4">
      <c r="A15" s="4" t="s">
        <v>30</v>
      </c>
      <c r="B15" t="s">
        <v>29</v>
      </c>
      <c r="C15" s="10"/>
    </row>
    <row r="16" spans="1:7" x14ac:dyDescent="0.4">
      <c r="A16" s="4" t="s">
        <v>32</v>
      </c>
      <c r="B16" t="s">
        <v>31</v>
      </c>
      <c r="C16" s="8"/>
    </row>
    <row r="17" spans="1:6" x14ac:dyDescent="0.4">
      <c r="A17" s="4" t="s">
        <v>34</v>
      </c>
      <c r="B17" t="s">
        <v>33</v>
      </c>
      <c r="C17" s="9"/>
    </row>
    <row r="18" spans="1:6" x14ac:dyDescent="0.4">
      <c r="A18" s="4" t="s">
        <v>36</v>
      </c>
      <c r="B18" t="s">
        <v>35</v>
      </c>
      <c r="C18" s="11"/>
    </row>
    <row r="20" spans="1:6" x14ac:dyDescent="0.4">
      <c r="B20" s="3" t="s">
        <v>37</v>
      </c>
    </row>
    <row r="21" spans="1:6" x14ac:dyDescent="0.4">
      <c r="A21" s="4" t="s">
        <v>39</v>
      </c>
      <c r="B21" t="s">
        <v>38</v>
      </c>
      <c r="C21" s="7"/>
    </row>
    <row r="22" spans="1:6" x14ac:dyDescent="0.4">
      <c r="A22" s="4" t="s">
        <v>41</v>
      </c>
      <c r="B22" t="s">
        <v>40</v>
      </c>
      <c r="C22" s="7"/>
    </row>
    <row r="23" spans="1:6" x14ac:dyDescent="0.4">
      <c r="A23" s="4" t="s">
        <v>43</v>
      </c>
      <c r="B23" t="s">
        <v>42</v>
      </c>
      <c r="C23" s="7"/>
    </row>
    <row r="24" spans="1:6" x14ac:dyDescent="0.4">
      <c r="A24" s="4" t="s">
        <v>45</v>
      </c>
      <c r="B24" t="s">
        <v>44</v>
      </c>
      <c r="C24" s="7"/>
    </row>
    <row r="25" spans="1:6" ht="60" customHeight="1" x14ac:dyDescent="0.4">
      <c r="A25" s="4" t="s">
        <v>47</v>
      </c>
      <c r="B25" t="s">
        <v>46</v>
      </c>
      <c r="C25" s="45"/>
      <c r="D25" s="46"/>
      <c r="E25" s="46"/>
      <c r="F25" s="46"/>
    </row>
    <row r="27" spans="1:6" x14ac:dyDescent="0.4">
      <c r="B27" s="3" t="s">
        <v>48</v>
      </c>
    </row>
    <row r="28" spans="1:6" x14ac:dyDescent="0.4">
      <c r="B28" s="3" t="s">
        <v>49</v>
      </c>
      <c r="C28" s="3" t="s">
        <v>50</v>
      </c>
      <c r="D28" s="3" t="s">
        <v>51</v>
      </c>
      <c r="E28" s="3" t="s">
        <v>52</v>
      </c>
    </row>
    <row r="29" spans="1:6" x14ac:dyDescent="0.4">
      <c r="B29" s="7"/>
      <c r="C29" s="7"/>
      <c r="D29" s="10"/>
      <c r="E29" s="5" t="str">
        <f t="shared" ref="E29:E38" si="0">IF(AND(B29&lt;&gt;"",C29&lt;&gt;"",D29&lt;&gt;""),C29*D29,"")</f>
        <v/>
      </c>
    </row>
    <row r="30" spans="1:6" x14ac:dyDescent="0.4">
      <c r="B30" s="7"/>
      <c r="C30" s="7"/>
      <c r="D30" s="10"/>
      <c r="E30" s="5" t="str">
        <f t="shared" si="0"/>
        <v/>
      </c>
    </row>
    <row r="31" spans="1:6" x14ac:dyDescent="0.4">
      <c r="B31" s="7"/>
      <c r="C31" s="7"/>
      <c r="D31" s="10"/>
      <c r="E31" s="5" t="str">
        <f t="shared" si="0"/>
        <v/>
      </c>
    </row>
    <row r="32" spans="1:6" x14ac:dyDescent="0.4">
      <c r="B32" s="7"/>
      <c r="C32" s="7"/>
      <c r="D32" s="10"/>
      <c r="E32" s="5" t="str">
        <f t="shared" si="0"/>
        <v/>
      </c>
    </row>
    <row r="33" spans="2:5" x14ac:dyDescent="0.4">
      <c r="B33" s="7"/>
      <c r="C33" s="7"/>
      <c r="D33" s="10"/>
      <c r="E33" s="5" t="str">
        <f t="shared" si="0"/>
        <v/>
      </c>
    </row>
    <row r="34" spans="2:5" x14ac:dyDescent="0.4">
      <c r="B34" s="7"/>
      <c r="C34" s="7"/>
      <c r="D34" s="10"/>
      <c r="E34" s="5" t="str">
        <f t="shared" si="0"/>
        <v/>
      </c>
    </row>
    <row r="35" spans="2:5" x14ac:dyDescent="0.4">
      <c r="B35" s="7"/>
      <c r="C35" s="7"/>
      <c r="D35" s="10"/>
      <c r="E35" s="5" t="str">
        <f t="shared" si="0"/>
        <v/>
      </c>
    </row>
    <row r="36" spans="2:5" x14ac:dyDescent="0.4">
      <c r="B36" s="7"/>
      <c r="C36" s="7"/>
      <c r="D36" s="10"/>
      <c r="E36" s="5" t="str">
        <f t="shared" si="0"/>
        <v/>
      </c>
    </row>
    <row r="37" spans="2:5" x14ac:dyDescent="0.4">
      <c r="B37" s="7"/>
      <c r="C37" s="7"/>
      <c r="D37" s="10"/>
      <c r="E37" s="5" t="str">
        <f t="shared" si="0"/>
        <v/>
      </c>
    </row>
    <row r="38" spans="2:5" x14ac:dyDescent="0.4">
      <c r="B38" s="7"/>
      <c r="C38" s="7"/>
      <c r="D38" s="10"/>
      <c r="E38" s="5" t="str">
        <f t="shared" si="0"/>
        <v/>
      </c>
    </row>
    <row r="39" spans="2:5" x14ac:dyDescent="0.4">
      <c r="B39" s="3" t="s">
        <v>53</v>
      </c>
      <c r="E39" s="6">
        <f>SUM(E29:E38)</f>
        <v>0</v>
      </c>
    </row>
  </sheetData>
  <mergeCells count="2">
    <mergeCell ref="A1:F1"/>
    <mergeCell ref="C25:F25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9F66D-59FB-4B85-B9F4-363DBFD5618C}">
  <sheetPr codeName="Sheet7"/>
  <dimension ref="A1:A10"/>
  <sheetViews>
    <sheetView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/>
    </row>
    <row r="9" spans="1:1" x14ac:dyDescent="0.4">
      <c r="A9" s="2" t="s">
        <v>6</v>
      </c>
    </row>
    <row r="10" spans="1:1" x14ac:dyDescent="0.4">
      <c r="A10" s="2" t="s">
        <v>7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학교정보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cp:lastPrinted>2026-09-15T11:27:56Z</cp:lastPrinted>
  <dcterms:created xsi:type="dcterms:W3CDTF">2026-09-15T11:13:55Z</dcterms:created>
  <dcterms:modified xsi:type="dcterms:W3CDTF">2026-09-15T11:27:56Z</dcterms:modified>
</cp:coreProperties>
</file>