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_diagnostic\F-041_043_20260919_qa\"/>
    </mc:Choice>
  </mc:AlternateContent>
  <xr:revisionPtr revIDLastSave="0" documentId="13_ncr:1_{7A049C98-CDCB-4E5A-B12A-53AB01046ED3}" xr6:coauthVersionLast="47" xr6:coauthVersionMax="47" xr10:uidLastSave="{00000000-0000-0000-0000-000000000000}"/>
  <bookViews>
    <workbookView xWindow="-108" yWindow="-108" windowWidth="23256" windowHeight="12576" firstSheet="6" activeTab="6" xr2:uid="{262478DF-F487-47EB-A830-29C994A576A9}"/>
  </bookViews>
  <sheets>
    <sheet name="계약방법안내" sheetId="37" r:id="rId1"/>
    <sheet name="절차안내" sheetId="36" r:id="rId2"/>
    <sheet name="학교검색" sheetId="35" r:id="rId3"/>
    <sheet name="학교정보" sheetId="34" r:id="rId4"/>
    <sheet name="F-043_계약체결" sheetId="33" r:id="rId5"/>
    <sheet name="F-042_낙찰자결정통보" sheetId="32" r:id="rId6"/>
    <sheet name="F-041_낙찰자결정" sheetId="31" r:id="rId7"/>
    <sheet name="F-006_운영위원회심의안" sheetId="30" r:id="rId8"/>
    <sheet name="F-005_구매추진계획안" sheetId="29" r:id="rId9"/>
    <sheet name="F-004_구매추진계획수립기안문" sheetId="28" r:id="rId10"/>
    <sheet name="F-003_위원청렴보안서약서" sheetId="27" r:id="rId11"/>
    <sheet name="F-002_위원수락확인서" sheetId="26" r:id="rId12"/>
    <sheet name="F-001_위원회구성기안" sheetId="25" r:id="rId13"/>
    <sheet name="F-025_교복AS계획서" sheetId="24" r:id="rId14"/>
    <sheet name="F-023_교복제조사양서" sheetId="23" r:id="rId15"/>
    <sheet name="F-022_교복납품실적표" sheetId="22" r:id="rId16"/>
    <sheet name="F-021_교복납품제안서" sheetId="21" r:id="rId17"/>
    <sheet name="F-020_입찰참가신고서" sheetId="20" r:id="rId18"/>
    <sheet name="F-019_입찰참가신청서" sheetId="19" r:id="rId19"/>
    <sheet name="F-018_정량적평가자기평점표" sheetId="18" r:id="rId20"/>
    <sheet name="F-017_제출서류자기확인서" sheetId="17" r:id="rId21"/>
    <sheet name="F-016_정성적평가" sheetId="16" r:id="rId22"/>
    <sheet name="F-015_정량적평가" sheetId="15" r:id="rId23"/>
    <sheet name="F-014_평가항목배점기준" sheetId="14" r:id="rId24"/>
    <sheet name="F-024_단가비율표" sheetId="13" r:id="rId25"/>
    <sheet name="F-007_구매요청기안문" sheetId="12" r:id="rId26"/>
    <sheet name="서식선택_출력" sheetId="11" r:id="rId27"/>
    <sheet name="DB_자기평점" sheetId="10" state="veryHidden" r:id="rId28"/>
    <sheet name="DB_정성평가" sheetId="9" state="veryHidden" r:id="rId29"/>
    <sheet name="DB_정량평가" sheetId="8" state="veryHidden" r:id="rId30"/>
    <sheet name="DB_평가" sheetId="7" state="veryHidden" r:id="rId31"/>
    <sheet name="DB_위원" sheetId="6" state="veryHidden" r:id="rId32"/>
    <sheet name="DB_업체" sheetId="5" state="veryHidden" r:id="rId33"/>
    <sheet name="DB_품목" sheetId="4" state="veryHidden" r:id="rId34"/>
    <sheet name="DB" sheetId="3" state="hidden" r:id="rId35"/>
    <sheet name="기초자료입력" sheetId="2" r:id="rId36"/>
    <sheet name="사용설명서" sheetId="1" r:id="rId37"/>
  </sheets>
  <functionGroups builtInGroupCount="19"/>
  <definedNames>
    <definedName name="_xlnm._FilterDatabase" localSheetId="34" hidden="1">DB!$A$1:$T$1</definedName>
    <definedName name="_xlnm._FilterDatabase" localSheetId="32" hidden="1">DB_업체!$A$1:$C$1</definedName>
    <definedName name="_xlnm._FilterDatabase" localSheetId="31" hidden="1">DB_위원!$A$1:$D$1</definedName>
    <definedName name="_xlnm._FilterDatabase" localSheetId="27" hidden="1">DB_자기평점!$A$1:$F$1</definedName>
    <definedName name="_xlnm._FilterDatabase" localSheetId="29" hidden="1">DB_정량평가!$A$1:$F$1</definedName>
    <definedName name="_xlnm._FilterDatabase" localSheetId="28" hidden="1">DB_정성평가!$A$1:$G$1</definedName>
    <definedName name="_xlnm._FilterDatabase" localSheetId="30" hidden="1">DB_평가!$A$1:$E$1</definedName>
    <definedName name="_xlnm._FilterDatabase" localSheetId="33" hidden="1">DB_품목!$A$1:$F$1</definedName>
    <definedName name="_xlnm.Print_Area" localSheetId="12">'F-001_위원회구성기안'!$A$1:$H$43</definedName>
    <definedName name="_xlnm.Print_Area" localSheetId="11">'F-002_위원수락확인서'!$A$1:$E$21</definedName>
    <definedName name="_xlnm.Print_Area" localSheetId="10">'F-003_위원청렴보안서약서'!$A$1:$E$20</definedName>
    <definedName name="_xlnm.Print_Area" localSheetId="9">'F-004_구매추진계획수립기안문'!$A$1:$H$20</definedName>
    <definedName name="_xlnm.Print_Area" localSheetId="8">'F-005_구매추진계획안'!$A$1:$G$90</definedName>
    <definedName name="_xlnm.Print_Area" localSheetId="7">'F-006_운영위원회심의안'!$A$1:$H$40</definedName>
    <definedName name="_xlnm.Print_Area" localSheetId="25">'F-007_구매요청기안문'!$A$1:$H$26</definedName>
    <definedName name="_xlnm.Print_Area" localSheetId="23">'F-014_평가항목배점기준'!$A$1:$G$25</definedName>
    <definedName name="_xlnm.Print_Area" localSheetId="22">'F-015_정량적평가'!$B$1:$G$26</definedName>
    <definedName name="_xlnm.Print_Area" localSheetId="21">'F-016_정성적평가'!$B$1:$F$18</definedName>
    <definedName name="_xlnm.Print_Area" localSheetId="20">'F-017_제출서류자기확인서'!$B$1:$E$30</definedName>
    <definedName name="_xlnm.Print_Area" localSheetId="19">'F-018_정량적평가자기평점표'!$B$1:$F$25</definedName>
    <definedName name="_xlnm.Print_Area" localSheetId="18">'F-019_입찰참가신청서'!$B$1:$L$25</definedName>
    <definedName name="_xlnm.Print_Area" localSheetId="17">'F-020_입찰참가신고서'!$B$1:$E$20</definedName>
    <definedName name="_xlnm.Print_Area" localSheetId="16">'F-021_교복납품제안서'!$B$1:$E$31</definedName>
    <definedName name="_xlnm.Print_Area" localSheetId="15">'F-022_교복납품실적표'!$B$1:$G$25</definedName>
    <definedName name="_xlnm.Print_Area" localSheetId="14">'F-023_교복제조사양서'!$B$1:$E$21</definedName>
    <definedName name="_xlnm.Print_Area" localSheetId="24">'F-024_단가비율표'!$A$1:$G$19</definedName>
    <definedName name="_xlnm.Print_Area" localSheetId="13">'F-025_교복AS계획서'!$B$1:$E$31</definedName>
    <definedName name="_xlnm.Print_Area" localSheetId="6">'F-041_낙찰자결정'!$A$1:$H$29</definedName>
    <definedName name="_xlnm.Print_Area" localSheetId="5">'F-042_낙찰자결정통보'!$A$1:$H$29</definedName>
    <definedName name="_xlnm.Print_Area" localSheetId="4">'F-043_계약체결'!$A$1:$H$37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8" i="2" l="1"/>
  <c r="C17" i="2"/>
  <c r="B25" i="33" s="1"/>
  <c r="B7" i="37"/>
  <c r="C35" i="33"/>
  <c r="B22" i="33"/>
  <c r="C17" i="33"/>
  <c r="C15" i="33"/>
  <c r="B13" i="33"/>
  <c r="C11" i="33"/>
  <c r="C9" i="33"/>
  <c r="F5" i="33"/>
  <c r="C5" i="33"/>
  <c r="C27" i="32"/>
  <c r="E17" i="32"/>
  <c r="B17" i="32"/>
  <c r="B13" i="32"/>
  <c r="C9" i="32"/>
  <c r="C7" i="32"/>
  <c r="F5" i="32"/>
  <c r="C5" i="32"/>
  <c r="C27" i="31"/>
  <c r="C21" i="31"/>
  <c r="C16" i="31"/>
  <c r="C15" i="31"/>
  <c r="B13" i="31"/>
  <c r="C11" i="31"/>
  <c r="C9" i="31"/>
  <c r="F5" i="31"/>
  <c r="C5" i="31"/>
  <c r="B38" i="30"/>
  <c r="E35" i="30"/>
  <c r="D35" i="30"/>
  <c r="C35" i="30"/>
  <c r="B35" i="30"/>
  <c r="E34" i="30"/>
  <c r="D34" i="30"/>
  <c r="C34" i="30"/>
  <c r="B34" i="30"/>
  <c r="E33" i="30"/>
  <c r="D33" i="30"/>
  <c r="C33" i="30"/>
  <c r="B33" i="30"/>
  <c r="E32" i="30"/>
  <c r="D32" i="30"/>
  <c r="C32" i="30"/>
  <c r="B32" i="30"/>
  <c r="E31" i="30"/>
  <c r="D31" i="30"/>
  <c r="C31" i="30"/>
  <c r="B31" i="30"/>
  <c r="E30" i="30"/>
  <c r="D30" i="30"/>
  <c r="C30" i="30"/>
  <c r="B30" i="30"/>
  <c r="E29" i="30"/>
  <c r="D29" i="30"/>
  <c r="C29" i="30"/>
  <c r="B29" i="30"/>
  <c r="E28" i="30"/>
  <c r="D28" i="30"/>
  <c r="C28" i="30"/>
  <c r="B28" i="30"/>
  <c r="E27" i="30"/>
  <c r="D27" i="30"/>
  <c r="C27" i="30"/>
  <c r="B27" i="30"/>
  <c r="E26" i="30"/>
  <c r="D26" i="30"/>
  <c r="C26" i="30"/>
  <c r="B26" i="30"/>
  <c r="B22" i="30"/>
  <c r="B13" i="30"/>
  <c r="B3" i="30"/>
  <c r="B87" i="29"/>
  <c r="B58" i="29"/>
  <c r="E52" i="29"/>
  <c r="D52" i="29"/>
  <c r="C52" i="29"/>
  <c r="B52" i="29"/>
  <c r="E51" i="29"/>
  <c r="D51" i="29"/>
  <c r="C51" i="29"/>
  <c r="B51" i="29"/>
  <c r="E50" i="29"/>
  <c r="D50" i="29"/>
  <c r="C50" i="29"/>
  <c r="B50" i="29"/>
  <c r="E49" i="29"/>
  <c r="D49" i="29"/>
  <c r="C49" i="29"/>
  <c r="B49" i="29"/>
  <c r="E48" i="29"/>
  <c r="D48" i="29"/>
  <c r="C48" i="29"/>
  <c r="B48" i="29"/>
  <c r="E47" i="29"/>
  <c r="D47" i="29"/>
  <c r="C47" i="29"/>
  <c r="B47" i="29"/>
  <c r="E46" i="29"/>
  <c r="D46" i="29"/>
  <c r="C46" i="29"/>
  <c r="B46" i="29"/>
  <c r="E45" i="29"/>
  <c r="D45" i="29"/>
  <c r="C45" i="29"/>
  <c r="B45" i="29"/>
  <c r="E44" i="29"/>
  <c r="D44" i="29"/>
  <c r="C44" i="29"/>
  <c r="B44" i="29"/>
  <c r="E43" i="29"/>
  <c r="D43" i="29"/>
  <c r="C43" i="29"/>
  <c r="B43" i="29"/>
  <c r="B34" i="29"/>
  <c r="B19" i="29"/>
  <c r="B13" i="29"/>
  <c r="B6" i="29"/>
  <c r="B5" i="29"/>
  <c r="B2" i="29"/>
  <c r="B1" i="29"/>
  <c r="C18" i="28"/>
  <c r="B15" i="28"/>
  <c r="B13" i="28"/>
  <c r="C11" i="28"/>
  <c r="C9" i="28"/>
  <c r="F5" i="28"/>
  <c r="C5" i="28"/>
  <c r="B20" i="27"/>
  <c r="B17" i="27"/>
  <c r="B14" i="27"/>
  <c r="B11" i="27"/>
  <c r="B10" i="27"/>
  <c r="B9" i="27"/>
  <c r="B8" i="27"/>
  <c r="B6" i="27"/>
  <c r="B21" i="26"/>
  <c r="B12" i="26"/>
  <c r="B7" i="26"/>
  <c r="B6" i="26"/>
  <c r="C41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B13" i="25"/>
  <c r="C11" i="25"/>
  <c r="C9" i="25"/>
  <c r="F5" i="25"/>
  <c r="C5" i="25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19" i="18"/>
  <c r="F15" i="18"/>
  <c r="F12" i="18"/>
  <c r="F8" i="18"/>
  <c r="F21" i="18" s="1"/>
  <c r="C5" i="18"/>
  <c r="B8" i="17"/>
  <c r="B3" i="17"/>
  <c r="B16" i="16"/>
  <c r="F13" i="16"/>
  <c r="F12" i="16"/>
  <c r="F11" i="16"/>
  <c r="F10" i="16"/>
  <c r="F9" i="16"/>
  <c r="F14" i="16" s="1"/>
  <c r="B6" i="16"/>
  <c r="E5" i="16"/>
  <c r="C5" i="16"/>
  <c r="B24" i="15"/>
  <c r="F20" i="15"/>
  <c r="F16" i="15"/>
  <c r="F22" i="15" s="1"/>
  <c r="F13" i="15"/>
  <c r="F9" i="15"/>
  <c r="G5" i="15"/>
  <c r="E5" i="15"/>
  <c r="C5" i="15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E20" i="14" s="1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6" i="12"/>
  <c r="C15" i="12"/>
  <c r="B13" i="12"/>
  <c r="C11" i="12"/>
  <c r="C9" i="12"/>
  <c r="C7" i="12"/>
  <c r="F5" i="12"/>
  <c r="C5" i="12"/>
  <c r="D82" i="2"/>
  <c r="F20" i="14" s="1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8" i="2"/>
  <c r="E37" i="2"/>
  <c r="E36" i="2"/>
  <c r="E35" i="2"/>
  <c r="E34" i="2"/>
  <c r="E33" i="2"/>
  <c r="E32" i="2"/>
  <c r="E31" i="2"/>
  <c r="E30" i="2"/>
  <c r="E29" i="2"/>
  <c r="E39" i="2" s="1"/>
  <c r="C18" i="12" l="1"/>
</calcChain>
</file>

<file path=xl/sharedStrings.xml><?xml version="1.0" encoding="utf-8"?>
<sst xmlns="http://schemas.openxmlformats.org/spreadsheetml/2006/main" count="1775" uniqueCount="1054">
  <si>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</si>
  <si>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</si>
  <si>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</si>
  <si>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</si>
  <si>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</si>
  <si>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</si>
  <si>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</si>
  <si>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</si>
  <si>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</si>
  <si>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</si>
  <si>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</si>
  <si>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</si>
  <si>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</si>
  <si>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</si>
  <si>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</si>
  <si>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</si>
  <si>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</si>
  <si>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</si>
  <si>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</si>
  <si>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</si>
  <si>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</si>
  <si>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</si>
  <si>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</si>
  <si>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</si>
  <si>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</si>
  <si>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</si>
  <si>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</si>
  <si>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</si>
  <si>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</si>
  <si>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</si>
  <si>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</si>
  <si>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</si>
  <si>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</si>
  <si>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</si>
  <si>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</si>
  <si>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</si>
  <si>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</si>
  <si>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</si>
  <si>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</si>
  <si>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</si>
  <si>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</si>
  <si>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</si>
  <si>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</si>
  <si>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</si>
  <si>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</si>
  <si>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</si>
  <si>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</si>
  <si>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</si>
  <si>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</si>
  <si>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</si>
  <si>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</si>
  <si>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</si>
  <si>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</si>
  <si>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</si>
  <si>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</si>
  <si>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</si>
  <si>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</si>
  <si>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</si>
  <si>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</si>
  <si>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</si>
  <si>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</si>
  <si>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</si>
  <si>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</si>
  <si>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</si>
  <si>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</si>
  <si>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</si>
  <si>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</si>
  <si>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</si>
  <si>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</si>
  <si>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</si>
  <si>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</si>
  <si>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</si>
  <si>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</si>
  <si>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</si>
  <si>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</si>
  <si>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</si>
  <si>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</si>
  <si>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</si>
  <si>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</si>
  <si>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</si>
  <si>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</si>
  <si>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</si>
  <si>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</si>
  <si>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</si>
  <si>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</si>
  <si>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</si>
  <si>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</si>
  <si>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</si>
  <si>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</si>
  <si>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</si>
  <si>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</si>
  <si>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</si>
  <si>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</si>
  <si>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</si>
  <si>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</si>
  <si>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</si>
  <si>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</si>
  <si>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</si>
  <si>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</si>
  <si>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</si>
  <si>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</si>
  <si>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</si>
  <si>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</si>
  <si>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</si>
  <si>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</si>
  <si>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</si>
  <si>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</si>
  <si>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</si>
  <si>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</si>
  <si>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</si>
  <si>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</si>
  <si>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</si>
  <si>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</si>
  <si>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</si>
  <si>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</si>
  <si>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</si>
  <si>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</si>
  <si>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</si>
  <si>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</si>
  <si>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</si>
  <si>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</si>
  <si>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</si>
  <si>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</si>
  <si>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</si>
  <si>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</si>
  <si>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</si>
  <si>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</si>
  <si>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</si>
  <si>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</si>
  <si>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Y</t>
  </si>
  <si>
    <t>F-001_위원회구성기안</t>
  </si>
  <si>
    <t>F-002</t>
  </si>
  <si>
    <t>위원 수락 및 확인서</t>
  </si>
  <si>
    <t>F-002_위원수락확인서</t>
  </si>
  <si>
    <t>F-003</t>
  </si>
  <si>
    <t>위원 청렴 및 보안 서약서</t>
  </si>
  <si>
    <t>F-003_위원청렴보안서약서</t>
  </si>
  <si>
    <t>F-004</t>
  </si>
  <si>
    <t>구매 추진 계획 수립</t>
  </si>
  <si>
    <t>F-004_구매추진계획수립기안문</t>
  </si>
  <si>
    <t>F-005</t>
  </si>
  <si>
    <t>구매 추진 계획안</t>
  </si>
  <si>
    <t>F-005_구매추진계획안</t>
  </si>
  <si>
    <t>F-006</t>
  </si>
  <si>
    <t>학교운영위원회 심의(안)</t>
  </si>
  <si>
    <t>F-006_운영위원회심의안</t>
  </si>
  <si>
    <t>F-007</t>
  </si>
  <si>
    <t>교복구매 구매 요청</t>
  </si>
  <si>
    <t>입찰</t>
  </si>
  <si>
    <t>F-007_구매요청기안문</t>
  </si>
  <si>
    <t>F-008</t>
  </si>
  <si>
    <t>교복 사양서</t>
  </si>
  <si>
    <t>N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</si>
  <si>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</si>
  <si>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</si>
  <si>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</si>
  <si>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</si>
  <si>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</si>
  <si>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</si>
  <si>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</si>
  <si>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</si>
  <si>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</si>
  <si>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</si>
  <si>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</si>
  <si>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</si>
  <si>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</si>
  <si>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</si>
  <si>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</si>
  <si>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</si>
  <si>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</si>
  <si>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</si>
  <si>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</si>
  <si>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</si>
  <si>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</si>
  <si>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</si>
  <si>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</si>
  <si>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</si>
  <si>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</si>
  <si>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</si>
  <si>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</si>
  <si>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</si>
  <si>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</si>
  <si>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</si>
  <si>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</si>
  <si>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</si>
  <si>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</si>
  <si>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</si>
  <si>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</si>
  <si>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</si>
  <si>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</si>
  <si>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</si>
  <si>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</si>
  <si>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</si>
  <si>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</si>
  <si>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</si>
  <si>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</si>
  <si>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</si>
  <si>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</si>
  <si>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</si>
  <si>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</si>
  <si>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</si>
  <si>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</si>
  <si>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</si>
  <si>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</si>
  <si>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</si>
  <si>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</si>
  <si>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</si>
  <si>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</si>
  <si>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</si>
  <si>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</si>
  <si>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</si>
  <si>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</si>
  <si>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</si>
  <si>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</si>
  <si>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</si>
  <si>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</si>
  <si>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</si>
  <si>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</si>
  <si>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</si>
  <si>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</si>
  <si>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</si>
  <si>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</si>
  <si>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</si>
  <si>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</si>
  <si>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</si>
  <si>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</si>
  <si>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</si>
  <si>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</si>
  <si>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</si>
  <si>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</si>
  <si>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</si>
  <si>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</si>
  <si>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</si>
  <si>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</si>
  <si>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F-041_낙찰자결정</t>
  </si>
  <si>
    <t>F-042</t>
  </si>
  <si>
    <t>낙찰자 결정 통보</t>
  </si>
  <si>
    <t>F-042_낙찰자결정통보</t>
  </si>
  <si>
    <t>F-043</t>
  </si>
  <si>
    <t>계약체결</t>
  </si>
  <si>
    <t>F-043_계약체결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</si>
  <si>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</si>
  <si>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</si>
  <si>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</si>
  <si>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</si>
  <si>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</si>
  <si>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</si>
  <si>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</si>
  <si>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</si>
  <si>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</si>
  <si>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</si>
  <si>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</si>
  <si>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</si>
  <si>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</si>
  <si>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</si>
  <si>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</si>
  <si>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</si>
  <si>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</si>
  <si>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</si>
  <si>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</si>
  <si>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</si>
  <si>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</si>
  <si>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</si>
  <si>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</si>
  <si>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</si>
  <si>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</si>
  <si>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</si>
  <si>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</si>
  <si>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</si>
  <si>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</si>
  <si>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</si>
  <si>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</si>
  <si>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</si>
  <si>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</si>
  <si>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</si>
  <si>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</si>
  <si>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</si>
  <si>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</si>
  <si>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</si>
  <si>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</si>
  <si>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</si>
  <si>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</si>
  <si>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</si>
  <si>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</si>
  <si>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</si>
  <si>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</si>
  <si>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</si>
  <si>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</si>
  <si>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</si>
  <si>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</si>
  <si>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</si>
  <si>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</si>
  <si>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</si>
  <si>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</si>
  <si>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</si>
  <si>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</si>
  <si>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</si>
  <si>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</si>
  <si>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</si>
  <si>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</si>
  <si>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</si>
  <si>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</si>
  <si>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</si>
  <si>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</si>
  <si>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</si>
  <si>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</si>
  <si>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</si>
  <si>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</si>
  <si>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</si>
  <si>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</si>
  <si>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</si>
  <si>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</si>
  <si>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</si>
  <si>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</si>
  <si>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</si>
  <si>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</si>
  <si>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</si>
  <si>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</si>
  <si>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</si>
  <si>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</si>
  <si>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</si>
  <si>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</si>
  <si>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</si>
  <si>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</si>
  <si>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</si>
  <si>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</si>
  <si>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</si>
  <si>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</si>
  <si>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</si>
  <si>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</si>
  <si>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</si>
  <si>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</si>
  <si>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</si>
  <si>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</si>
  <si>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</si>
  <si>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</si>
  <si>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</si>
  <si>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</si>
  <si>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</si>
  <si>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</si>
  <si>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</si>
  <si>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</si>
  <si>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</si>
  <si>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</si>
  <si>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</si>
  <si>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</si>
  <si>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</si>
  <si>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</si>
  <si>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</si>
  <si>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</si>
  <si>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</si>
  <si>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</si>
  <si>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</si>
  <si>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</si>
  <si>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</si>
  <si>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</si>
  <si>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</si>
  <si>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</si>
  <si>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</si>
  <si>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</si>
  <si>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</si>
  <si>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</si>
  <si>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</si>
  <si>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</si>
  <si>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</si>
  <si>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</si>
  <si>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</si>
  <si>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</si>
  <si>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</si>
  <si>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</si>
  <si>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</si>
  <si>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</si>
  <si>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</si>
  <si>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</si>
  <si>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</si>
  <si>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</si>
  <si>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</si>
  <si>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</si>
  <si>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</si>
  <si>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</si>
  <si>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</si>
  <si>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</si>
  <si>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</si>
  <si>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</si>
  <si>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</si>
  <si>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</si>
  <si>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</si>
  <si>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</si>
  <si>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</si>
  <si>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</si>
  <si>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</si>
  <si>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</si>
  <si>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</si>
  <si>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</si>
  <si>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</si>
  <si>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</si>
  <si>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</si>
  <si>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</si>
  <si>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</si>
  <si>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</si>
  <si>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</si>
  <si>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</si>
  <si>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</si>
  <si>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</si>
  <si>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</si>
  <si>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</si>
  <si>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</si>
  <si>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</si>
  <si>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</si>
  <si>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</si>
  <si>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</si>
  <si>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</si>
  <si>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</si>
  <si>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</si>
  <si>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</si>
  <si>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</si>
  <si>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</si>
  <si>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</si>
  <si>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</si>
  <si>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</si>
  <si>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</si>
  <si>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</si>
  <si>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</si>
  <si>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</si>
  <si>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</si>
  <si>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</si>
  <si>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</si>
  <si>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</si>
  <si>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</si>
  <si>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</si>
  <si>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</si>
  <si>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</si>
  <si>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</si>
  <si>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</si>
  <si>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</si>
  <si>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</si>
  <si>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</si>
  <si>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</si>
  <si>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</si>
  <si>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</si>
  <si>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</si>
  <si>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</si>
  <si>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</si>
  <si>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</si>
  <si>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</si>
  <si>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</si>
  <si>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</si>
  <si>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</si>
  <si>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</si>
  <si>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</si>
  <si>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</si>
  <si>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</si>
  <si>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</si>
  <si>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</si>
  <si>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</si>
  <si>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</si>
  <si>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</si>
  <si>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</si>
  <si>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</si>
  <si>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</si>
  <si>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</si>
  <si>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</si>
  <si>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</si>
  <si>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</si>
  <si>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</si>
  <si>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</si>
  <si>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</si>
  <si>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</si>
  <si>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</si>
  <si>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</si>
  <si>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</si>
  <si>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</si>
  <si>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</si>
  <si>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</si>
  <si>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</si>
  <si>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</si>
  <si>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</si>
  <si>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</si>
  <si>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</si>
  <si>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</si>
  <si>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</si>
  <si>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[검토중 — 담당자 최종 확인 후 사용] 원본 HWPX 3쪽 [1] 대조. 위원 성명은 개인정보이므로 마스킹 식별표시만 반영함</t>
  </si>
  <si>
    <t>교복선정위원회 구성(안)</t>
  </si>
  <si>
    <t>내부결재</t>
  </si>
  <si>
    <t>가. 위원회명：교복선정위원회</t>
  </si>
  <si>
    <t>나. 구성인원：7인 이상(교원위원 3인, 학부모위원 2인, 학생위원 2인)</t>
  </si>
  <si>
    <t>※ 교장 및 행정실장은 위원에서 제외, 교원을 제외한 위원이 1/2 이상 포함되도록 구성</t>
  </si>
  <si>
    <t>다. 역 할</t>
  </si>
  <si>
    <t>1) 교복 디자인 및 사양 선정</t>
  </si>
  <si>
    <t>2) 교복 품질심사기준 설정 및 심사</t>
  </si>
  <si>
    <t>3) 교복 제작 감독</t>
  </si>
  <si>
    <t>4) 구매결과 평가 실시</t>
  </si>
  <si>
    <t>라. 위원 명단</t>
  </si>
  <si>
    <t>순</t>
  </si>
  <si>
    <t>직급(직위)</t>
  </si>
  <si>
    <t>성명</t>
  </si>
  <si>
    <t>붙임 1. 교복선정위원회 위원 수락 및 확인서 1부.</t>
  </si>
  <si>
    <t xml:space="preserve">      2. 교복선정위원회 위원 청렴 및 보안 서약서 1부.  끝.</t>
  </si>
  <si>
    <t>[검토중 — 담당자 최종 확인 후 사용] 원본 HWPX 4쪽 [1-1] 대조. 위원이 자필로 작성·서명하는 빈 양식이며 학교 공통정보만 반영함</t>
  </si>
  <si>
    <t>교복선정위원회 위원 수락 및 확인서</t>
  </si>
  <si>
    <t>업체와의 관련이 있는 것으로 판명될 경우, 즉시 위원직을 사퇴할 것이며, 추후 어떠한 이의도 제기하지 않을 것을 서약합니다.</t>
  </si>
  <si>
    <t>주      소 :</t>
  </si>
  <si>
    <t>성      명 :</t>
  </si>
  <si>
    <t>서      명 :                              (인)</t>
  </si>
  <si>
    <t>[검토중 — 담당자 최종 확인 후 사용] 원본 HWPX 5쪽 [1-2] 대조. 위원이 자필로 작성·서명하는 빈 양식이며 학교 공통정보만 반영함</t>
  </si>
  <si>
    <t>청렴 및 보안 서약서</t>
  </si>
  <si>
    <t>[검토중 — 담당자 최종 확인 후 사용] 원본 HWPX 6쪽 [2] 대조</t>
  </si>
  <si>
    <t>교복 학교주관구매 추진 계획 수립(안)</t>
  </si>
  <si>
    <t>[검토중 — 담당자 최종 확인 후 사용] 원본 HWPX 7~12쪽 [2-1] 대조. 원문이 6개 물리 페이지 분량이라 이 서식만 예외적으로 다중 페이지 자연 출력을 허용함(강제 압축 없음)</t>
  </si>
  <si>
    <t>❍ 근 거：학교안전과-○○(20○○. ○○. ○○.) 「교복 학교주관구매 운영 요령」</t>
  </si>
  <si>
    <t>❍ 목 적：교복 학교주관구매 지원을 통한 학부모의 경제적 부담 경감</t>
  </si>
  <si>
    <t>❍ 시 기：20○○. ○○월 ~ 20○○. ○○월</t>
  </si>
  <si>
    <t>❍ 대 상：해당 학년도 모든 신입생</t>
  </si>
  <si>
    <t>❍ 학교장이 업체와 계약 체결 후 교복을 일괄 구매하는 학교주관구매 실시</t>
  </si>
  <si>
    <t>❍ 교복의 품질과 가격을 종합적으로 심사할 수 있는 2단계 입찰로 투명성·공정성·가격 경쟁력 확보</t>
  </si>
  <si>
    <t>❍ 교원, 학생대표, 학부모 대표 등으로 「교복선정위원회」를 구성·운영하여 명확하고 합리적인 심사기준 설정</t>
  </si>
  <si>
    <t>단계 및 시기</t>
  </si>
  <si>
    <t>주요 추진 사항</t>
  </si>
  <si>
    <t>교복 구매 계획 수립 [4월]</t>
  </si>
  <si>
    <t>교복 구매 계획 수립(추진일정, 디자인, 품질기준, 상한가격, 계약방식 등 포함)</t>
  </si>
  <si>
    <t>사업부서</t>
  </si>
  <si>
    <t>학교운영위원회 심의 [4월~5월]</t>
  </si>
  <si>
    <t>교복 구매 계획 학교운영위원회 심의</t>
  </si>
  <si>
    <t>입찰 공고 [6월~7월]</t>
  </si>
  <si>
    <t>구매물량 확정 단서 명시, A/S·반품·교환 요청사항 포함, 납품기한 명시</t>
  </si>
  <si>
    <t>계약부서</t>
  </si>
  <si>
    <t>1단계 품질심사(제안서 평가)</t>
  </si>
  <si>
    <t>교복선정위원회 품질(제안서) 심사</t>
  </si>
  <si>
    <t>사업부서(계약부서)</t>
  </si>
  <si>
    <t>2단계 가격 경쟁</t>
  </si>
  <si>
    <t>품질 적격업체 대상 가격 입찰</t>
  </si>
  <si>
    <t>사업자 선정·계약 체결 [7월~8월]</t>
  </si>
  <si>
    <t>낙찰통지 후 계약서 작성(단가계약 체결)</t>
  </si>
  <si>
    <t>학교주관구매 홍보 [12월~다음연도 1월]</t>
  </si>
  <si>
    <t>신입생 배정·합격자 통지 시 구매 방법 안내</t>
  </si>
  <si>
    <t>구성 인원 확정 및 치수 측정 [다음연도 1~2월]</t>
  </si>
  <si>
    <t>물량 확정 후 40일의 납품기한 보장</t>
  </si>
  <si>
    <t>교복 구매/납품 [다음연도 2월]</t>
  </si>
  <si>
    <t>교내 또는 업체 매장에서 검사·검수 실시</t>
  </si>
  <si>
    <t>대금 지급 [다음연도 3월]</t>
  </si>
  <si>
    <t>학교회계 절차에 따라 세입·세출 처리</t>
  </si>
  <si>
    <t>검사·검수 및 평가·환류 [다음연도 2~3월]</t>
  </si>
  <si>
    <t>계약 내용 확인 후 검수, 교복 만족도 조사</t>
  </si>
  <si>
    <t>❍ 교복디자인 선정·공개</t>
  </si>
  <si>
    <t>1) 신입생 교복은 원칙적으로 전년도 교복 디자인으로 한다.</t>
  </si>
  <si>
    <t>2) 교복 형태에 관한 사항을 학생 생활규정으로 명문화하고, 사양서와 사진, 규정 등을 학교 규정집과 학교 누리집 공지사항 등을 통해 공개한다.</t>
  </si>
  <si>
    <t>※ 교복 디자인 변경 시 도교육청 누리집 등을 통해 공개(최소 입찰공고 1개월 전까지)</t>
  </si>
  <si>
    <t>❍ 교복선정위원회 구성 및 역할</t>
  </si>
  <si>
    <t>1) 교복선정위원회 구성 현황(위원 성명은 개인정보이므로 마스킹 식별표시만 표시함)</t>
  </si>
  <si>
    <t>2) 역할：(제안서 심사) 디자인 적합성·재질·바느질 상태·A/S(의무기간 1년)·하자 이행 등 품질심사 기준 설정 및 제안서 평가·적격업체 선정 / (제작 감독) 계약 체결 후 제작 상황 확인(샘플검사·원단검사 등) / (검수) 납품 시 수량·사양서 등 계약 내용 확인 후 검수, 품질검사 실시 / (평가) 착용 이후 학생·학부모 의견수렴을 거쳐 구매 결과 평가 실시</t>
  </si>
  <si>
    <t>※ 교복 업계 이해관계자는 위촉 불가, 위원 후보자로부터 확인서·서약서 징구. 필요시 교복 제조·판매 시설 실사 실시</t>
  </si>
  <si>
    <t>❍ 교복 구매 기준</t>
  </si>
  <si>
    <t>1) 교복 구매 시 품질기준, 디자인, 상한 가격, 구매절차 및 입찰방법, 참가자 신청 일정 및 비용 납부, A/S 방안 등에 관한 사항을 포함한다.</t>
  </si>
  <si>
    <t>2) 신입생 3월 동복 착용 시 교복 제작 일정을 감안하여 8월까지 사업자를 선정하여 추진한다.</t>
  </si>
  <si>
    <t>❍ 입찰 공고</t>
  </si>
  <si>
    <t>1) 교복 구매 사업자 선정을 위한 입찰공고문을 작성하여 교복사양서와 함께 학교 누리집 및 지정 정보처리장치 등에 게재한다.</t>
  </si>
  <si>
    <t>2) 입찰에 부치는 사항, 입찰·개찰의 장소 및 일시, 참가자격, 낙찰자 결정방법, 계약 방법, 이행예정 기간 등을 명시하되, 구매물량은 「학생 인원에 따라 구매 물량 확정」이라는 단서를 반드시 명시한다.</t>
  </si>
  <si>
    <t>3) 물량변동 분쟁을 방지하도록 단가계약을 체결하되, 전입생 등 추가 구매가 가능하도록 충분한 수량을 확보한다.</t>
  </si>
  <si>
    <t>4) 입찰 참가 사업자는 학교에 입찰 참가 신청서를 제출한다.</t>
  </si>
  <si>
    <t>5) 기초가격은 교육청 상한 가격을 넘지 않는 선에서 교복사양(디자인·원단 등)을 고려한 거래실례가격·견적가격 등을 감안해 산출한다.</t>
  </si>
  <si>
    <t>6) 입찰 공고 등에 관한 사항은 관련 법령과 규정을 준수하여 진행한다.</t>
  </si>
  <si>
    <t>❍ 교복 납품 사업자 선정</t>
  </si>
  <si>
    <t>1) 교복선정위원회가 응찰 사업자를 대상으로 2단계 입찰(품질 → 가격)을 심사한다.</t>
  </si>
  <si>
    <t>2) 품질 심사：가격 심사 참가를 위한 최소 품질기준 합격 여부를 심사하며, 명확한 기준에 따라 엄격히 심사하고 Q-MARK 검사 기준 등을 적극 활용한다.</t>
  </si>
  <si>
    <t>3) 가격 경쟁：품질 합격 업체를 대상으로 입찰 관련 법령을 준수해 가격 경쟁을 실시하며, 상한 가격 초과·지역제한 미충족 업체는 탈락시킨다.</t>
  </si>
  <si>
    <t>4) 사업자 선정：최종 낙찰자를 사업자로 선정하고 공급 단가만 계약하되 「구매물량은 신청 학생 인원에 따라 확정」이라는 단서를 반드시 명시한다(단가계약 체결).</t>
  </si>
  <si>
    <t>※ 계약 시 확인 사항：무상 A/S 기한(1년 의무기간)·처리과정, 납품 기일 설정 및 계약이행지급각서 등 제출, 원단 검사 시 의류 시험성적서 제출, 납품 시점 하자이행보증보험증권 제출, 계약 특수조건(전입생 추가 구매 물량 확보) 명시</t>
  </si>
  <si>
    <t>❍ 규모 확정 및 학교회계 처리</t>
  </si>
  <si>
    <t>1) 3월 입학 동복 착용의 경우 예비소집일 등을 통해 신속히 참여 규모를 확정하고 회계처리한다.</t>
  </si>
  <si>
    <t>※ 신청 시 희망 치수와 실제측정 치수를 함께 조사한다.</t>
  </si>
  <si>
    <t>❍ 검수 및 평가·환류</t>
  </si>
  <si>
    <t>1) 계약 체결 후 원단 구입 전 샘플 검사(1차), 원단 검사(2차) 등 제작 상황을 수시로 확인한다.</t>
  </si>
  <si>
    <t>2) 물품 검수 시 수량·사양서 등 계약내용 및 제조 연월 표시 여부(라벨 불량·품질 표시 등)를 철저히 확인 후 검수한다.</t>
  </si>
  <si>
    <t>3) 교복 품질 검사 실시 후 검수한다.</t>
  </si>
  <si>
    <t>4) 착용 이후 학생·학부모 의견 수렴을 거쳐 「교복선정위원회」에서 구매 결과 평가를 실시한다.</t>
  </si>
  <si>
    <t>❍ 공정하고 투명한 입찰 방법을 통하여 저렴하고 높은 품질의 교복을 확보하고, 학교회계 관련 법령 및 절차에 따른 진행으로 교복구매의 합리성을 도모한다.</t>
  </si>
  <si>
    <t>붙임  교복 사양서 1부.  끝.</t>
  </si>
  <si>
    <t>[검토중 — 담당자 최종 확인 후 사용] 원본 HWPX 13쪽 [3] 대조. 참고 서식이며 학교운영위원회 자체 서식 사용을 권장함(원문 안내문 그대로 반영)</t>
  </si>
  <si>
    <t>안건번호</t>
  </si>
  <si>
    <t>제출일자</t>
  </si>
  <si>
    <t>제 안 자</t>
  </si>
  <si>
    <t>제안설명자</t>
  </si>
  <si>
    <t>1. 제안 이유</t>
  </si>
  <si>
    <t>❍ 근 거：「초·중등교육법」 제30조의2, 제32조 제1항</t>
  </si>
  <si>
    <t>2. 주요 내용</t>
  </si>
  <si>
    <t>가. 목적</t>
  </si>
  <si>
    <t>❍ 투명하고 공정한 선정 절차로 우수한 품질과 가격 경쟁력 확보</t>
  </si>
  <si>
    <t>❍ 학부모 교육비 부담을 경감하여 교복 가격 안정화 도모</t>
  </si>
  <si>
    <t>나. 교복 납품 사업자 선정 방법</t>
  </si>
  <si>
    <t>❍ 교복선정위원회를 구성하여 교복에 대한 2단계 경쟁(품질 → 가격)을 심사</t>
  </si>
  <si>
    <t>다. 교복구매 상한가격</t>
  </si>
  <si>
    <t>라. 협의사항</t>
  </si>
  <si>
    <t>❍ 교복선정위원회 구성</t>
  </si>
  <si>
    <t>직위</t>
  </si>
  <si>
    <t>❍ 기타 의견 수렴</t>
  </si>
  <si>
    <t>※ 참고 서식이니 해당학교의 학교운영위원회 서식을 사용할 것</t>
  </si>
  <si>
    <t>[검토중 — 담당자 최종 확인 후 사용] 원본 HWPX 70쪽 [14] 대조. 낙찰 업체는 I3 순번으로 1곳만 선택 반영하며 대표자·비고(주소)는 수기 작성함</t>
  </si>
  <si>
    <t>낙찰 업체 선택 순번(자동, 인쇄 전용)</t>
  </si>
  <si>
    <t>교복 학교주관구매 낙찰자 결정(안)</t>
  </si>
  <si>
    <t>가. 건  명：</t>
  </si>
  <si>
    <t>나. 기초금액：</t>
  </si>
  <si>
    <t>다. 예정가격：</t>
  </si>
  <si>
    <t>라. 낙찰자</t>
  </si>
  <si>
    <t>순위</t>
  </si>
  <si>
    <t>투찰금액(원)</t>
  </si>
  <si>
    <t>낙찰률(%)</t>
  </si>
  <si>
    <t>비고(주소)</t>
  </si>
  <si>
    <t>마. 근거：「지방자치단체를 당사자로 하는 계약에 관한 법률 시행령」 제42조.  끝.</t>
  </si>
  <si>
    <t>[검토중 — 담당자 최종 확인 후 사용] 원본 HWPX 71쪽 [15] 대조. 수신·업체명은 I3 순번으로 선택한 낙찰 업체를 반영하며 대표자·비고는 수기 작성함</t>
  </si>
  <si>
    <t>교복 학교주관구매 낙찰자 결정 통보</t>
  </si>
  <si>
    <t>1. 귀사의 무궁한 발전을 기원합니다.</t>
  </si>
  <si>
    <t>가. 낙찰자</t>
  </si>
  <si>
    <t>계약체결금액(원)</t>
  </si>
  <si>
    <t>나. 제출서류</t>
  </si>
  <si>
    <t>1) 품목별 산출내역서 1부.</t>
  </si>
  <si>
    <t>2) 원단 의류 시험성적서 1부.</t>
  </si>
  <si>
    <t>3) 사용인장계(조달등록 인장 아닌 경우) 1부.</t>
  </si>
  <si>
    <t>4) 법인 등기사항증명서(법인) 또는 주민등록등본(개인) 1부.  끝.</t>
  </si>
  <si>
    <t>[검토중 — 담당자 최종 확인 후 사용] 원본 HWPX 72쪽 [16] 대조. 계약상대자 업체명은 I3 순번으로 선택 반영하며 소재지·대표자·전화번호는 수기 작성함. 납품기한은 기초자료입력의 단일 값만 반영(원문 동복/하복 구분 한계)</t>
  </si>
  <si>
    <t>계약상대자 선택 순번(자동, 인쇄 전용)</t>
  </si>
  <si>
    <t>교복 학교주관구매 계약 체결(안)</t>
  </si>
  <si>
    <t>가. 계약명：</t>
  </si>
  <si>
    <t>단가(원) 입력：</t>
  </si>
  <si>
    <t>(담당자가 계약 단가를 직접 입력함 — 기초자료입력 미연동, K-01)</t>
  </si>
  <si>
    <t>나. 계약금액：</t>
  </si>
  <si>
    <t>※ 최종구매수량은 희망 학생 수에 따라 증감될 수 있음.</t>
  </si>
  <si>
    <t>3. 계약상대자</t>
  </si>
  <si>
    <t>소재지</t>
  </si>
  <si>
    <t>4. 계약보증금：교복단가에 예정 수량을 곱한 금액의 10%(보증서 전자 접수)</t>
  </si>
  <si>
    <t>6. 계약방법：나라장터(G2B)를 통한 전자계약</t>
  </si>
  <si>
    <t>붙임 1. 계약서(초안) 1부.</t>
  </si>
  <si>
    <t xml:space="preserve">      2. 교복 사양서 1부.</t>
  </si>
  <si>
    <t xml:space="preserve">      3. 교복 구매계약 특수조건 1부.</t>
  </si>
  <si>
    <t xml:space="preserve">      4. 입찰가격산출내역서(품목별 단가표) 1부.</t>
  </si>
  <si>
    <t xml:space="preserve">      5. 기타서류(별첨).  끝.</t>
  </si>
  <si>
    <t>번호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</si>
  <si>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</si>
  <si>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</si>
  <si>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</si>
  <si>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</si>
  <si>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</si>
  <si>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</si>
  <si>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</si>
  <si>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</si>
  <si>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</si>
  <si>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</si>
  <si>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</si>
  <si>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</si>
  <si>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</si>
  <si>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</si>
  <si>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</si>
  <si>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</si>
  <si>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</si>
  <si>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</si>
  <si>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</si>
  <si>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</si>
  <si>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</si>
  <si>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</si>
  <si>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</si>
  <si>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</si>
  <si>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</si>
  <si>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</si>
  <si>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</si>
  <si>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</si>
  <si>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</si>
  <si>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</si>
  <si>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</si>
  <si>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</si>
  <si>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</si>
  <si>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</si>
  <si>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</si>
  <si>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</si>
  <si>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</si>
  <si>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</si>
  <si>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</si>
  <si>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</si>
  <si>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</si>
  <si>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</si>
  <si>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</si>
  <si>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</si>
  <si>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</si>
  <si>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</si>
  <si>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</si>
  <si>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</si>
  <si>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</si>
  <si>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</si>
  <si>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</si>
  <si>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</si>
  <si>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</si>
  <si>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</si>
  <si>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</si>
  <si>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</si>
  <si>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</si>
  <si>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</si>
  <si>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</si>
  <si>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</si>
  <si>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</si>
  <si>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</si>
  <si>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</si>
  <si>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</si>
  <si>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</si>
  <si>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</si>
  <si>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</si>
  <si>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</si>
  <si>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</si>
  <si>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</si>
  <si>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</si>
  <si>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</si>
  <si>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</si>
  <si>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</si>
  <si>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</si>
  <si>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</si>
  <si>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</si>
  <si>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</si>
  <si>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</si>
  <si>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</si>
  <si>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</si>
  <si>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</si>
  <si>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</si>
  <si>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</si>
  <si>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</si>
  <si>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</si>
  <si>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</si>
  <si>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</si>
  <si>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</si>
  <si>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</si>
  <si>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</si>
  <si>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</si>
  <si>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</si>
  <si>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</si>
  <si>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</si>
  <si>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</si>
  <si>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</si>
  <si>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</si>
  <si>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</si>
  <si>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</si>
  <si>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</si>
  <si>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</si>
  <si>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</si>
  <si>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</si>
  <si>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</si>
  <si>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</si>
  <si>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</si>
  <si>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</si>
  <si>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</si>
  <si>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</si>
  <si>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</si>
  <si>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</si>
  <si>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</si>
  <si>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</si>
  <si>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</si>
  <si>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</si>
  <si>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</si>
  <si>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</si>
  <si>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</si>
  <si>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</si>
  <si>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</si>
  <si>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</si>
  <si>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</si>
  <si>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</si>
  <si>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</si>
  <si>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</si>
  <si>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</si>
  <si>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</si>
  <si>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</si>
  <si>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</si>
  <si>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</si>
  <si>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</si>
  <si>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</si>
  <si>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</si>
  <si>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</si>
  <si>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</si>
  <si>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</si>
  <si>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</si>
  <si>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</si>
  <si>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</si>
  <si>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</si>
  <si>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</si>
  <si>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</si>
  <si>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</si>
  <si>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</si>
  <si>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</si>
  <si>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</si>
  <si>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</si>
  <si>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</si>
  <si>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</si>
  <si>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</si>
  <si>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</si>
  <si>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</si>
  <si>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</si>
  <si>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</si>
  <si>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</si>
  <si>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</si>
  <si>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</si>
  <si>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</si>
  <si>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</si>
  <si>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</si>
  <si>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</si>
  <si>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</si>
  <si>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</si>
  <si>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</si>
  <si>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</si>
  <si>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</si>
  <si>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</si>
  <si>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</si>
  <si>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</si>
  <si>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</si>
  <si>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</si>
  <si>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</si>
  <si>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</si>
  <si>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</si>
  <si>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</si>
  <si>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</si>
  <si>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</si>
  <si>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</si>
  <si>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</si>
  <si>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</si>
  <si>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</si>
  <si>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</si>
  <si>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</si>
  <si>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</si>
  <si>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</si>
  <si>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</si>
  <si>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</si>
  <si>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</si>
  <si>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</si>
  <si>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</si>
  <si>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</si>
  <si>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</si>
  <si>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</si>
  <si>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</si>
  <si>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</si>
  <si>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</si>
  <si>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</si>
  <si>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</si>
  <si>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</si>
  <si>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</si>
  <si>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</si>
  <si>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</si>
  <si>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</si>
  <si>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</si>
  <si>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</si>
  <si>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</si>
  <si>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</si>
  <si>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</si>
  <si>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</si>
  <si>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</si>
  <si>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</si>
  <si>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</si>
  <si>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</si>
  <si>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</si>
  <si>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</si>
  <si>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</si>
  <si>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</si>
  <si>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</si>
  <si>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</si>
  <si>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</si>
  <si>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</si>
  <si>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</si>
  <si>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</si>
  <si>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</si>
  <si>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</si>
  <si>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</si>
  <si>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</si>
  <si>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</si>
  <si>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</si>
  <si>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</si>
  <si>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</si>
  <si>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</si>
  <si>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</si>
  <si>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</si>
  <si>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</si>
  <si>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</si>
  <si>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</si>
  <si>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</si>
  <si>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</si>
  <si>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</si>
  <si>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</si>
  <si>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</si>
  <si>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</si>
  <si>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</si>
  <si>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</si>
  <si>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</si>
  <si>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</si>
  <si>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</si>
  <si>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</si>
  <si>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</si>
  <si>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</si>
  <si>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</si>
  <si>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</si>
  <si>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</si>
  <si>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</si>
  <si>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</si>
  <si>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</si>
  <si>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</si>
  <si>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</si>
  <si>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</si>
  <si>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</si>
  <si>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</si>
  <si>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</si>
  <si>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</si>
  <si>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</si>
  <si>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</si>
  <si>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</si>
  <si>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</si>
  <si>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</si>
  <si>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</si>
  <si>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</si>
  <si>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</si>
  <si>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</si>
  <si>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</si>
  <si>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</si>
  <si>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</si>
  <si>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</si>
  <si>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</si>
  <si>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</si>
  <si>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</si>
  <si>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</si>
  <si>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</si>
  <si>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</si>
  <si>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</si>
  <si>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</si>
  <si>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</si>
  <si>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</si>
  <si>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</si>
  <si>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</si>
  <si>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</si>
  <si>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</si>
  <si>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</si>
  <si>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</si>
  <si>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</si>
  <si>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</si>
  <si>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</si>
  <si>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</si>
  <si>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</si>
  <si>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</si>
  <si>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</si>
  <si>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</si>
  <si>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</si>
  <si>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</si>
  <si>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</si>
  <si>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</si>
  <si>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</si>
  <si>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</si>
  <si>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</si>
  <si>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</si>
  <si>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</si>
  <si>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</si>
  <si>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</si>
  <si>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</si>
  <si>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</si>
  <si>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</si>
  <si>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</si>
  <si>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</si>
  <si>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</si>
  <si>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</si>
  <si>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</si>
  <si>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</si>
  <si>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</si>
  <si>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</si>
  <si>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</si>
  <si>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</si>
  <si>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</si>
  <si>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</si>
  <si>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</si>
  <si>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</si>
  <si>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</si>
  <si>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</si>
  <si>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</si>
  <si>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</si>
  <si>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</si>
  <si>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</si>
  <si>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</si>
  <si>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</si>
  <si>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</si>
  <si>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</si>
  <si>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</si>
  <si>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</si>
  <si>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</si>
  <si>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</si>
  <si>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</si>
  <si>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</si>
  <si>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</si>
  <si>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</si>
  <si>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</si>
  <si>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</si>
  <si>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</si>
  <si>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</si>
  <si>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</si>
  <si>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</si>
  <si>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</si>
  <si>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</si>
  <si>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</si>
  <si>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</si>
  <si>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</si>
  <si>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</si>
  <si>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</si>
  <si>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</si>
  <si>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</si>
  <si>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</si>
  <si>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</si>
  <si>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</si>
  <si>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</si>
  <si>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</si>
  <si>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</si>
  <si>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</si>
  <si>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</si>
  <si>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</si>
  <si>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</si>
  <si>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</si>
  <si>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</si>
  <si>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</si>
  <si>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</si>
  <si>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</si>
  <si>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</si>
  <si>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</si>
  <si>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</si>
  <si>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</si>
  <si>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</si>
  <si>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</si>
  <si>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</si>
  <si>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</si>
  <si>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</si>
  <si>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</si>
  <si>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</si>
  <si>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</si>
  <si>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</si>
  <si>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</si>
  <si>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</si>
  <si>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</si>
  <si>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</si>
  <si>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</si>
  <si>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</si>
  <si>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</si>
  <si>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</si>
  <si>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</si>
  <si>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</si>
  <si>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</si>
  <si>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</si>
  <si>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</si>
  <si>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</si>
  <si>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</si>
  <si>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</si>
  <si>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</si>
  <si>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</si>
  <si>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</si>
  <si>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</si>
  <si>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</si>
  <si>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</si>
  <si>
    <t>검증초등학교</t>
  </si>
  <si>
    <t>2026학년도 동복 구매</t>
  </si>
  <si>
    <t>2026학년도 동복 구매 낙찰자 결정</t>
  </si>
  <si>
    <t>검증업체가</t>
  </si>
  <si>
    <t>금5,500,000원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</si>
</sst>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20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8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2" fontId="13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3" fillId="0" borderId="1" xfId="0" applyFont="1" applyBorder="1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1" xfId="0" applyFont="1" applyBorder="1" applyAlignment="1">
      <alignment vertical="center" shrinkToFit="1"/>
    </xf>
    <xf numFmtId="0" fontId="16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8" fillId="0" borderId="0" xfId="0" applyFont="1" applyAlignment="1">
      <alignment vertical="center"/>
    </xf>
    <xf numFmtId="0" fontId="18" fillId="0" borderId="1" xfId="0" applyFont="1" applyBorder="1" applyAlignment="1">
      <alignment vertical="center"/>
    </xf>
    <xf numFmtId="0" fontId="13" fillId="0" borderId="4" xfId="0" applyFont="1" applyBorder="1">
      <alignment vertical="center"/>
    </xf>
    <xf numFmtId="3" fontId="13" fillId="2" borderId="1" xfId="0" applyNumberFormat="1" applyFont="1" applyFill="1" applyBorder="1">
      <alignment vertical="center"/>
    </xf>
    <xf numFmtId="2" fontId="13" fillId="2" borderId="1" xfId="0" applyNumberFormat="1" applyFont="1" applyFill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 wrapText="1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1" xfId="0" applyFont="1" applyBorder="1">
      <alignment vertical="center"/>
    </xf>
    <xf numFmtId="0" fontId="12" fillId="0" borderId="1" xfId="0" applyFont="1" applyBorder="1">
      <alignment vertical="center"/>
    </xf>
    <xf numFmtId="0" fontId="13" fillId="0" borderId="0" xfId="0" applyFont="1">
      <alignment vertical="center"/>
    </xf>
    <xf numFmtId="3" fontId="13" fillId="2" borderId="0" xfId="0" applyNumberFormat="1" applyFont="1" applyFill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vertical="center" wrapText="1"/>
    </xf>
    <xf numFmtId="0" fontId="13" fillId="2" borderId="0" xfId="0" applyFont="1" applyFill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9" fillId="0" borderId="0" xfId="0" applyFont="1" applyAlignment="1">
      <alignment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2" fillId="0" borderId="2" xfId="0" applyFont="1" applyBorder="1">
      <alignment vertical="center"/>
    </xf>
    <xf numFmtId="0" fontId="13" fillId="0" borderId="1" xfId="0" applyFont="1" applyBorder="1" applyAlignment="1">
      <alignment vertical="center" wrapText="1"/>
    </xf>
    <xf numFmtId="0" fontId="12" fillId="0" borderId="1" xfId="0" applyFont="1" applyBorder="1" applyAlignment="1">
      <alignment horizontal="center" vertical="center"/>
    </xf>
    <xf numFmtId="0" fontId="13" fillId="0" borderId="4" xfId="0" applyFont="1" applyBorder="1">
      <alignment vertical="center"/>
    </xf>
    <xf numFmtId="0" fontId="13" fillId="0" borderId="3" xfId="0" applyFont="1" applyBorder="1" applyAlignment="1">
      <alignment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2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1A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2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2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2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2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E4E90-1778-4523-BC0E-7E3BD73111B0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1035</v>
      </c>
    </row>
    <row r="2" spans="1:5" ht="42" customHeight="1" x14ac:dyDescent="0.4">
      <c r="A2" s="63" t="s">
        <v>1036</v>
      </c>
      <c r="B2" s="63"/>
      <c r="C2" s="63"/>
      <c r="D2" s="63"/>
      <c r="E2" s="63"/>
    </row>
    <row r="4" spans="1:5" x14ac:dyDescent="0.4">
      <c r="A4" s="58" t="s">
        <v>1037</v>
      </c>
      <c r="B4" s="58" t="s">
        <v>1038</v>
      </c>
      <c r="C4" s="58" t="s">
        <v>1039</v>
      </c>
    </row>
    <row r="5" spans="1:5" x14ac:dyDescent="0.4">
      <c r="A5" s="60" t="s">
        <v>1040</v>
      </c>
      <c r="B5" s="62"/>
      <c r="C5" s="61" t="s">
        <v>1043</v>
      </c>
    </row>
    <row r="6" spans="1:5" x14ac:dyDescent="0.4">
      <c r="A6" s="60" t="s">
        <v>1041</v>
      </c>
      <c r="B6" s="62"/>
      <c r="C6" s="61" t="s">
        <v>1044</v>
      </c>
    </row>
    <row r="7" spans="1:5" x14ac:dyDescent="0.4">
      <c r="A7" s="60" t="s">
        <v>1042</v>
      </c>
      <c r="B7" s="60" t="str">
        <f>IF(AND(B5="예",B6="예"),"2단계 입찰(규격·가격 동시)","")</f>
        <v/>
      </c>
      <c r="C7" s="61" t="s">
        <v>1045</v>
      </c>
    </row>
    <row r="9" spans="1:5" x14ac:dyDescent="0.4">
      <c r="A9" s="3" t="s">
        <v>1046</v>
      </c>
    </row>
    <row r="10" spans="1:5" ht="36" customHeight="1" x14ac:dyDescent="0.4">
      <c r="A10" s="63" t="s">
        <v>1047</v>
      </c>
      <c r="B10" s="63"/>
      <c r="C10" s="63"/>
      <c r="D10" s="63"/>
      <c r="E10" s="63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10E73C3F-B040-4BE6-AACC-6A58E26C2204}">
      <formula1>"예,아니오"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9AB08-8030-4106-88D4-9045E5915887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1004</v>
      </c>
    </row>
    <row r="2" spans="1:4" x14ac:dyDescent="0.4">
      <c r="A2" t="s">
        <v>1005</v>
      </c>
    </row>
    <row r="4" spans="1:4" x14ac:dyDescent="0.4">
      <c r="A4" s="17" t="s">
        <v>1006</v>
      </c>
      <c r="B4" s="17" t="s">
        <v>1007</v>
      </c>
      <c r="C4" s="17" t="s">
        <v>1008</v>
      </c>
      <c r="D4" s="17" t="s">
        <v>1009</v>
      </c>
    </row>
    <row r="5" spans="1:4" x14ac:dyDescent="0.4">
      <c r="A5" s="59" t="s">
        <v>1010</v>
      </c>
      <c r="B5" s="61" t="s">
        <v>1011</v>
      </c>
      <c r="C5" s="61" t="s">
        <v>1012</v>
      </c>
      <c r="D5" s="59" t="s">
        <v>126</v>
      </c>
    </row>
    <row r="6" spans="1:4" x14ac:dyDescent="0.4">
      <c r="A6" s="59" t="s">
        <v>1013</v>
      </c>
      <c r="B6" s="61" t="s">
        <v>1014</v>
      </c>
      <c r="C6" s="61" t="s">
        <v>143</v>
      </c>
      <c r="D6" s="59" t="s">
        <v>143</v>
      </c>
    </row>
    <row r="7" spans="1:4" x14ac:dyDescent="0.4">
      <c r="A7" s="59" t="s">
        <v>1015</v>
      </c>
      <c r="B7" s="61" t="s">
        <v>1016</v>
      </c>
      <c r="C7" s="61" t="s">
        <v>1017</v>
      </c>
      <c r="D7" s="59" t="s">
        <v>146</v>
      </c>
    </row>
    <row r="8" spans="1:4" x14ac:dyDescent="0.4">
      <c r="A8" s="59" t="s">
        <v>1018</v>
      </c>
      <c r="B8" s="61" t="s">
        <v>1019</v>
      </c>
      <c r="C8" s="61" t="s">
        <v>1020</v>
      </c>
      <c r="D8" s="59" t="s">
        <v>157</v>
      </c>
    </row>
    <row r="9" spans="1:4" x14ac:dyDescent="0.4">
      <c r="A9" s="59" t="s">
        <v>1021</v>
      </c>
      <c r="B9" s="61" t="s">
        <v>1022</v>
      </c>
      <c r="C9" s="61" t="s">
        <v>1023</v>
      </c>
      <c r="D9" s="59" t="s">
        <v>175</v>
      </c>
    </row>
    <row r="10" spans="1:4" x14ac:dyDescent="0.4">
      <c r="A10" s="59" t="s">
        <v>1024</v>
      </c>
      <c r="B10" s="61" t="s">
        <v>1025</v>
      </c>
      <c r="C10" s="61" t="s">
        <v>1026</v>
      </c>
      <c r="D10" s="59" t="s">
        <v>165</v>
      </c>
    </row>
    <row r="11" spans="1:4" x14ac:dyDescent="0.4">
      <c r="A11" s="59" t="s">
        <v>1027</v>
      </c>
      <c r="B11" s="61" t="s">
        <v>1028</v>
      </c>
      <c r="C11" s="61" t="s">
        <v>1029</v>
      </c>
      <c r="D11" s="59" t="s">
        <v>231</v>
      </c>
    </row>
    <row r="12" spans="1:4" x14ac:dyDescent="0.4">
      <c r="A12" s="59" t="s">
        <v>1030</v>
      </c>
      <c r="B12" s="61" t="s">
        <v>1031</v>
      </c>
      <c r="C12" s="61" t="s">
        <v>238</v>
      </c>
      <c r="D12" s="59" t="s">
        <v>238</v>
      </c>
    </row>
    <row r="13" spans="1:4" x14ac:dyDescent="0.4">
      <c r="A13" s="59" t="s">
        <v>1032</v>
      </c>
      <c r="B13" s="61" t="s">
        <v>1033</v>
      </c>
      <c r="C13" s="61" t="s">
        <v>1034</v>
      </c>
      <c r="D13" s="59" t="s">
        <v>241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2D855-DB46-49F5-B1CA-9590CF041E1F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1002</v>
      </c>
    </row>
    <row r="2" spans="1:6" x14ac:dyDescent="0.4">
      <c r="A2" t="s">
        <v>1003</v>
      </c>
    </row>
    <row r="3" spans="1:6" x14ac:dyDescent="0.4">
      <c r="A3" t="s">
        <v>87</v>
      </c>
      <c r="B3" s="9"/>
      <c r="C3" t="s">
        <v>636</v>
      </c>
      <c r="D3" s="9"/>
      <c r="E3" t="s">
        <v>637</v>
      </c>
      <c r="F3" s="9"/>
    </row>
    <row r="6" spans="1:6" x14ac:dyDescent="0.4">
      <c r="A6" s="58" t="s">
        <v>635</v>
      </c>
      <c r="B6" s="58" t="s">
        <v>636</v>
      </c>
      <c r="C6" s="58" t="s">
        <v>637</v>
      </c>
      <c r="D6" s="58" t="s">
        <v>87</v>
      </c>
      <c r="E6" s="58" t="s">
        <v>281</v>
      </c>
      <c r="F6" s="58" t="s">
        <v>356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404B9-541B-426F-8CCB-2A075F8B9269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635</v>
      </c>
      <c r="B1" s="3" t="s">
        <v>636</v>
      </c>
      <c r="C1" s="3" t="s">
        <v>637</v>
      </c>
      <c r="D1" s="3" t="s">
        <v>638</v>
      </c>
      <c r="E1" s="3" t="s">
        <v>87</v>
      </c>
      <c r="F1" s="3" t="s">
        <v>281</v>
      </c>
      <c r="G1" s="3" t="s">
        <v>356</v>
      </c>
    </row>
    <row r="2" spans="1:7" x14ac:dyDescent="0.4">
      <c r="A2">
        <v>808</v>
      </c>
      <c r="B2" t="s">
        <v>639</v>
      </c>
      <c r="C2" t="s">
        <v>640</v>
      </c>
      <c r="D2" t="s">
        <v>641</v>
      </c>
      <c r="E2" t="s">
        <v>642</v>
      </c>
      <c r="F2" t="s">
        <v>643</v>
      </c>
      <c r="G2" t="s">
        <v>644</v>
      </c>
    </row>
    <row r="3" spans="1:7" x14ac:dyDescent="0.4">
      <c r="A3">
        <v>807</v>
      </c>
      <c r="B3" t="s">
        <v>639</v>
      </c>
      <c r="C3" t="s">
        <v>645</v>
      </c>
      <c r="D3" t="s">
        <v>646</v>
      </c>
      <c r="E3" t="s">
        <v>647</v>
      </c>
      <c r="F3" t="s">
        <v>648</v>
      </c>
      <c r="G3" t="s">
        <v>649</v>
      </c>
    </row>
    <row r="4" spans="1:7" x14ac:dyDescent="0.4">
      <c r="A4">
        <v>806</v>
      </c>
      <c r="B4" t="s">
        <v>639</v>
      </c>
      <c r="C4" t="s">
        <v>640</v>
      </c>
      <c r="D4" t="s">
        <v>646</v>
      </c>
      <c r="E4" t="s">
        <v>650</v>
      </c>
      <c r="F4" t="s">
        <v>651</v>
      </c>
      <c r="G4" t="s">
        <v>652</v>
      </c>
    </row>
    <row r="5" spans="1:7" x14ac:dyDescent="0.4">
      <c r="A5">
        <v>805</v>
      </c>
      <c r="B5" t="s">
        <v>639</v>
      </c>
      <c r="C5" t="s">
        <v>640</v>
      </c>
      <c r="D5" t="s">
        <v>641</v>
      </c>
      <c r="E5" t="s">
        <v>653</v>
      </c>
      <c r="F5" t="s">
        <v>654</v>
      </c>
      <c r="G5" t="s">
        <v>655</v>
      </c>
    </row>
    <row r="6" spans="1:7" x14ac:dyDescent="0.4">
      <c r="A6">
        <v>804</v>
      </c>
      <c r="B6" t="s">
        <v>639</v>
      </c>
      <c r="C6" t="s">
        <v>640</v>
      </c>
      <c r="D6" t="s">
        <v>641</v>
      </c>
      <c r="E6" t="s">
        <v>656</v>
      </c>
      <c r="F6" t="s">
        <v>657</v>
      </c>
      <c r="G6" t="s">
        <v>658</v>
      </c>
    </row>
    <row r="7" spans="1:7" x14ac:dyDescent="0.4">
      <c r="A7">
        <v>803</v>
      </c>
      <c r="B7" t="s">
        <v>639</v>
      </c>
      <c r="C7" t="s">
        <v>645</v>
      </c>
      <c r="D7" t="s">
        <v>641</v>
      </c>
      <c r="E7" t="s">
        <v>659</v>
      </c>
      <c r="F7" t="s">
        <v>657</v>
      </c>
      <c r="G7" t="s">
        <v>660</v>
      </c>
    </row>
    <row r="8" spans="1:7" x14ac:dyDescent="0.4">
      <c r="A8">
        <v>802</v>
      </c>
      <c r="B8" t="s">
        <v>639</v>
      </c>
      <c r="C8" t="s">
        <v>640</v>
      </c>
      <c r="D8" t="s">
        <v>641</v>
      </c>
      <c r="E8" t="s">
        <v>661</v>
      </c>
      <c r="F8" t="s">
        <v>662</v>
      </c>
      <c r="G8" t="s">
        <v>663</v>
      </c>
    </row>
    <row r="9" spans="1:7" x14ac:dyDescent="0.4">
      <c r="A9">
        <v>801</v>
      </c>
      <c r="B9" t="s">
        <v>639</v>
      </c>
      <c r="C9" t="s">
        <v>640</v>
      </c>
      <c r="D9" t="s">
        <v>641</v>
      </c>
      <c r="E9" t="s">
        <v>664</v>
      </c>
      <c r="F9" t="s">
        <v>665</v>
      </c>
      <c r="G9" t="s">
        <v>666</v>
      </c>
    </row>
    <row r="10" spans="1:7" x14ac:dyDescent="0.4">
      <c r="A10">
        <v>800</v>
      </c>
      <c r="B10" t="s">
        <v>639</v>
      </c>
      <c r="C10" t="s">
        <v>640</v>
      </c>
      <c r="D10" t="s">
        <v>646</v>
      </c>
      <c r="E10" t="s">
        <v>667</v>
      </c>
      <c r="F10" t="s">
        <v>668</v>
      </c>
      <c r="G10" t="s">
        <v>669</v>
      </c>
    </row>
    <row r="11" spans="1:7" x14ac:dyDescent="0.4">
      <c r="A11">
        <v>799</v>
      </c>
      <c r="B11" t="s">
        <v>639</v>
      </c>
      <c r="C11" t="s">
        <v>645</v>
      </c>
      <c r="D11" t="s">
        <v>646</v>
      </c>
      <c r="E11" t="s">
        <v>670</v>
      </c>
      <c r="F11" t="s">
        <v>671</v>
      </c>
      <c r="G11" t="s">
        <v>672</v>
      </c>
    </row>
    <row r="12" spans="1:7" x14ac:dyDescent="0.4">
      <c r="A12">
        <v>798</v>
      </c>
      <c r="B12" t="s">
        <v>639</v>
      </c>
      <c r="C12" t="s">
        <v>640</v>
      </c>
      <c r="D12" t="s">
        <v>673</v>
      </c>
      <c r="E12" t="s">
        <v>674</v>
      </c>
      <c r="F12" t="s">
        <v>675</v>
      </c>
      <c r="G12" t="s">
        <v>676</v>
      </c>
    </row>
    <row r="13" spans="1:7" x14ac:dyDescent="0.4">
      <c r="A13">
        <v>797</v>
      </c>
      <c r="B13" t="s">
        <v>639</v>
      </c>
      <c r="C13" t="s">
        <v>640</v>
      </c>
      <c r="D13" t="s">
        <v>641</v>
      </c>
      <c r="E13" t="s">
        <v>677</v>
      </c>
      <c r="F13" t="s">
        <v>678</v>
      </c>
      <c r="G13" t="s">
        <v>679</v>
      </c>
    </row>
    <row r="14" spans="1:7" x14ac:dyDescent="0.4">
      <c r="A14">
        <v>796</v>
      </c>
      <c r="B14" t="s">
        <v>639</v>
      </c>
      <c r="C14" t="s">
        <v>645</v>
      </c>
      <c r="D14" t="s">
        <v>641</v>
      </c>
      <c r="E14" t="s">
        <v>680</v>
      </c>
      <c r="F14" t="s">
        <v>662</v>
      </c>
      <c r="G14" t="s">
        <v>681</v>
      </c>
    </row>
    <row r="15" spans="1:7" x14ac:dyDescent="0.4">
      <c r="A15">
        <v>795</v>
      </c>
      <c r="B15" t="s">
        <v>639</v>
      </c>
      <c r="C15" t="s">
        <v>640</v>
      </c>
      <c r="D15" t="s">
        <v>641</v>
      </c>
      <c r="E15" t="s">
        <v>682</v>
      </c>
      <c r="F15" t="s">
        <v>683</v>
      </c>
      <c r="G15" t="s">
        <v>684</v>
      </c>
    </row>
    <row r="16" spans="1:7" x14ac:dyDescent="0.4">
      <c r="A16">
        <v>794</v>
      </c>
      <c r="B16" t="s">
        <v>639</v>
      </c>
      <c r="C16" t="s">
        <v>645</v>
      </c>
      <c r="D16" t="s">
        <v>646</v>
      </c>
      <c r="E16" t="s">
        <v>685</v>
      </c>
      <c r="F16" t="s">
        <v>686</v>
      </c>
      <c r="G16" t="s">
        <v>687</v>
      </c>
    </row>
    <row r="17" spans="1:7" x14ac:dyDescent="0.4">
      <c r="A17">
        <v>793</v>
      </c>
      <c r="B17" t="s">
        <v>639</v>
      </c>
      <c r="C17" t="s">
        <v>640</v>
      </c>
      <c r="D17" t="s">
        <v>646</v>
      </c>
      <c r="E17" t="s">
        <v>688</v>
      </c>
      <c r="F17" t="s">
        <v>689</v>
      </c>
      <c r="G17" t="s">
        <v>690</v>
      </c>
    </row>
    <row r="18" spans="1:7" x14ac:dyDescent="0.4">
      <c r="A18">
        <v>792</v>
      </c>
      <c r="B18" t="s">
        <v>639</v>
      </c>
      <c r="C18" t="s">
        <v>645</v>
      </c>
      <c r="D18" t="s">
        <v>646</v>
      </c>
      <c r="E18" t="s">
        <v>691</v>
      </c>
      <c r="F18" t="s">
        <v>692</v>
      </c>
      <c r="G18" t="s">
        <v>693</v>
      </c>
    </row>
    <row r="19" spans="1:7" x14ac:dyDescent="0.4">
      <c r="A19">
        <v>791</v>
      </c>
      <c r="B19" t="s">
        <v>639</v>
      </c>
      <c r="C19" t="s">
        <v>640</v>
      </c>
      <c r="D19" t="s">
        <v>646</v>
      </c>
      <c r="E19" t="s">
        <v>694</v>
      </c>
      <c r="F19" t="s">
        <v>695</v>
      </c>
      <c r="G19" t="s">
        <v>696</v>
      </c>
    </row>
    <row r="20" spans="1:7" x14ac:dyDescent="0.4">
      <c r="A20">
        <v>790</v>
      </c>
      <c r="B20" t="s">
        <v>639</v>
      </c>
      <c r="C20" t="s">
        <v>697</v>
      </c>
      <c r="D20" t="s">
        <v>673</v>
      </c>
      <c r="E20" t="s">
        <v>698</v>
      </c>
      <c r="F20" t="s">
        <v>699</v>
      </c>
      <c r="G20" t="s">
        <v>700</v>
      </c>
    </row>
    <row r="21" spans="1:7" x14ac:dyDescent="0.4">
      <c r="A21">
        <v>789</v>
      </c>
      <c r="B21" t="s">
        <v>639</v>
      </c>
      <c r="C21" t="s">
        <v>640</v>
      </c>
      <c r="D21" t="s">
        <v>641</v>
      </c>
      <c r="E21" t="s">
        <v>701</v>
      </c>
      <c r="F21" t="s">
        <v>702</v>
      </c>
      <c r="G21" t="s">
        <v>703</v>
      </c>
    </row>
    <row r="22" spans="1:7" x14ac:dyDescent="0.4">
      <c r="A22">
        <v>788</v>
      </c>
      <c r="B22" t="s">
        <v>639</v>
      </c>
      <c r="C22" t="s">
        <v>645</v>
      </c>
      <c r="D22" t="s">
        <v>641</v>
      </c>
      <c r="E22" t="s">
        <v>704</v>
      </c>
      <c r="F22" t="s">
        <v>702</v>
      </c>
      <c r="G22" t="s">
        <v>705</v>
      </c>
    </row>
    <row r="23" spans="1:7" x14ac:dyDescent="0.4">
      <c r="A23">
        <v>787</v>
      </c>
      <c r="B23" t="s">
        <v>639</v>
      </c>
      <c r="C23" t="s">
        <v>697</v>
      </c>
      <c r="D23" t="s">
        <v>646</v>
      </c>
      <c r="E23" t="s">
        <v>706</v>
      </c>
      <c r="F23" t="s">
        <v>707</v>
      </c>
      <c r="G23" t="s">
        <v>708</v>
      </c>
    </row>
    <row r="24" spans="1:7" x14ac:dyDescent="0.4">
      <c r="A24">
        <v>786</v>
      </c>
      <c r="B24" t="s">
        <v>639</v>
      </c>
      <c r="C24" t="s">
        <v>697</v>
      </c>
      <c r="D24" t="s">
        <v>646</v>
      </c>
      <c r="E24" t="s">
        <v>709</v>
      </c>
      <c r="F24" t="s">
        <v>710</v>
      </c>
      <c r="G24" t="s">
        <v>711</v>
      </c>
    </row>
    <row r="25" spans="1:7" x14ac:dyDescent="0.4">
      <c r="A25">
        <v>785</v>
      </c>
      <c r="B25" t="s">
        <v>639</v>
      </c>
      <c r="C25" t="s">
        <v>645</v>
      </c>
      <c r="D25" t="s">
        <v>646</v>
      </c>
      <c r="E25" t="s">
        <v>712</v>
      </c>
      <c r="F25" t="s">
        <v>713</v>
      </c>
      <c r="G25" t="s">
        <v>714</v>
      </c>
    </row>
    <row r="26" spans="1:7" x14ac:dyDescent="0.4">
      <c r="A26">
        <v>784</v>
      </c>
      <c r="B26" t="s">
        <v>639</v>
      </c>
      <c r="C26" t="s">
        <v>697</v>
      </c>
      <c r="D26" t="s">
        <v>646</v>
      </c>
      <c r="E26" t="s">
        <v>715</v>
      </c>
      <c r="F26" t="s">
        <v>716</v>
      </c>
      <c r="G26" t="s">
        <v>717</v>
      </c>
    </row>
    <row r="27" spans="1:7" x14ac:dyDescent="0.4">
      <c r="A27">
        <v>783</v>
      </c>
      <c r="B27" t="s">
        <v>639</v>
      </c>
      <c r="C27" t="s">
        <v>640</v>
      </c>
      <c r="D27" t="s">
        <v>641</v>
      </c>
      <c r="E27" t="s">
        <v>718</v>
      </c>
      <c r="F27" t="s">
        <v>719</v>
      </c>
      <c r="G27" t="s">
        <v>720</v>
      </c>
    </row>
    <row r="28" spans="1:7" x14ac:dyDescent="0.4">
      <c r="A28">
        <v>782</v>
      </c>
      <c r="B28" t="s">
        <v>639</v>
      </c>
      <c r="C28" t="s">
        <v>645</v>
      </c>
      <c r="D28" t="s">
        <v>641</v>
      </c>
      <c r="E28" t="s">
        <v>721</v>
      </c>
      <c r="F28" t="s">
        <v>719</v>
      </c>
      <c r="G28" t="s">
        <v>722</v>
      </c>
    </row>
    <row r="29" spans="1:7" x14ac:dyDescent="0.4">
      <c r="A29">
        <v>781</v>
      </c>
      <c r="B29" t="s">
        <v>639</v>
      </c>
      <c r="C29" t="s">
        <v>645</v>
      </c>
      <c r="D29" t="s">
        <v>646</v>
      </c>
      <c r="E29" t="s">
        <v>723</v>
      </c>
      <c r="F29" t="s">
        <v>724</v>
      </c>
      <c r="G29" t="s">
        <v>725</v>
      </c>
    </row>
    <row r="30" spans="1:7" x14ac:dyDescent="0.4">
      <c r="A30">
        <v>780</v>
      </c>
      <c r="B30" t="s">
        <v>639</v>
      </c>
      <c r="C30" t="s">
        <v>697</v>
      </c>
      <c r="D30" t="s">
        <v>646</v>
      </c>
      <c r="E30" t="s">
        <v>726</v>
      </c>
      <c r="F30" t="s">
        <v>727</v>
      </c>
      <c r="G30" t="s">
        <v>728</v>
      </c>
    </row>
    <row r="31" spans="1:7" x14ac:dyDescent="0.4">
      <c r="A31">
        <v>779</v>
      </c>
      <c r="B31" t="s">
        <v>639</v>
      </c>
      <c r="C31" t="s">
        <v>697</v>
      </c>
      <c r="D31" t="s">
        <v>646</v>
      </c>
      <c r="E31" t="s">
        <v>729</v>
      </c>
      <c r="F31" t="s">
        <v>730</v>
      </c>
      <c r="G31" t="s">
        <v>731</v>
      </c>
    </row>
    <row r="32" spans="1:7" x14ac:dyDescent="0.4">
      <c r="A32">
        <v>778</v>
      </c>
      <c r="B32" t="s">
        <v>639</v>
      </c>
      <c r="C32" t="s">
        <v>697</v>
      </c>
      <c r="D32" t="s">
        <v>646</v>
      </c>
      <c r="E32" t="s">
        <v>732</v>
      </c>
      <c r="F32" t="s">
        <v>733</v>
      </c>
      <c r="G32" t="s">
        <v>734</v>
      </c>
    </row>
    <row r="33" spans="1:7" x14ac:dyDescent="0.4">
      <c r="A33">
        <v>777</v>
      </c>
      <c r="B33" t="s">
        <v>639</v>
      </c>
      <c r="C33" t="s">
        <v>640</v>
      </c>
      <c r="D33" t="s">
        <v>641</v>
      </c>
      <c r="E33" t="s">
        <v>735</v>
      </c>
      <c r="F33" t="s">
        <v>736</v>
      </c>
      <c r="G33" t="s">
        <v>737</v>
      </c>
    </row>
    <row r="34" spans="1:7" x14ac:dyDescent="0.4">
      <c r="A34">
        <v>776</v>
      </c>
      <c r="B34" t="s">
        <v>639</v>
      </c>
      <c r="C34" t="s">
        <v>645</v>
      </c>
      <c r="D34" t="s">
        <v>646</v>
      </c>
      <c r="E34" t="s">
        <v>738</v>
      </c>
      <c r="F34" t="s">
        <v>739</v>
      </c>
      <c r="G34" t="s">
        <v>740</v>
      </c>
    </row>
    <row r="35" spans="1:7" x14ac:dyDescent="0.4">
      <c r="A35">
        <v>775</v>
      </c>
      <c r="B35" t="s">
        <v>639</v>
      </c>
      <c r="C35" t="s">
        <v>697</v>
      </c>
      <c r="D35" t="s">
        <v>646</v>
      </c>
      <c r="E35" t="s">
        <v>741</v>
      </c>
      <c r="F35" t="s">
        <v>742</v>
      </c>
      <c r="G35" t="s">
        <v>743</v>
      </c>
    </row>
    <row r="36" spans="1:7" x14ac:dyDescent="0.4">
      <c r="A36">
        <v>774</v>
      </c>
      <c r="B36" t="s">
        <v>639</v>
      </c>
      <c r="C36" t="s">
        <v>645</v>
      </c>
      <c r="D36" t="s">
        <v>641</v>
      </c>
      <c r="E36" t="s">
        <v>744</v>
      </c>
      <c r="F36" t="s">
        <v>745</v>
      </c>
      <c r="G36" t="s">
        <v>746</v>
      </c>
    </row>
    <row r="37" spans="1:7" x14ac:dyDescent="0.4">
      <c r="A37">
        <v>773</v>
      </c>
      <c r="B37" t="s">
        <v>639</v>
      </c>
      <c r="C37" t="s">
        <v>697</v>
      </c>
      <c r="D37" t="s">
        <v>646</v>
      </c>
      <c r="E37" t="s">
        <v>747</v>
      </c>
      <c r="F37" t="s">
        <v>748</v>
      </c>
      <c r="G37" t="s">
        <v>749</v>
      </c>
    </row>
    <row r="38" spans="1:7" x14ac:dyDescent="0.4">
      <c r="A38">
        <v>772</v>
      </c>
      <c r="B38" t="s">
        <v>639</v>
      </c>
      <c r="C38" t="s">
        <v>697</v>
      </c>
      <c r="D38" t="s">
        <v>646</v>
      </c>
      <c r="E38" t="s">
        <v>750</v>
      </c>
      <c r="F38" t="s">
        <v>751</v>
      </c>
      <c r="G38" t="s">
        <v>752</v>
      </c>
    </row>
    <row r="39" spans="1:7" x14ac:dyDescent="0.4">
      <c r="A39">
        <v>771</v>
      </c>
      <c r="B39" t="s">
        <v>639</v>
      </c>
      <c r="C39" t="s">
        <v>697</v>
      </c>
      <c r="D39" t="s">
        <v>646</v>
      </c>
      <c r="E39" t="s">
        <v>753</v>
      </c>
      <c r="F39" t="s">
        <v>754</v>
      </c>
      <c r="G39" t="s">
        <v>755</v>
      </c>
    </row>
    <row r="40" spans="1:7" x14ac:dyDescent="0.4">
      <c r="A40">
        <v>770</v>
      </c>
      <c r="B40" t="s">
        <v>639</v>
      </c>
      <c r="C40" t="s">
        <v>645</v>
      </c>
      <c r="D40" t="s">
        <v>646</v>
      </c>
      <c r="E40" t="s">
        <v>756</v>
      </c>
      <c r="F40" t="s">
        <v>757</v>
      </c>
      <c r="G40" t="s">
        <v>758</v>
      </c>
    </row>
    <row r="41" spans="1:7" x14ac:dyDescent="0.4">
      <c r="A41">
        <v>769</v>
      </c>
      <c r="B41" t="s">
        <v>639</v>
      </c>
      <c r="C41" t="s">
        <v>697</v>
      </c>
      <c r="D41" t="s">
        <v>646</v>
      </c>
      <c r="E41" t="s">
        <v>759</v>
      </c>
      <c r="F41" t="s">
        <v>760</v>
      </c>
      <c r="G41" t="s">
        <v>761</v>
      </c>
    </row>
    <row r="42" spans="1:7" x14ac:dyDescent="0.4">
      <c r="A42">
        <v>768</v>
      </c>
      <c r="B42" t="s">
        <v>639</v>
      </c>
      <c r="C42" t="s">
        <v>645</v>
      </c>
      <c r="D42" t="s">
        <v>646</v>
      </c>
      <c r="E42" t="s">
        <v>762</v>
      </c>
      <c r="F42" t="s">
        <v>763</v>
      </c>
      <c r="G42" t="s">
        <v>764</v>
      </c>
    </row>
    <row r="43" spans="1:7" x14ac:dyDescent="0.4">
      <c r="A43">
        <v>767</v>
      </c>
      <c r="B43" t="s">
        <v>639</v>
      </c>
      <c r="C43" t="s">
        <v>697</v>
      </c>
      <c r="D43" t="s">
        <v>646</v>
      </c>
      <c r="E43" t="s">
        <v>765</v>
      </c>
      <c r="F43" t="s">
        <v>766</v>
      </c>
      <c r="G43" t="s">
        <v>767</v>
      </c>
    </row>
    <row r="44" spans="1:7" x14ac:dyDescent="0.4">
      <c r="A44">
        <v>766</v>
      </c>
      <c r="B44" t="s">
        <v>639</v>
      </c>
      <c r="C44" t="s">
        <v>697</v>
      </c>
      <c r="D44" t="s">
        <v>646</v>
      </c>
      <c r="E44" t="s">
        <v>768</v>
      </c>
      <c r="F44" t="s">
        <v>769</v>
      </c>
      <c r="G44" t="s">
        <v>770</v>
      </c>
    </row>
    <row r="45" spans="1:7" x14ac:dyDescent="0.4">
      <c r="A45">
        <v>765</v>
      </c>
      <c r="B45" t="s">
        <v>639</v>
      </c>
      <c r="C45" t="s">
        <v>697</v>
      </c>
      <c r="D45" t="s">
        <v>646</v>
      </c>
      <c r="E45" t="s">
        <v>771</v>
      </c>
      <c r="F45" t="s">
        <v>772</v>
      </c>
      <c r="G45" t="s">
        <v>773</v>
      </c>
    </row>
    <row r="46" spans="1:7" x14ac:dyDescent="0.4">
      <c r="A46">
        <v>764</v>
      </c>
      <c r="B46" t="s">
        <v>639</v>
      </c>
      <c r="C46" t="s">
        <v>697</v>
      </c>
      <c r="D46" t="s">
        <v>646</v>
      </c>
      <c r="E46" t="s">
        <v>774</v>
      </c>
      <c r="F46" t="s">
        <v>775</v>
      </c>
      <c r="G46" t="s">
        <v>776</v>
      </c>
    </row>
    <row r="47" spans="1:7" x14ac:dyDescent="0.4">
      <c r="A47">
        <v>763</v>
      </c>
      <c r="B47" t="s">
        <v>639</v>
      </c>
      <c r="C47" t="s">
        <v>697</v>
      </c>
      <c r="D47" t="s">
        <v>646</v>
      </c>
      <c r="E47" t="s">
        <v>777</v>
      </c>
      <c r="F47" t="s">
        <v>778</v>
      </c>
      <c r="G47" t="s">
        <v>779</v>
      </c>
    </row>
    <row r="48" spans="1:7" x14ac:dyDescent="0.4">
      <c r="A48">
        <v>762</v>
      </c>
      <c r="B48" t="s">
        <v>639</v>
      </c>
      <c r="C48" t="s">
        <v>697</v>
      </c>
      <c r="D48" t="s">
        <v>646</v>
      </c>
      <c r="E48" t="s">
        <v>780</v>
      </c>
      <c r="F48" t="s">
        <v>781</v>
      </c>
      <c r="G48" t="s">
        <v>782</v>
      </c>
    </row>
    <row r="49" spans="1:7" x14ac:dyDescent="0.4">
      <c r="A49">
        <v>761</v>
      </c>
      <c r="B49" t="s">
        <v>639</v>
      </c>
      <c r="C49" t="s">
        <v>697</v>
      </c>
      <c r="D49" t="s">
        <v>646</v>
      </c>
      <c r="E49" t="s">
        <v>783</v>
      </c>
      <c r="F49" t="s">
        <v>784</v>
      </c>
      <c r="G49" t="s">
        <v>785</v>
      </c>
    </row>
    <row r="50" spans="1:7" x14ac:dyDescent="0.4">
      <c r="A50">
        <v>760</v>
      </c>
      <c r="B50" t="s">
        <v>639</v>
      </c>
      <c r="C50" t="s">
        <v>697</v>
      </c>
      <c r="D50" t="s">
        <v>646</v>
      </c>
      <c r="E50" t="s">
        <v>786</v>
      </c>
      <c r="F50" t="s">
        <v>787</v>
      </c>
      <c r="G50" t="s">
        <v>788</v>
      </c>
    </row>
    <row r="51" spans="1:7" x14ac:dyDescent="0.4">
      <c r="A51">
        <v>759</v>
      </c>
      <c r="B51" t="s">
        <v>639</v>
      </c>
      <c r="C51" t="s">
        <v>697</v>
      </c>
      <c r="D51" t="s">
        <v>646</v>
      </c>
      <c r="E51" t="s">
        <v>789</v>
      </c>
      <c r="F51" t="s">
        <v>790</v>
      </c>
      <c r="G51" t="s">
        <v>791</v>
      </c>
    </row>
    <row r="52" spans="1:7" x14ac:dyDescent="0.4">
      <c r="A52">
        <v>758</v>
      </c>
      <c r="B52" t="s">
        <v>639</v>
      </c>
      <c r="C52" t="s">
        <v>697</v>
      </c>
      <c r="D52" t="s">
        <v>646</v>
      </c>
      <c r="E52" t="s">
        <v>792</v>
      </c>
      <c r="F52" t="s">
        <v>793</v>
      </c>
      <c r="G52" t="s">
        <v>794</v>
      </c>
    </row>
    <row r="53" spans="1:7" x14ac:dyDescent="0.4">
      <c r="A53">
        <v>757</v>
      </c>
      <c r="B53" t="s">
        <v>639</v>
      </c>
      <c r="C53" t="s">
        <v>640</v>
      </c>
      <c r="D53" t="s">
        <v>646</v>
      </c>
      <c r="E53" t="s">
        <v>795</v>
      </c>
      <c r="F53" t="s">
        <v>796</v>
      </c>
      <c r="G53" t="s">
        <v>797</v>
      </c>
    </row>
    <row r="54" spans="1:7" x14ac:dyDescent="0.4">
      <c r="A54">
        <v>756</v>
      </c>
      <c r="B54" t="s">
        <v>639</v>
      </c>
      <c r="C54" t="s">
        <v>798</v>
      </c>
      <c r="D54" t="s">
        <v>646</v>
      </c>
      <c r="E54" t="s">
        <v>799</v>
      </c>
      <c r="F54" t="s">
        <v>800</v>
      </c>
      <c r="G54" t="s">
        <v>801</v>
      </c>
    </row>
    <row r="55" spans="1:7" x14ac:dyDescent="0.4">
      <c r="A55">
        <v>755</v>
      </c>
      <c r="B55" t="s">
        <v>639</v>
      </c>
      <c r="C55" t="s">
        <v>798</v>
      </c>
      <c r="D55" t="s">
        <v>646</v>
      </c>
      <c r="E55" t="s">
        <v>802</v>
      </c>
      <c r="F55" t="s">
        <v>803</v>
      </c>
      <c r="G55" t="s">
        <v>804</v>
      </c>
    </row>
    <row r="56" spans="1:7" x14ac:dyDescent="0.4">
      <c r="A56">
        <v>754</v>
      </c>
      <c r="B56" t="s">
        <v>639</v>
      </c>
      <c r="C56" t="s">
        <v>697</v>
      </c>
      <c r="D56" t="s">
        <v>646</v>
      </c>
      <c r="E56" t="s">
        <v>805</v>
      </c>
      <c r="F56" t="s">
        <v>806</v>
      </c>
      <c r="G56" t="s">
        <v>807</v>
      </c>
    </row>
    <row r="57" spans="1:7" x14ac:dyDescent="0.4">
      <c r="A57">
        <v>753</v>
      </c>
      <c r="B57" t="s">
        <v>639</v>
      </c>
      <c r="C57" t="s">
        <v>640</v>
      </c>
      <c r="D57" t="s">
        <v>646</v>
      </c>
      <c r="E57" t="s">
        <v>808</v>
      </c>
      <c r="F57" t="s">
        <v>809</v>
      </c>
      <c r="G57" t="s">
        <v>810</v>
      </c>
    </row>
    <row r="58" spans="1:7" x14ac:dyDescent="0.4">
      <c r="A58">
        <v>752</v>
      </c>
      <c r="B58" t="s">
        <v>639</v>
      </c>
      <c r="C58" t="s">
        <v>645</v>
      </c>
      <c r="D58" t="s">
        <v>646</v>
      </c>
      <c r="E58" t="s">
        <v>811</v>
      </c>
      <c r="F58" t="s">
        <v>812</v>
      </c>
      <c r="G58" t="s">
        <v>813</v>
      </c>
    </row>
    <row r="59" spans="1:7" x14ac:dyDescent="0.4">
      <c r="A59">
        <v>751</v>
      </c>
      <c r="B59" t="s">
        <v>639</v>
      </c>
      <c r="C59" t="s">
        <v>697</v>
      </c>
      <c r="D59" t="s">
        <v>646</v>
      </c>
      <c r="E59" t="s">
        <v>814</v>
      </c>
      <c r="F59" t="s">
        <v>815</v>
      </c>
      <c r="G59" t="s">
        <v>816</v>
      </c>
    </row>
    <row r="60" spans="1:7" x14ac:dyDescent="0.4">
      <c r="A60">
        <v>750</v>
      </c>
      <c r="B60" t="s">
        <v>639</v>
      </c>
      <c r="C60" t="s">
        <v>697</v>
      </c>
      <c r="D60" t="s">
        <v>646</v>
      </c>
      <c r="E60" t="s">
        <v>817</v>
      </c>
      <c r="F60" t="s">
        <v>818</v>
      </c>
      <c r="G60" t="s">
        <v>819</v>
      </c>
    </row>
    <row r="61" spans="1:7" x14ac:dyDescent="0.4">
      <c r="A61">
        <v>749</v>
      </c>
      <c r="B61" t="s">
        <v>639</v>
      </c>
      <c r="C61" t="s">
        <v>645</v>
      </c>
      <c r="D61" t="s">
        <v>646</v>
      </c>
      <c r="E61" t="s">
        <v>820</v>
      </c>
      <c r="F61" t="s">
        <v>821</v>
      </c>
      <c r="G61" t="s">
        <v>822</v>
      </c>
    </row>
    <row r="62" spans="1:7" x14ac:dyDescent="0.4">
      <c r="A62">
        <v>748</v>
      </c>
      <c r="B62" t="s">
        <v>639</v>
      </c>
      <c r="C62" t="s">
        <v>697</v>
      </c>
      <c r="D62" t="s">
        <v>646</v>
      </c>
      <c r="E62" t="s">
        <v>823</v>
      </c>
      <c r="F62" t="s">
        <v>824</v>
      </c>
      <c r="G62" t="s">
        <v>825</v>
      </c>
    </row>
    <row r="63" spans="1:7" x14ac:dyDescent="0.4">
      <c r="A63">
        <v>747</v>
      </c>
      <c r="B63" t="s">
        <v>639</v>
      </c>
      <c r="C63" t="s">
        <v>697</v>
      </c>
      <c r="D63" t="s">
        <v>646</v>
      </c>
      <c r="E63" t="s">
        <v>826</v>
      </c>
      <c r="F63" t="s">
        <v>827</v>
      </c>
      <c r="G63" t="s">
        <v>828</v>
      </c>
    </row>
    <row r="64" spans="1:7" x14ac:dyDescent="0.4">
      <c r="A64">
        <v>746</v>
      </c>
      <c r="B64" t="s">
        <v>639</v>
      </c>
      <c r="C64" t="s">
        <v>697</v>
      </c>
      <c r="D64" t="s">
        <v>646</v>
      </c>
      <c r="E64" t="s">
        <v>829</v>
      </c>
      <c r="F64" t="s">
        <v>830</v>
      </c>
      <c r="G64" t="s">
        <v>831</v>
      </c>
    </row>
    <row r="65" spans="1:7" x14ac:dyDescent="0.4">
      <c r="A65">
        <v>745</v>
      </c>
      <c r="B65" t="s">
        <v>639</v>
      </c>
      <c r="C65" t="s">
        <v>645</v>
      </c>
      <c r="D65" t="s">
        <v>646</v>
      </c>
      <c r="E65" t="s">
        <v>832</v>
      </c>
      <c r="F65" t="s">
        <v>833</v>
      </c>
      <c r="G65" t="s">
        <v>834</v>
      </c>
    </row>
    <row r="66" spans="1:7" x14ac:dyDescent="0.4">
      <c r="A66">
        <v>744</v>
      </c>
      <c r="B66" t="s">
        <v>639</v>
      </c>
      <c r="C66" t="s">
        <v>697</v>
      </c>
      <c r="D66" t="s">
        <v>646</v>
      </c>
      <c r="E66" t="s">
        <v>835</v>
      </c>
      <c r="F66" t="s">
        <v>836</v>
      </c>
      <c r="G66" t="s">
        <v>837</v>
      </c>
    </row>
    <row r="67" spans="1:7" x14ac:dyDescent="0.4">
      <c r="A67">
        <v>743</v>
      </c>
      <c r="B67" t="s">
        <v>639</v>
      </c>
      <c r="C67" t="s">
        <v>838</v>
      </c>
      <c r="D67" t="s">
        <v>646</v>
      </c>
      <c r="E67" t="s">
        <v>839</v>
      </c>
      <c r="F67" t="s">
        <v>840</v>
      </c>
      <c r="G67" t="s">
        <v>841</v>
      </c>
    </row>
    <row r="68" spans="1:7" x14ac:dyDescent="0.4">
      <c r="A68">
        <v>742</v>
      </c>
      <c r="B68" t="s">
        <v>639</v>
      </c>
      <c r="C68" t="s">
        <v>640</v>
      </c>
      <c r="D68" t="s">
        <v>641</v>
      </c>
      <c r="E68" t="s">
        <v>842</v>
      </c>
      <c r="F68" t="s">
        <v>843</v>
      </c>
      <c r="G68" t="s">
        <v>844</v>
      </c>
    </row>
    <row r="69" spans="1:7" x14ac:dyDescent="0.4">
      <c r="A69">
        <v>741</v>
      </c>
      <c r="B69" t="s">
        <v>639</v>
      </c>
      <c r="C69" t="s">
        <v>645</v>
      </c>
      <c r="D69" t="s">
        <v>641</v>
      </c>
      <c r="E69" t="s">
        <v>845</v>
      </c>
      <c r="F69" t="s">
        <v>843</v>
      </c>
      <c r="G69" t="s">
        <v>846</v>
      </c>
    </row>
    <row r="70" spans="1:7" x14ac:dyDescent="0.4">
      <c r="A70">
        <v>740</v>
      </c>
      <c r="B70" t="s">
        <v>639</v>
      </c>
      <c r="C70" t="s">
        <v>798</v>
      </c>
      <c r="D70" t="s">
        <v>646</v>
      </c>
      <c r="E70" t="s">
        <v>847</v>
      </c>
      <c r="F70" t="s">
        <v>848</v>
      </c>
      <c r="G70" t="s">
        <v>849</v>
      </c>
    </row>
    <row r="71" spans="1:7" x14ac:dyDescent="0.4">
      <c r="A71">
        <v>739</v>
      </c>
      <c r="B71" t="s">
        <v>639</v>
      </c>
      <c r="C71" t="s">
        <v>640</v>
      </c>
      <c r="D71" t="s">
        <v>646</v>
      </c>
      <c r="E71" t="s">
        <v>850</v>
      </c>
      <c r="F71" t="s">
        <v>851</v>
      </c>
      <c r="G71" t="s">
        <v>852</v>
      </c>
    </row>
    <row r="72" spans="1:7" x14ac:dyDescent="0.4">
      <c r="A72">
        <v>738</v>
      </c>
      <c r="B72" t="s">
        <v>639</v>
      </c>
      <c r="C72" t="s">
        <v>645</v>
      </c>
      <c r="D72" t="s">
        <v>646</v>
      </c>
      <c r="E72" t="s">
        <v>853</v>
      </c>
      <c r="F72" t="s">
        <v>854</v>
      </c>
      <c r="G72" t="s">
        <v>855</v>
      </c>
    </row>
    <row r="73" spans="1:7" x14ac:dyDescent="0.4">
      <c r="A73">
        <v>737</v>
      </c>
      <c r="B73" t="s">
        <v>639</v>
      </c>
      <c r="C73" t="s">
        <v>697</v>
      </c>
      <c r="D73" t="s">
        <v>646</v>
      </c>
      <c r="E73" t="s">
        <v>856</v>
      </c>
      <c r="F73" t="s">
        <v>857</v>
      </c>
      <c r="G73" t="s">
        <v>858</v>
      </c>
    </row>
    <row r="74" spans="1:7" x14ac:dyDescent="0.4">
      <c r="A74">
        <v>736</v>
      </c>
      <c r="B74" t="s">
        <v>639</v>
      </c>
      <c r="C74" t="s">
        <v>697</v>
      </c>
      <c r="D74" t="s">
        <v>646</v>
      </c>
      <c r="E74" t="s">
        <v>859</v>
      </c>
      <c r="F74" t="s">
        <v>860</v>
      </c>
      <c r="G74" t="s">
        <v>861</v>
      </c>
    </row>
    <row r="75" spans="1:7" x14ac:dyDescent="0.4">
      <c r="A75">
        <v>735</v>
      </c>
      <c r="B75" t="s">
        <v>639</v>
      </c>
      <c r="C75" t="s">
        <v>697</v>
      </c>
      <c r="D75" t="s">
        <v>646</v>
      </c>
      <c r="E75" t="s">
        <v>862</v>
      </c>
      <c r="F75" t="s">
        <v>863</v>
      </c>
      <c r="G75" t="s">
        <v>864</v>
      </c>
    </row>
    <row r="76" spans="1:7" x14ac:dyDescent="0.4">
      <c r="A76">
        <v>734</v>
      </c>
      <c r="B76" t="s">
        <v>639</v>
      </c>
      <c r="C76" t="s">
        <v>697</v>
      </c>
      <c r="D76" t="s">
        <v>646</v>
      </c>
      <c r="E76" t="s">
        <v>865</v>
      </c>
      <c r="F76" t="s">
        <v>866</v>
      </c>
      <c r="G76" t="s">
        <v>867</v>
      </c>
    </row>
    <row r="77" spans="1:7" x14ac:dyDescent="0.4">
      <c r="A77">
        <v>733</v>
      </c>
      <c r="B77" t="s">
        <v>639</v>
      </c>
      <c r="C77" t="s">
        <v>697</v>
      </c>
      <c r="D77" t="s">
        <v>646</v>
      </c>
      <c r="E77" t="s">
        <v>868</v>
      </c>
      <c r="F77" t="s">
        <v>869</v>
      </c>
      <c r="G77" t="s">
        <v>870</v>
      </c>
    </row>
    <row r="78" spans="1:7" x14ac:dyDescent="0.4">
      <c r="A78">
        <v>732</v>
      </c>
      <c r="B78" t="s">
        <v>639</v>
      </c>
      <c r="C78" t="s">
        <v>645</v>
      </c>
      <c r="D78" t="s">
        <v>646</v>
      </c>
      <c r="E78" t="s">
        <v>871</v>
      </c>
      <c r="F78" t="s">
        <v>872</v>
      </c>
      <c r="G78" t="s">
        <v>873</v>
      </c>
    </row>
    <row r="79" spans="1:7" x14ac:dyDescent="0.4">
      <c r="A79">
        <v>731</v>
      </c>
      <c r="B79" t="s">
        <v>639</v>
      </c>
      <c r="C79" t="s">
        <v>640</v>
      </c>
      <c r="D79" t="s">
        <v>641</v>
      </c>
      <c r="E79" t="s">
        <v>874</v>
      </c>
      <c r="F79" t="s">
        <v>875</v>
      </c>
      <c r="G79" t="s">
        <v>876</v>
      </c>
    </row>
    <row r="80" spans="1:7" x14ac:dyDescent="0.4">
      <c r="A80">
        <v>730</v>
      </c>
      <c r="B80" t="s">
        <v>639</v>
      </c>
      <c r="C80" t="s">
        <v>645</v>
      </c>
      <c r="D80" t="s">
        <v>641</v>
      </c>
      <c r="E80" t="s">
        <v>877</v>
      </c>
      <c r="F80" t="s">
        <v>875</v>
      </c>
      <c r="G80" t="s">
        <v>878</v>
      </c>
    </row>
    <row r="81" spans="1:7" x14ac:dyDescent="0.4">
      <c r="A81">
        <v>729</v>
      </c>
      <c r="B81" t="s">
        <v>639</v>
      </c>
      <c r="C81" t="s">
        <v>798</v>
      </c>
      <c r="D81" t="s">
        <v>646</v>
      </c>
      <c r="E81" t="s">
        <v>879</v>
      </c>
      <c r="F81" t="s">
        <v>880</v>
      </c>
      <c r="G81" t="s">
        <v>881</v>
      </c>
    </row>
    <row r="82" spans="1:7" x14ac:dyDescent="0.4">
      <c r="A82">
        <v>728</v>
      </c>
      <c r="B82" t="s">
        <v>639</v>
      </c>
      <c r="C82" t="s">
        <v>645</v>
      </c>
      <c r="D82" t="s">
        <v>646</v>
      </c>
      <c r="E82" t="s">
        <v>882</v>
      </c>
      <c r="F82" t="s">
        <v>883</v>
      </c>
      <c r="G82" t="s">
        <v>884</v>
      </c>
    </row>
    <row r="83" spans="1:7" x14ac:dyDescent="0.4">
      <c r="A83">
        <v>727</v>
      </c>
      <c r="B83" t="s">
        <v>639</v>
      </c>
      <c r="C83" t="s">
        <v>697</v>
      </c>
      <c r="D83" t="s">
        <v>646</v>
      </c>
      <c r="E83" t="s">
        <v>885</v>
      </c>
      <c r="F83" t="s">
        <v>886</v>
      </c>
      <c r="G83" t="s">
        <v>887</v>
      </c>
    </row>
    <row r="84" spans="1:7" x14ac:dyDescent="0.4">
      <c r="A84">
        <v>726</v>
      </c>
      <c r="B84" t="s">
        <v>639</v>
      </c>
      <c r="C84" t="s">
        <v>645</v>
      </c>
      <c r="D84" t="s">
        <v>646</v>
      </c>
      <c r="E84" t="s">
        <v>888</v>
      </c>
      <c r="F84" t="s">
        <v>889</v>
      </c>
      <c r="G84" t="s">
        <v>890</v>
      </c>
    </row>
    <row r="85" spans="1:7" x14ac:dyDescent="0.4">
      <c r="A85">
        <v>725</v>
      </c>
      <c r="B85" t="s">
        <v>639</v>
      </c>
      <c r="C85" t="s">
        <v>697</v>
      </c>
      <c r="D85" t="s">
        <v>646</v>
      </c>
      <c r="E85" t="s">
        <v>891</v>
      </c>
      <c r="F85" t="s">
        <v>892</v>
      </c>
      <c r="G85" t="s">
        <v>893</v>
      </c>
    </row>
    <row r="86" spans="1:7" x14ac:dyDescent="0.4">
      <c r="A86">
        <v>724</v>
      </c>
      <c r="B86" t="s">
        <v>639</v>
      </c>
      <c r="C86" t="s">
        <v>645</v>
      </c>
      <c r="D86" t="s">
        <v>646</v>
      </c>
      <c r="E86" t="s">
        <v>894</v>
      </c>
      <c r="F86" t="s">
        <v>895</v>
      </c>
      <c r="G86" t="s">
        <v>896</v>
      </c>
    </row>
    <row r="87" spans="1:7" x14ac:dyDescent="0.4">
      <c r="A87">
        <v>723</v>
      </c>
      <c r="B87" t="s">
        <v>639</v>
      </c>
      <c r="C87" t="s">
        <v>697</v>
      </c>
      <c r="D87" t="s">
        <v>646</v>
      </c>
      <c r="E87" t="s">
        <v>897</v>
      </c>
      <c r="F87" t="s">
        <v>898</v>
      </c>
      <c r="G87" t="s">
        <v>899</v>
      </c>
    </row>
    <row r="88" spans="1:7" x14ac:dyDescent="0.4">
      <c r="A88">
        <v>722</v>
      </c>
      <c r="B88" t="s">
        <v>639</v>
      </c>
      <c r="C88" t="s">
        <v>697</v>
      </c>
      <c r="D88" t="s">
        <v>646</v>
      </c>
      <c r="E88" t="s">
        <v>900</v>
      </c>
      <c r="F88" t="s">
        <v>901</v>
      </c>
      <c r="G88" t="s">
        <v>902</v>
      </c>
    </row>
    <row r="89" spans="1:7" x14ac:dyDescent="0.4">
      <c r="A89">
        <v>721</v>
      </c>
      <c r="B89" t="s">
        <v>639</v>
      </c>
      <c r="C89" t="s">
        <v>640</v>
      </c>
      <c r="D89" t="s">
        <v>646</v>
      </c>
      <c r="E89" t="s">
        <v>903</v>
      </c>
      <c r="F89" t="s">
        <v>904</v>
      </c>
      <c r="G89" t="s">
        <v>905</v>
      </c>
    </row>
    <row r="90" spans="1:7" x14ac:dyDescent="0.4">
      <c r="A90">
        <v>720</v>
      </c>
      <c r="B90" t="s">
        <v>639</v>
      </c>
      <c r="C90" t="s">
        <v>640</v>
      </c>
      <c r="D90" t="s">
        <v>641</v>
      </c>
      <c r="E90" t="s">
        <v>906</v>
      </c>
      <c r="F90" t="s">
        <v>907</v>
      </c>
      <c r="G90" t="s">
        <v>908</v>
      </c>
    </row>
    <row r="91" spans="1:7" x14ac:dyDescent="0.4">
      <c r="A91">
        <v>719</v>
      </c>
      <c r="B91" t="s">
        <v>639</v>
      </c>
      <c r="C91" t="s">
        <v>645</v>
      </c>
      <c r="D91" t="s">
        <v>646</v>
      </c>
      <c r="E91" t="s">
        <v>909</v>
      </c>
      <c r="F91" t="s">
        <v>910</v>
      </c>
      <c r="G91" t="s">
        <v>911</v>
      </c>
    </row>
    <row r="92" spans="1:7" x14ac:dyDescent="0.4">
      <c r="A92">
        <v>718</v>
      </c>
      <c r="B92" t="s">
        <v>639</v>
      </c>
      <c r="C92" t="s">
        <v>697</v>
      </c>
      <c r="D92" t="s">
        <v>646</v>
      </c>
      <c r="E92" t="s">
        <v>912</v>
      </c>
      <c r="F92" t="s">
        <v>913</v>
      </c>
      <c r="G92" t="s">
        <v>914</v>
      </c>
    </row>
    <row r="93" spans="1:7" x14ac:dyDescent="0.4">
      <c r="A93">
        <v>717</v>
      </c>
      <c r="B93" t="s">
        <v>639</v>
      </c>
      <c r="C93" t="s">
        <v>645</v>
      </c>
      <c r="D93" t="s">
        <v>646</v>
      </c>
      <c r="E93" t="s">
        <v>915</v>
      </c>
      <c r="F93" t="s">
        <v>916</v>
      </c>
      <c r="G93" t="s">
        <v>917</v>
      </c>
    </row>
    <row r="94" spans="1:7" x14ac:dyDescent="0.4">
      <c r="A94">
        <v>716</v>
      </c>
      <c r="B94" t="s">
        <v>639</v>
      </c>
      <c r="C94" t="s">
        <v>645</v>
      </c>
      <c r="D94" t="s">
        <v>646</v>
      </c>
      <c r="E94" t="s">
        <v>918</v>
      </c>
      <c r="F94" t="s">
        <v>919</v>
      </c>
      <c r="G94" t="s">
        <v>920</v>
      </c>
    </row>
    <row r="95" spans="1:7" x14ac:dyDescent="0.4">
      <c r="A95">
        <v>715</v>
      </c>
      <c r="B95" t="s">
        <v>639</v>
      </c>
      <c r="C95" t="s">
        <v>697</v>
      </c>
      <c r="D95" t="s">
        <v>646</v>
      </c>
      <c r="E95" t="s">
        <v>921</v>
      </c>
      <c r="F95" t="s">
        <v>922</v>
      </c>
      <c r="G95" t="s">
        <v>923</v>
      </c>
    </row>
    <row r="96" spans="1:7" x14ac:dyDescent="0.4">
      <c r="A96">
        <v>714</v>
      </c>
      <c r="B96" t="s">
        <v>639</v>
      </c>
      <c r="C96" t="s">
        <v>798</v>
      </c>
      <c r="D96" t="s">
        <v>646</v>
      </c>
      <c r="E96" t="s">
        <v>924</v>
      </c>
      <c r="F96" t="s">
        <v>925</v>
      </c>
      <c r="G96" t="s">
        <v>926</v>
      </c>
    </row>
    <row r="97" spans="1:7" x14ac:dyDescent="0.4">
      <c r="A97">
        <v>713</v>
      </c>
      <c r="B97" t="s">
        <v>639</v>
      </c>
      <c r="C97" t="s">
        <v>697</v>
      </c>
      <c r="D97" t="s">
        <v>646</v>
      </c>
      <c r="E97" t="s">
        <v>927</v>
      </c>
      <c r="F97" t="s">
        <v>928</v>
      </c>
      <c r="G97" t="s">
        <v>929</v>
      </c>
    </row>
    <row r="98" spans="1:7" x14ac:dyDescent="0.4">
      <c r="A98">
        <v>712</v>
      </c>
      <c r="B98" t="s">
        <v>639</v>
      </c>
      <c r="C98" t="s">
        <v>697</v>
      </c>
      <c r="D98" t="s">
        <v>646</v>
      </c>
      <c r="E98" t="s">
        <v>930</v>
      </c>
      <c r="F98" t="s">
        <v>692</v>
      </c>
      <c r="G98" t="s">
        <v>931</v>
      </c>
    </row>
    <row r="99" spans="1:7" x14ac:dyDescent="0.4">
      <c r="A99">
        <v>711</v>
      </c>
      <c r="B99" t="s">
        <v>639</v>
      </c>
      <c r="C99" t="s">
        <v>697</v>
      </c>
      <c r="D99" t="s">
        <v>646</v>
      </c>
      <c r="E99" t="s">
        <v>932</v>
      </c>
      <c r="F99" t="s">
        <v>933</v>
      </c>
      <c r="G99" t="s">
        <v>934</v>
      </c>
    </row>
    <row r="100" spans="1:7" x14ac:dyDescent="0.4">
      <c r="A100">
        <v>710</v>
      </c>
      <c r="B100" t="s">
        <v>639</v>
      </c>
      <c r="C100" t="s">
        <v>645</v>
      </c>
      <c r="D100" t="s">
        <v>646</v>
      </c>
      <c r="E100" t="s">
        <v>935</v>
      </c>
      <c r="F100" t="s">
        <v>936</v>
      </c>
      <c r="G100" t="s">
        <v>937</v>
      </c>
    </row>
    <row r="101" spans="1:7" x14ac:dyDescent="0.4">
      <c r="A101">
        <v>709</v>
      </c>
      <c r="B101" t="s">
        <v>639</v>
      </c>
      <c r="C101" t="s">
        <v>697</v>
      </c>
      <c r="D101" t="s">
        <v>646</v>
      </c>
      <c r="E101" t="s">
        <v>938</v>
      </c>
      <c r="F101" t="s">
        <v>939</v>
      </c>
      <c r="G101" t="s">
        <v>940</v>
      </c>
    </row>
    <row r="102" spans="1:7" x14ac:dyDescent="0.4">
      <c r="A102">
        <v>708</v>
      </c>
      <c r="B102" t="s">
        <v>639</v>
      </c>
      <c r="C102" t="s">
        <v>697</v>
      </c>
      <c r="D102" t="s">
        <v>646</v>
      </c>
      <c r="E102" t="s">
        <v>941</v>
      </c>
      <c r="F102" t="s">
        <v>942</v>
      </c>
      <c r="G102" t="s">
        <v>943</v>
      </c>
    </row>
    <row r="103" spans="1:7" x14ac:dyDescent="0.4">
      <c r="A103">
        <v>707</v>
      </c>
      <c r="B103" t="s">
        <v>639</v>
      </c>
      <c r="C103" t="s">
        <v>645</v>
      </c>
      <c r="D103" t="s">
        <v>646</v>
      </c>
      <c r="E103" t="s">
        <v>944</v>
      </c>
      <c r="F103" t="s">
        <v>945</v>
      </c>
      <c r="G103" t="s">
        <v>946</v>
      </c>
    </row>
    <row r="104" spans="1:7" x14ac:dyDescent="0.4">
      <c r="A104">
        <v>706</v>
      </c>
      <c r="B104" t="s">
        <v>639</v>
      </c>
      <c r="C104" t="s">
        <v>697</v>
      </c>
      <c r="D104" t="s">
        <v>646</v>
      </c>
      <c r="E104" t="s">
        <v>947</v>
      </c>
      <c r="F104" t="s">
        <v>948</v>
      </c>
      <c r="G104" t="s">
        <v>949</v>
      </c>
    </row>
    <row r="105" spans="1:7" x14ac:dyDescent="0.4">
      <c r="A105">
        <v>705</v>
      </c>
      <c r="B105" t="s">
        <v>639</v>
      </c>
      <c r="C105" t="s">
        <v>645</v>
      </c>
      <c r="D105" t="s">
        <v>646</v>
      </c>
      <c r="E105" t="s">
        <v>950</v>
      </c>
      <c r="F105" t="s">
        <v>951</v>
      </c>
      <c r="G105" t="s">
        <v>952</v>
      </c>
    </row>
    <row r="106" spans="1:7" x14ac:dyDescent="0.4">
      <c r="A106">
        <v>704</v>
      </c>
      <c r="B106" t="s">
        <v>639</v>
      </c>
      <c r="C106" t="s">
        <v>697</v>
      </c>
      <c r="D106" t="s">
        <v>646</v>
      </c>
      <c r="E106" t="s">
        <v>953</v>
      </c>
      <c r="F106" t="s">
        <v>954</v>
      </c>
      <c r="G106" t="s">
        <v>955</v>
      </c>
    </row>
    <row r="107" spans="1:7" x14ac:dyDescent="0.4">
      <c r="A107">
        <v>703</v>
      </c>
      <c r="B107" t="s">
        <v>639</v>
      </c>
      <c r="C107" t="s">
        <v>645</v>
      </c>
      <c r="D107" t="s">
        <v>646</v>
      </c>
      <c r="E107" t="s">
        <v>956</v>
      </c>
      <c r="F107" t="s">
        <v>957</v>
      </c>
      <c r="G107" t="s">
        <v>958</v>
      </c>
    </row>
    <row r="108" spans="1:7" x14ac:dyDescent="0.4">
      <c r="A108">
        <v>702</v>
      </c>
      <c r="B108" t="s">
        <v>639</v>
      </c>
      <c r="C108" t="s">
        <v>645</v>
      </c>
      <c r="D108" t="s">
        <v>646</v>
      </c>
      <c r="E108" t="s">
        <v>959</v>
      </c>
      <c r="F108" t="s">
        <v>960</v>
      </c>
      <c r="G108" t="s">
        <v>961</v>
      </c>
    </row>
    <row r="109" spans="1:7" x14ac:dyDescent="0.4">
      <c r="A109">
        <v>701</v>
      </c>
      <c r="B109" t="s">
        <v>639</v>
      </c>
      <c r="C109" t="s">
        <v>697</v>
      </c>
      <c r="D109" t="s">
        <v>646</v>
      </c>
      <c r="E109" t="s">
        <v>962</v>
      </c>
      <c r="F109" t="s">
        <v>963</v>
      </c>
      <c r="G109" t="s">
        <v>964</v>
      </c>
    </row>
    <row r="110" spans="1:7" x14ac:dyDescent="0.4">
      <c r="A110">
        <v>700</v>
      </c>
      <c r="B110" t="s">
        <v>639</v>
      </c>
      <c r="C110" t="s">
        <v>697</v>
      </c>
      <c r="D110" t="s">
        <v>646</v>
      </c>
      <c r="E110" t="s">
        <v>965</v>
      </c>
      <c r="F110" t="s">
        <v>966</v>
      </c>
      <c r="G110" t="s">
        <v>967</v>
      </c>
    </row>
    <row r="111" spans="1:7" x14ac:dyDescent="0.4">
      <c r="A111">
        <v>699</v>
      </c>
      <c r="B111" t="s">
        <v>639</v>
      </c>
      <c r="C111" t="s">
        <v>798</v>
      </c>
      <c r="D111" t="s">
        <v>646</v>
      </c>
      <c r="E111" t="s">
        <v>968</v>
      </c>
      <c r="F111" t="s">
        <v>969</v>
      </c>
      <c r="G111" t="s">
        <v>970</v>
      </c>
    </row>
    <row r="112" spans="1:7" x14ac:dyDescent="0.4">
      <c r="A112">
        <v>698</v>
      </c>
      <c r="B112" t="s">
        <v>639</v>
      </c>
      <c r="C112" t="s">
        <v>838</v>
      </c>
      <c r="D112" t="s">
        <v>646</v>
      </c>
      <c r="E112" t="s">
        <v>971</v>
      </c>
      <c r="F112" t="s">
        <v>972</v>
      </c>
      <c r="G112" t="s">
        <v>973</v>
      </c>
    </row>
    <row r="113" spans="1:7" x14ac:dyDescent="0.4">
      <c r="A113">
        <v>697</v>
      </c>
      <c r="B113" t="s">
        <v>639</v>
      </c>
      <c r="C113" t="s">
        <v>838</v>
      </c>
      <c r="D113" t="s">
        <v>646</v>
      </c>
      <c r="E113" t="s">
        <v>974</v>
      </c>
      <c r="F113" t="s">
        <v>975</v>
      </c>
      <c r="G113" t="s">
        <v>976</v>
      </c>
    </row>
    <row r="114" spans="1:7" x14ac:dyDescent="0.4">
      <c r="A114">
        <v>696</v>
      </c>
      <c r="B114" t="s">
        <v>639</v>
      </c>
      <c r="C114" t="s">
        <v>697</v>
      </c>
      <c r="D114" t="s">
        <v>646</v>
      </c>
      <c r="E114" t="s">
        <v>977</v>
      </c>
      <c r="F114" t="s">
        <v>978</v>
      </c>
      <c r="G114" t="s">
        <v>979</v>
      </c>
    </row>
    <row r="115" spans="1:7" x14ac:dyDescent="0.4">
      <c r="A115">
        <v>695</v>
      </c>
      <c r="B115" t="s">
        <v>639</v>
      </c>
      <c r="C115" t="s">
        <v>697</v>
      </c>
      <c r="D115" t="s">
        <v>646</v>
      </c>
      <c r="E115" t="s">
        <v>980</v>
      </c>
      <c r="F115" t="s">
        <v>981</v>
      </c>
      <c r="G115" t="s">
        <v>982</v>
      </c>
    </row>
    <row r="116" spans="1:7" x14ac:dyDescent="0.4">
      <c r="A116">
        <v>694</v>
      </c>
      <c r="B116" t="s">
        <v>639</v>
      </c>
      <c r="C116" t="s">
        <v>697</v>
      </c>
      <c r="D116" t="s">
        <v>646</v>
      </c>
      <c r="E116" t="s">
        <v>983</v>
      </c>
      <c r="F116" t="s">
        <v>984</v>
      </c>
      <c r="G116" t="s">
        <v>985</v>
      </c>
    </row>
    <row r="117" spans="1:7" x14ac:dyDescent="0.4">
      <c r="A117">
        <v>693</v>
      </c>
      <c r="B117" t="s">
        <v>639</v>
      </c>
      <c r="C117" t="s">
        <v>697</v>
      </c>
      <c r="D117" t="s">
        <v>646</v>
      </c>
      <c r="E117" t="s">
        <v>986</v>
      </c>
      <c r="F117" t="s">
        <v>987</v>
      </c>
      <c r="G117" t="s">
        <v>988</v>
      </c>
    </row>
    <row r="118" spans="1:7" x14ac:dyDescent="0.4">
      <c r="A118">
        <v>692</v>
      </c>
      <c r="B118" t="s">
        <v>639</v>
      </c>
      <c r="C118" t="s">
        <v>697</v>
      </c>
      <c r="D118" t="s">
        <v>646</v>
      </c>
      <c r="E118" t="s">
        <v>989</v>
      </c>
      <c r="F118" t="s">
        <v>990</v>
      </c>
      <c r="G118" t="s">
        <v>991</v>
      </c>
    </row>
    <row r="119" spans="1:7" x14ac:dyDescent="0.4">
      <c r="A119">
        <v>691</v>
      </c>
      <c r="B119" t="s">
        <v>639</v>
      </c>
      <c r="C119" t="s">
        <v>697</v>
      </c>
      <c r="D119" t="s">
        <v>646</v>
      </c>
      <c r="E119" t="s">
        <v>992</v>
      </c>
      <c r="F119" t="s">
        <v>993</v>
      </c>
      <c r="G119" t="s">
        <v>994</v>
      </c>
    </row>
    <row r="120" spans="1:7" x14ac:dyDescent="0.4">
      <c r="A120">
        <v>690</v>
      </c>
      <c r="B120" t="s">
        <v>639</v>
      </c>
      <c r="C120" t="s">
        <v>640</v>
      </c>
      <c r="D120" t="s">
        <v>646</v>
      </c>
      <c r="E120" t="s">
        <v>995</v>
      </c>
      <c r="F120" t="s">
        <v>996</v>
      </c>
      <c r="G120" t="s">
        <v>997</v>
      </c>
    </row>
    <row r="121" spans="1:7" x14ac:dyDescent="0.4">
      <c r="A121">
        <v>689</v>
      </c>
      <c r="B121" t="s">
        <v>639</v>
      </c>
      <c r="C121" t="s">
        <v>697</v>
      </c>
      <c r="D121" t="s">
        <v>646</v>
      </c>
      <c r="E121" t="s">
        <v>998</v>
      </c>
      <c r="F121" t="s">
        <v>999</v>
      </c>
      <c r="G121" t="s">
        <v>1000</v>
      </c>
    </row>
    <row r="123" spans="1:7" x14ac:dyDescent="0.4">
      <c r="A123" s="4" t="s">
        <v>1001</v>
      </c>
      <c r="B123" s="36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6AC1F-80B8-4055-BFED-FAB8ECA9F818}">
  <sheetPr codeName="Sheet5"/>
  <dimension ref="A1:I37"/>
  <sheetViews>
    <sheetView tabSelected="1" workbookViewId="0"/>
  </sheetViews>
  <sheetFormatPr defaultRowHeight="17.399999999999999" x14ac:dyDescent="0.4"/>
  <cols>
    <col min="1" max="1" width="3.19921875" customWidth="1"/>
    <col min="2" max="2" width="12.69921875" customWidth="1"/>
    <col min="3" max="8" width="9.69921875" customWidth="1"/>
  </cols>
  <sheetData>
    <row r="1" spans="1:9" x14ac:dyDescent="0.4">
      <c r="A1" s="20" t="s">
        <v>618</v>
      </c>
    </row>
    <row r="2" spans="1:9" x14ac:dyDescent="0.4">
      <c r="I2" s="33" t="s">
        <v>619</v>
      </c>
    </row>
    <row r="3" spans="1:9" x14ac:dyDescent="0.4">
      <c r="B3" s="65" t="s">
        <v>620</v>
      </c>
      <c r="C3" s="66"/>
      <c r="D3" s="66"/>
      <c r="E3" s="66"/>
      <c r="F3" s="66"/>
      <c r="G3" s="66"/>
      <c r="H3" s="66"/>
      <c r="I3">
        <v>1</v>
      </c>
    </row>
    <row r="4" spans="1:9" x14ac:dyDescent="0.4">
      <c r="B4" s="66"/>
      <c r="C4" s="66"/>
      <c r="D4" s="66"/>
      <c r="E4" s="66"/>
      <c r="F4" s="66"/>
      <c r="G4" s="66"/>
      <c r="H4" s="66"/>
    </row>
    <row r="5" spans="1:9" x14ac:dyDescent="0.4">
      <c r="B5" s="51" t="s">
        <v>25</v>
      </c>
      <c r="C5" s="34" t="str">
        <f>IF(기초자료입력!C9&lt;&gt;"",기초자료입력!C9,"")</f>
        <v/>
      </c>
      <c r="D5" s="34"/>
      <c r="E5" s="51" t="s">
        <v>262</v>
      </c>
      <c r="F5" s="34" t="str">
        <f>IF(기초자료입력!C8&lt;&gt;"",TEXT(기초자료입력!C8,"yyyy-mm-dd"),"")</f>
        <v/>
      </c>
      <c r="G5" s="34"/>
      <c r="H5" s="34"/>
    </row>
    <row r="6" spans="1:9" x14ac:dyDescent="0.4">
      <c r="B6" s="34"/>
      <c r="C6" s="34"/>
      <c r="D6" s="34"/>
      <c r="E6" s="34"/>
      <c r="F6" s="34"/>
      <c r="G6" s="34"/>
      <c r="H6" s="34"/>
    </row>
    <row r="7" spans="1:9" x14ac:dyDescent="0.4">
      <c r="B7" s="51" t="s">
        <v>263</v>
      </c>
      <c r="C7" s="67" t="s">
        <v>483</v>
      </c>
      <c r="D7" s="67"/>
      <c r="E7" s="67"/>
      <c r="F7" s="67"/>
      <c r="G7" s="67"/>
      <c r="H7" s="67"/>
    </row>
    <row r="8" spans="1:9" x14ac:dyDescent="0.4">
      <c r="B8" s="51" t="s">
        <v>270</v>
      </c>
      <c r="C8" s="67"/>
      <c r="D8" s="67"/>
      <c r="E8" s="67"/>
      <c r="F8" s="67"/>
      <c r="G8" s="67"/>
      <c r="H8" s="67"/>
    </row>
    <row r="9" spans="1:9" x14ac:dyDescent="0.4">
      <c r="B9" s="51" t="s">
        <v>264</v>
      </c>
      <c r="C9" s="68" t="str">
        <f>IF(기초자료입력!C22&lt;&gt;"",기초자료입력!C22,IF(기초자료입력!C5&lt;&gt;"",기초자료입력!C5,"20○○")&amp;"학년도 교복 학교주관구매 계약 체결")</f>
        <v>2026학년도 동복 구매 낙찰자 결정</v>
      </c>
      <c r="D9" s="67"/>
      <c r="E9" s="67"/>
      <c r="F9" s="67"/>
      <c r="G9" s="67"/>
      <c r="H9" s="67"/>
    </row>
    <row r="10" spans="1:9" x14ac:dyDescent="0.4">
      <c r="B10" s="35"/>
      <c r="C10" s="35"/>
      <c r="D10" s="35"/>
      <c r="E10" s="35"/>
      <c r="F10" s="35"/>
      <c r="G10" s="35"/>
      <c r="H10" s="35"/>
    </row>
    <row r="11" spans="1:9" x14ac:dyDescent="0.4">
      <c r="B11" s="50" t="s">
        <v>271</v>
      </c>
      <c r="C11" s="69" t="str">
        <f>IF(기초자료입력!C23&lt;&gt;"",기초자료입력!C23,"")</f>
        <v/>
      </c>
      <c r="D11" s="69"/>
      <c r="E11" s="69"/>
      <c r="F11" s="69"/>
      <c r="G11" s="69"/>
      <c r="H11" s="69"/>
    </row>
    <row r="12" spans="1:9" x14ac:dyDescent="0.4">
      <c r="B12" s="35"/>
      <c r="C12" s="35"/>
      <c r="D12" s="35"/>
      <c r="E12" s="35"/>
      <c r="F12" s="35"/>
      <c r="G12" s="35"/>
      <c r="H12" s="35"/>
    </row>
    <row r="13" spans="1:9" x14ac:dyDescent="0.4">
      <c r="B13" s="64" t="str">
        <f>"2. "&amp;IF(기초자료입력!C5&lt;&gt;"",기초자료입력!C5,"20○○")&amp;"학년도 교복 학교주관구매를 위한 계약을 아래와 같이 체결하고자 합니다."</f>
        <v>2. 2026학년도 교복 학교주관구매를 위한 계약을 아래와 같이 체결하고자 합니다.</v>
      </c>
      <c r="C13" s="64"/>
      <c r="D13" s="64"/>
      <c r="E13" s="64"/>
      <c r="F13" s="64"/>
      <c r="G13" s="64"/>
      <c r="H13" s="64"/>
    </row>
    <row r="14" spans="1:9" x14ac:dyDescent="0.4">
      <c r="B14" s="35"/>
      <c r="C14" s="35"/>
      <c r="D14" s="35"/>
      <c r="E14" s="35"/>
      <c r="F14" s="35"/>
      <c r="G14" s="35"/>
      <c r="H14" s="35"/>
    </row>
    <row r="15" spans="1:9" x14ac:dyDescent="0.4">
      <c r="B15" s="50" t="s">
        <v>621</v>
      </c>
      <c r="C15" s="69" t="str">
        <f>IF(기초자료입력!C12&lt;&gt;"",IF(기초자료입력!C5&lt;&gt;"",기초자료입력!C5&amp;"학년도 ","")&amp;기초자료입력!C12,"")</f>
        <v>2026학년도 2026학년도 동복 구매</v>
      </c>
      <c r="D15" s="69"/>
      <c r="E15" s="69"/>
      <c r="F15" s="69"/>
      <c r="G15" s="69"/>
      <c r="H15" s="69"/>
    </row>
    <row r="16" spans="1:9" x14ac:dyDescent="0.4">
      <c r="B16" s="50" t="s">
        <v>622</v>
      </c>
      <c r="C16" s="70">
        <v>45000</v>
      </c>
      <c r="D16" s="69"/>
      <c r="E16" s="69" t="s">
        <v>623</v>
      </c>
      <c r="F16" s="69"/>
      <c r="G16" s="69"/>
      <c r="H16" s="69"/>
    </row>
    <row r="17" spans="2:8" x14ac:dyDescent="0.4">
      <c r="B17" s="50" t="s">
        <v>624</v>
      </c>
      <c r="C17" s="69" t="str">
        <f>IF(AND(C16&lt;&gt;"",기초자료입력!C16&lt;&gt;""),"금"&amp;TEXT(C16*기초자료입력!C16,"#,##0")&amp;"원["&amp;TEXT(C16,"#,##0")&amp;"원(단가)×"&amp;기초자료입력!C16&amp;"벌(예정수량)]","")</f>
        <v>금4,500,000원[45,000원(단가)×100벌(예정수량)]</v>
      </c>
      <c r="D17" s="69"/>
      <c r="E17" s="69"/>
      <c r="F17" s="69"/>
      <c r="G17" s="69"/>
      <c r="H17" s="69"/>
    </row>
    <row r="18" spans="2:8" x14ac:dyDescent="0.4">
      <c r="B18" s="69" t="s">
        <v>625</v>
      </c>
      <c r="C18" s="69"/>
      <c r="D18" s="69"/>
      <c r="E18" s="69"/>
      <c r="F18" s="69"/>
      <c r="G18" s="69"/>
      <c r="H18" s="69"/>
    </row>
    <row r="19" spans="2:8" x14ac:dyDescent="0.4">
      <c r="B19" s="35"/>
      <c r="C19" s="35"/>
      <c r="D19" s="35"/>
      <c r="E19" s="35"/>
      <c r="F19" s="35"/>
      <c r="G19" s="35"/>
      <c r="H19" s="35"/>
    </row>
    <row r="20" spans="2:8" x14ac:dyDescent="0.4">
      <c r="B20" s="71" t="s">
        <v>626</v>
      </c>
      <c r="C20" s="69"/>
      <c r="D20" s="69"/>
      <c r="E20" s="69"/>
      <c r="F20" s="69"/>
      <c r="G20" s="69"/>
      <c r="H20" s="69"/>
    </row>
    <row r="21" spans="2:8" x14ac:dyDescent="0.4">
      <c r="B21" s="29" t="s">
        <v>60</v>
      </c>
      <c r="C21" s="29" t="s">
        <v>627</v>
      </c>
      <c r="D21" s="29" t="s">
        <v>355</v>
      </c>
      <c r="E21" s="29" t="s">
        <v>407</v>
      </c>
      <c r="F21" s="69"/>
      <c r="G21" s="69"/>
      <c r="H21" s="69"/>
    </row>
    <row r="22" spans="2:8" x14ac:dyDescent="0.4">
      <c r="B22" s="34" t="str">
        <f>IFERROR(INDEX(기초자료입력!$B$44:$B$53,I3),"")</f>
        <v>검증업체가</v>
      </c>
      <c r="C22" s="34"/>
      <c r="D22" s="34"/>
      <c r="E22" s="34"/>
      <c r="F22" s="69"/>
      <c r="G22" s="69"/>
      <c r="H22" s="69"/>
    </row>
    <row r="23" spans="2:8" x14ac:dyDescent="0.4">
      <c r="B23" s="35"/>
      <c r="C23" s="35"/>
      <c r="D23" s="35"/>
      <c r="E23" s="35"/>
      <c r="F23" s="35"/>
      <c r="G23" s="35"/>
      <c r="H23" s="35"/>
    </row>
    <row r="24" spans="2:8" x14ac:dyDescent="0.4">
      <c r="B24" s="72" t="s">
        <v>628</v>
      </c>
      <c r="C24" s="64"/>
      <c r="D24" s="64"/>
      <c r="E24" s="64"/>
      <c r="F24" s="64"/>
      <c r="G24" s="64"/>
      <c r="H24" s="64"/>
    </row>
    <row r="25" spans="2:8" x14ac:dyDescent="0.4">
      <c r="B25" s="69" t="str">
        <f>"5. 납품기한："&amp;IF(기초자료입력!C17&lt;&gt;"",TEXT(기초자료입력!C17,"yyyy.mm.dd."),"")</f>
        <v>5. 납품기한：2026.03.01.</v>
      </c>
      <c r="C25" s="69"/>
      <c r="D25" s="69"/>
      <c r="E25" s="69"/>
      <c r="F25" s="69"/>
      <c r="G25" s="69"/>
      <c r="H25" s="69"/>
    </row>
    <row r="26" spans="2:8" x14ac:dyDescent="0.4">
      <c r="B26" s="71" t="s">
        <v>629</v>
      </c>
      <c r="C26" s="69"/>
      <c r="D26" s="69"/>
      <c r="E26" s="69"/>
      <c r="F26" s="69"/>
      <c r="G26" s="69"/>
      <c r="H26" s="69"/>
    </row>
    <row r="27" spans="2:8" x14ac:dyDescent="0.4">
      <c r="B27" s="35"/>
      <c r="C27" s="35"/>
      <c r="D27" s="35"/>
      <c r="E27" s="35"/>
      <c r="F27" s="35"/>
      <c r="G27" s="35"/>
      <c r="H27" s="35"/>
    </row>
    <row r="28" spans="2:8" x14ac:dyDescent="0.4">
      <c r="B28" s="69" t="s">
        <v>630</v>
      </c>
      <c r="C28" s="69"/>
      <c r="D28" s="69"/>
      <c r="E28" s="69"/>
      <c r="F28" s="69"/>
      <c r="G28" s="69"/>
      <c r="H28" s="69"/>
    </row>
    <row r="29" spans="2:8" x14ac:dyDescent="0.4">
      <c r="B29" s="69" t="s">
        <v>631</v>
      </c>
      <c r="C29" s="69"/>
      <c r="D29" s="69"/>
      <c r="E29" s="69"/>
      <c r="F29" s="69"/>
      <c r="G29" s="69"/>
      <c r="H29" s="69"/>
    </row>
    <row r="30" spans="2:8" x14ac:dyDescent="0.4">
      <c r="B30" s="69" t="s">
        <v>632</v>
      </c>
      <c r="C30" s="69"/>
      <c r="D30" s="69"/>
      <c r="E30" s="69"/>
      <c r="F30" s="69"/>
      <c r="G30" s="69"/>
      <c r="H30" s="69"/>
    </row>
    <row r="31" spans="2:8" x14ac:dyDescent="0.4">
      <c r="B31" s="69" t="s">
        <v>633</v>
      </c>
      <c r="C31" s="69"/>
      <c r="D31" s="69"/>
      <c r="E31" s="69"/>
      <c r="F31" s="69"/>
      <c r="G31" s="69"/>
      <c r="H31" s="69"/>
    </row>
    <row r="32" spans="2:8" x14ac:dyDescent="0.4">
      <c r="B32" s="69" t="s">
        <v>634</v>
      </c>
      <c r="C32" s="69"/>
      <c r="D32" s="69"/>
      <c r="E32" s="69"/>
      <c r="F32" s="69"/>
      <c r="G32" s="69"/>
      <c r="H32" s="69"/>
    </row>
    <row r="33" spans="2:8" x14ac:dyDescent="0.4">
      <c r="B33" s="35"/>
      <c r="C33" s="35"/>
      <c r="D33" s="35"/>
      <c r="E33" s="35"/>
      <c r="F33" s="35"/>
      <c r="G33" s="35"/>
      <c r="H33" s="35"/>
    </row>
    <row r="34" spans="2:8" x14ac:dyDescent="0.4">
      <c r="B34" s="35"/>
      <c r="C34" s="35"/>
      <c r="D34" s="35"/>
      <c r="E34" s="35"/>
      <c r="F34" s="51" t="s">
        <v>266</v>
      </c>
      <c r="G34" s="51" t="s">
        <v>277</v>
      </c>
      <c r="H34" s="51" t="s">
        <v>267</v>
      </c>
    </row>
    <row r="35" spans="2:8" x14ac:dyDescent="0.4">
      <c r="B35" s="50" t="s">
        <v>278</v>
      </c>
      <c r="C35" s="69" t="str">
        <f>IF(기초자료입력!C9&lt;&gt;"",기초자료입력!C9,"")</f>
        <v/>
      </c>
      <c r="D35" s="69"/>
      <c r="E35" s="69"/>
      <c r="F35" s="51" t="s">
        <v>279</v>
      </c>
      <c r="G35" s="67"/>
      <c r="H35" s="67"/>
    </row>
    <row r="36" spans="2:8" x14ac:dyDescent="0.4">
      <c r="B36" s="50" t="s">
        <v>280</v>
      </c>
      <c r="C36" s="35"/>
      <c r="D36" s="50" t="s">
        <v>281</v>
      </c>
      <c r="E36" s="69"/>
      <c r="F36" s="67"/>
      <c r="G36" s="67"/>
      <c r="H36" s="67"/>
    </row>
    <row r="37" spans="2:8" x14ac:dyDescent="0.4">
      <c r="B37" s="50" t="s">
        <v>282</v>
      </c>
      <c r="C37" s="35"/>
      <c r="D37" s="50" t="s">
        <v>283</v>
      </c>
      <c r="E37" s="35"/>
      <c r="F37" s="51" t="s">
        <v>284</v>
      </c>
      <c r="G37" s="67"/>
      <c r="H37" s="67"/>
    </row>
  </sheetData>
  <mergeCells count="26">
    <mergeCell ref="E36:H36"/>
    <mergeCell ref="G37:H37"/>
    <mergeCell ref="B29:H29"/>
    <mergeCell ref="B30:H30"/>
    <mergeCell ref="B31:H31"/>
    <mergeCell ref="B32:H32"/>
    <mergeCell ref="C35:E35"/>
    <mergeCell ref="G35:H35"/>
    <mergeCell ref="B28:H28"/>
    <mergeCell ref="C15:H15"/>
    <mergeCell ref="C16:D16"/>
    <mergeCell ref="E16:H16"/>
    <mergeCell ref="C17:H17"/>
    <mergeCell ref="B18:H18"/>
    <mergeCell ref="B20:H20"/>
    <mergeCell ref="F21:H21"/>
    <mergeCell ref="F22:H22"/>
    <mergeCell ref="B24:H24"/>
    <mergeCell ref="B25:H25"/>
    <mergeCell ref="B26:H26"/>
    <mergeCell ref="B13:H13"/>
    <mergeCell ref="B3:H4"/>
    <mergeCell ref="C7:H7"/>
    <mergeCell ref="C8:H8"/>
    <mergeCell ref="C9:H9"/>
    <mergeCell ref="C11:H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64C66-B501-4C1B-AC59-C7F51BB4382E}">
  <sheetPr codeName="Sheet6"/>
  <dimension ref="A1:I29"/>
  <sheetViews>
    <sheetView tabSelected="1"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7.69921875" customWidth="1"/>
    <col min="4" max="5" width="9.69921875" customWidth="1"/>
    <col min="6" max="6" width="13.69921875" customWidth="1"/>
    <col min="7" max="8" width="9.69921875" customWidth="1"/>
  </cols>
  <sheetData>
    <row r="1" spans="1:9" x14ac:dyDescent="0.4">
      <c r="A1" s="20" t="s">
        <v>608</v>
      </c>
    </row>
    <row r="2" spans="1:9" x14ac:dyDescent="0.4">
      <c r="I2" s="33" t="s">
        <v>597</v>
      </c>
    </row>
    <row r="3" spans="1:9" x14ac:dyDescent="0.4">
      <c r="B3" s="65" t="s">
        <v>609</v>
      </c>
      <c r="C3" s="66"/>
      <c r="D3" s="66"/>
      <c r="E3" s="66"/>
      <c r="F3" s="66"/>
      <c r="G3" s="66"/>
      <c r="H3" s="66"/>
      <c r="I3">
        <v>1</v>
      </c>
    </row>
    <row r="4" spans="1:9" x14ac:dyDescent="0.4">
      <c r="B4" s="66"/>
      <c r="C4" s="66"/>
      <c r="D4" s="66"/>
      <c r="E4" s="66"/>
      <c r="F4" s="66"/>
      <c r="G4" s="66"/>
      <c r="H4" s="66"/>
    </row>
    <row r="5" spans="1:9" x14ac:dyDescent="0.4">
      <c r="B5" s="51" t="s">
        <v>25</v>
      </c>
      <c r="C5" s="34" t="str">
        <f>IF(기초자료입력!C9&lt;&gt;"",기초자료입력!C9,"")</f>
        <v/>
      </c>
      <c r="D5" s="34"/>
      <c r="E5" s="51" t="s">
        <v>262</v>
      </c>
      <c r="F5" s="34" t="str">
        <f>IF(기초자료입력!C8&lt;&gt;"",TEXT(기초자료입력!C8,"yyyy-mm-dd"),"")</f>
        <v/>
      </c>
      <c r="G5" s="34"/>
      <c r="H5" s="34"/>
    </row>
    <row r="6" spans="1:9" x14ac:dyDescent="0.4">
      <c r="B6" s="34"/>
      <c r="C6" s="34"/>
      <c r="D6" s="34"/>
      <c r="E6" s="34"/>
      <c r="F6" s="34"/>
      <c r="G6" s="34"/>
      <c r="H6" s="34"/>
    </row>
    <row r="7" spans="1:9" x14ac:dyDescent="0.4">
      <c r="B7" s="51" t="s">
        <v>263</v>
      </c>
      <c r="C7" s="67" t="str">
        <f>IFERROR(INDEX(기초자료입력!$B$44:$B$53,I3),"")</f>
        <v>검증업체가</v>
      </c>
      <c r="D7" s="67"/>
      <c r="E7" s="67"/>
      <c r="F7" s="67"/>
      <c r="G7" s="67"/>
      <c r="H7" s="67"/>
    </row>
    <row r="8" spans="1:9" x14ac:dyDescent="0.4">
      <c r="B8" s="51" t="s">
        <v>270</v>
      </c>
      <c r="C8" s="67"/>
      <c r="D8" s="67"/>
      <c r="E8" s="67"/>
      <c r="F8" s="67"/>
      <c r="G8" s="67"/>
      <c r="H8" s="67"/>
    </row>
    <row r="9" spans="1:9" x14ac:dyDescent="0.4">
      <c r="B9" s="51" t="s">
        <v>264</v>
      </c>
      <c r="C9" s="68" t="str">
        <f>IF(기초자료입력!C22&lt;&gt;"",기초자료입력!C22,IF(기초자료입력!C5&lt;&gt;"",기초자료입력!C5,"20○○")&amp;"년도 교복 학교주관 구매 낙찰자 결정 통보")</f>
        <v>2026학년도 동복 구매 낙찰자 결정</v>
      </c>
      <c r="D9" s="67"/>
      <c r="E9" s="67"/>
      <c r="F9" s="67"/>
      <c r="G9" s="67"/>
      <c r="H9" s="67"/>
    </row>
    <row r="10" spans="1:9" x14ac:dyDescent="0.4">
      <c r="B10" s="35"/>
      <c r="C10" s="35"/>
      <c r="D10" s="35"/>
      <c r="E10" s="35"/>
      <c r="F10" s="35"/>
      <c r="G10" s="35"/>
      <c r="H10" s="35"/>
    </row>
    <row r="11" spans="1:9" x14ac:dyDescent="0.4">
      <c r="B11" s="71" t="s">
        <v>610</v>
      </c>
      <c r="C11" s="69"/>
      <c r="D11" s="69"/>
      <c r="E11" s="69"/>
      <c r="F11" s="69"/>
      <c r="G11" s="69"/>
      <c r="H11" s="69"/>
    </row>
    <row r="12" spans="1:9" x14ac:dyDescent="0.4">
      <c r="B12" s="35"/>
      <c r="C12" s="35"/>
      <c r="D12" s="35"/>
      <c r="E12" s="35"/>
      <c r="F12" s="35"/>
      <c r="G12" s="35"/>
      <c r="H12" s="35"/>
    </row>
    <row r="13" spans="1:9" ht="40.049999999999997" customHeight="1" x14ac:dyDescent="0.4">
      <c r="B13" s="64" t="str">
        <f>"2. 우리학교 "&amp;IF(기초자료입력!C5&lt;&gt;"",기초자료입력!C5,"20○○")&amp;"학년도 교복 학교주관구매 건에 대하여 귀사를 낙찰자로 결정하여 통보하오니 전자계약[나라장터(G2B)] 체결을 위해 아래 서류를 "&amp;IF(기초자료입력!C18&lt;&gt;"",TEXT(기초자료입력!C18,"yyyy.mm.dd."),"20○○.○○.○○")&amp;"까지 제출하여 주시기 바랍니다."</f>
        <v>2. 우리학교 2026학년도 교복 학교주관구매 건에 대하여 귀사를 낙찰자로 결정하여 통보하오니 전자계약[나라장터(G2B)] 체결을 위해 아래 서류를 2026.02.20.까지 제출하여 주시기 바랍니다.</v>
      </c>
      <c r="C13" s="64"/>
      <c r="D13" s="64"/>
      <c r="E13" s="64"/>
      <c r="F13" s="64"/>
      <c r="G13" s="64"/>
      <c r="H13" s="64"/>
    </row>
    <row r="14" spans="1:9" x14ac:dyDescent="0.4">
      <c r="B14" s="35"/>
      <c r="C14" s="35"/>
      <c r="D14" s="35"/>
      <c r="E14" s="35"/>
      <c r="F14" s="35"/>
      <c r="G14" s="35"/>
      <c r="H14" s="35"/>
    </row>
    <row r="15" spans="1:9" x14ac:dyDescent="0.4">
      <c r="B15" s="71" t="s">
        <v>611</v>
      </c>
      <c r="C15" s="69"/>
      <c r="D15" s="69"/>
      <c r="E15" s="69"/>
      <c r="F15" s="69"/>
      <c r="G15" s="69"/>
      <c r="H15" s="69"/>
    </row>
    <row r="16" spans="1:9" x14ac:dyDescent="0.4">
      <c r="B16" s="29" t="s">
        <v>60</v>
      </c>
      <c r="C16" s="29" t="s">
        <v>355</v>
      </c>
      <c r="D16" s="29" t="s">
        <v>56</v>
      </c>
      <c r="E16" s="29" t="s">
        <v>36</v>
      </c>
      <c r="F16" s="57" t="s">
        <v>612</v>
      </c>
      <c r="G16" s="29" t="s">
        <v>289</v>
      </c>
      <c r="H16" s="35"/>
    </row>
    <row r="17" spans="2:8" x14ac:dyDescent="0.4">
      <c r="B17" s="34" t="str">
        <f>IFERROR(INDEX(기초자료입력!$B$44:$B$53,I3),"")</f>
        <v>검증업체가</v>
      </c>
      <c r="C17" s="34"/>
      <c r="D17" s="55">
        <v>45000</v>
      </c>
      <c r="E17" s="34">
        <f>IF(기초자료입력!C16&lt;&gt;"",기초자료입력!C16,"")</f>
        <v>100</v>
      </c>
      <c r="F17" s="55">
        <v>4500000</v>
      </c>
      <c r="G17" s="34"/>
      <c r="H17" s="35"/>
    </row>
    <row r="18" spans="2:8" x14ac:dyDescent="0.4">
      <c r="B18" s="35"/>
      <c r="C18" s="35"/>
      <c r="D18" s="35"/>
      <c r="E18" s="35"/>
      <c r="F18" s="35"/>
      <c r="G18" s="35"/>
      <c r="H18" s="35"/>
    </row>
    <row r="19" spans="2:8" x14ac:dyDescent="0.4">
      <c r="B19" s="71" t="s">
        <v>613</v>
      </c>
      <c r="C19" s="69"/>
      <c r="D19" s="69"/>
      <c r="E19" s="69"/>
      <c r="F19" s="69"/>
      <c r="G19" s="69"/>
      <c r="H19" s="69"/>
    </row>
    <row r="20" spans="2:8" x14ac:dyDescent="0.4">
      <c r="B20" s="69" t="s">
        <v>614</v>
      </c>
      <c r="C20" s="69"/>
      <c r="D20" s="69"/>
      <c r="E20" s="69"/>
      <c r="F20" s="69"/>
      <c r="G20" s="69"/>
      <c r="H20" s="69"/>
    </row>
    <row r="21" spans="2:8" x14ac:dyDescent="0.4">
      <c r="B21" s="69" t="s">
        <v>615</v>
      </c>
      <c r="C21" s="69"/>
      <c r="D21" s="69"/>
      <c r="E21" s="69"/>
      <c r="F21" s="69"/>
      <c r="G21" s="69"/>
      <c r="H21" s="69"/>
    </row>
    <row r="22" spans="2:8" x14ac:dyDescent="0.4">
      <c r="B22" s="69" t="s">
        <v>616</v>
      </c>
      <c r="C22" s="69"/>
      <c r="D22" s="69"/>
      <c r="E22" s="69"/>
      <c r="F22" s="69"/>
      <c r="G22" s="69"/>
      <c r="H22" s="69"/>
    </row>
    <row r="23" spans="2:8" x14ac:dyDescent="0.4">
      <c r="B23" s="69" t="s">
        <v>617</v>
      </c>
      <c r="C23" s="69"/>
      <c r="D23" s="69"/>
      <c r="E23" s="69"/>
      <c r="F23" s="69"/>
      <c r="G23" s="69"/>
      <c r="H23" s="69"/>
    </row>
    <row r="24" spans="2:8" x14ac:dyDescent="0.4">
      <c r="B24" s="35"/>
      <c r="C24" s="35"/>
      <c r="D24" s="35"/>
      <c r="E24" s="35"/>
      <c r="F24" s="35"/>
      <c r="G24" s="35"/>
      <c r="H24" s="35"/>
    </row>
    <row r="25" spans="2:8" x14ac:dyDescent="0.4">
      <c r="B25" s="35"/>
      <c r="C25" s="35"/>
      <c r="D25" s="35"/>
      <c r="E25" s="35"/>
      <c r="F25" s="35"/>
      <c r="G25" s="35"/>
      <c r="H25" s="35"/>
    </row>
    <row r="26" spans="2:8" x14ac:dyDescent="0.4">
      <c r="B26" s="35"/>
      <c r="C26" s="35"/>
      <c r="D26" s="35"/>
      <c r="E26" s="35"/>
      <c r="F26" s="51" t="s">
        <v>266</v>
      </c>
      <c r="G26" s="51" t="s">
        <v>277</v>
      </c>
      <c r="H26" s="51" t="s">
        <v>267</v>
      </c>
    </row>
    <row r="27" spans="2:8" x14ac:dyDescent="0.4">
      <c r="B27" s="50" t="s">
        <v>278</v>
      </c>
      <c r="C27" s="69" t="str">
        <f>IF(기초자료입력!C9&lt;&gt;"",기초자료입력!C9,"")</f>
        <v/>
      </c>
      <c r="D27" s="69"/>
      <c r="E27" s="69"/>
      <c r="F27" s="51" t="s">
        <v>279</v>
      </c>
      <c r="G27" s="67"/>
      <c r="H27" s="67"/>
    </row>
    <row r="28" spans="2:8" x14ac:dyDescent="0.4">
      <c r="B28" s="50" t="s">
        <v>280</v>
      </c>
      <c r="C28" s="35"/>
      <c r="D28" s="50" t="s">
        <v>281</v>
      </c>
      <c r="E28" s="69"/>
      <c r="F28" s="67"/>
      <c r="G28" s="67"/>
      <c r="H28" s="67"/>
    </row>
    <row r="29" spans="2:8" x14ac:dyDescent="0.4">
      <c r="B29" s="50" t="s">
        <v>282</v>
      </c>
      <c r="C29" s="35"/>
      <c r="D29" s="50" t="s">
        <v>283</v>
      </c>
      <c r="E29" s="35"/>
      <c r="F29" s="51" t="s">
        <v>284</v>
      </c>
      <c r="G29" s="67"/>
      <c r="H29" s="67"/>
    </row>
  </sheetData>
  <mergeCells count="16">
    <mergeCell ref="C27:E27"/>
    <mergeCell ref="G27:H27"/>
    <mergeCell ref="E28:H28"/>
    <mergeCell ref="G29:H29"/>
    <mergeCell ref="B15:H15"/>
    <mergeCell ref="B19:H19"/>
    <mergeCell ref="B20:H20"/>
    <mergeCell ref="B21:H21"/>
    <mergeCell ref="B22:H22"/>
    <mergeCell ref="B23:H23"/>
    <mergeCell ref="B13:H13"/>
    <mergeCell ref="B3:H4"/>
    <mergeCell ref="C7:H7"/>
    <mergeCell ref="C8:H8"/>
    <mergeCell ref="C9:H9"/>
    <mergeCell ref="B11:H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96004-1714-47DA-97B6-91412537B18F}">
  <sheetPr codeName="Sheet7"/>
  <dimension ref="A1:I29"/>
  <sheetViews>
    <sheetView tabSelected="1" workbookViewId="0"/>
  </sheetViews>
  <sheetFormatPr defaultRowHeight="17.399999999999999" x14ac:dyDescent="0.4"/>
  <cols>
    <col min="1" max="1" width="3.19921875" customWidth="1"/>
    <col min="2" max="8" width="9.69921875" customWidth="1"/>
  </cols>
  <sheetData>
    <row r="1" spans="1:9" x14ac:dyDescent="0.4">
      <c r="A1" s="20" t="s">
        <v>596</v>
      </c>
    </row>
    <row r="2" spans="1:9" x14ac:dyDescent="0.4">
      <c r="I2" s="33" t="s">
        <v>597</v>
      </c>
    </row>
    <row r="3" spans="1:9" x14ac:dyDescent="0.4">
      <c r="B3" s="65" t="s">
        <v>598</v>
      </c>
      <c r="C3" s="66"/>
      <c r="D3" s="66"/>
      <c r="E3" s="66"/>
      <c r="F3" s="66"/>
      <c r="G3" s="66"/>
      <c r="H3" s="66"/>
      <c r="I3">
        <v>1</v>
      </c>
    </row>
    <row r="4" spans="1:9" x14ac:dyDescent="0.4">
      <c r="B4" s="66"/>
      <c r="C4" s="66"/>
      <c r="D4" s="66"/>
      <c r="E4" s="66"/>
      <c r="F4" s="66"/>
      <c r="G4" s="66"/>
      <c r="H4" s="66"/>
    </row>
    <row r="5" spans="1:9" x14ac:dyDescent="0.4">
      <c r="B5" s="51" t="s">
        <v>25</v>
      </c>
      <c r="C5" s="34" t="str">
        <f>IF(기초자료입력!C9&lt;&gt;"",기초자료입력!C9,"")</f>
        <v/>
      </c>
      <c r="D5" s="34"/>
      <c r="E5" s="51" t="s">
        <v>262</v>
      </c>
      <c r="F5" s="34" t="str">
        <f>IF(기초자료입력!C8&lt;&gt;"",TEXT(기초자료입력!C8,"yyyy-mm-dd"),"")</f>
        <v/>
      </c>
      <c r="G5" s="34"/>
      <c r="H5" s="34"/>
    </row>
    <row r="6" spans="1:9" x14ac:dyDescent="0.4">
      <c r="B6" s="34"/>
      <c r="C6" s="34"/>
      <c r="D6" s="34"/>
      <c r="E6" s="34"/>
      <c r="F6" s="34"/>
      <c r="G6" s="34"/>
      <c r="H6" s="34"/>
    </row>
    <row r="7" spans="1:9" x14ac:dyDescent="0.4">
      <c r="B7" s="51" t="s">
        <v>263</v>
      </c>
      <c r="C7" s="67" t="s">
        <v>483</v>
      </c>
      <c r="D7" s="67"/>
      <c r="E7" s="67"/>
      <c r="F7" s="67"/>
      <c r="G7" s="67"/>
      <c r="H7" s="67"/>
    </row>
    <row r="8" spans="1:9" x14ac:dyDescent="0.4">
      <c r="B8" s="51" t="s">
        <v>270</v>
      </c>
      <c r="C8" s="67"/>
      <c r="D8" s="67"/>
      <c r="E8" s="67"/>
      <c r="F8" s="67"/>
      <c r="G8" s="67"/>
      <c r="H8" s="67"/>
    </row>
    <row r="9" spans="1:9" x14ac:dyDescent="0.4">
      <c r="B9" s="51" t="s">
        <v>264</v>
      </c>
      <c r="C9" s="68" t="str">
        <f>IF(기초자료입력!C22&lt;&gt;"",기초자료입력!C22,IF(기초자료입력!C5&lt;&gt;"",기초자료입력!C5,"20○○")&amp;"년도 교복 학교주관구매 낙찰자 결정")</f>
        <v>2026학년도 동복 구매 낙찰자 결정</v>
      </c>
      <c r="D9" s="67"/>
      <c r="E9" s="67"/>
      <c r="F9" s="67"/>
      <c r="G9" s="67"/>
      <c r="H9" s="67"/>
    </row>
    <row r="10" spans="1:9" x14ac:dyDescent="0.4">
      <c r="B10" s="35"/>
      <c r="C10" s="35"/>
      <c r="D10" s="35"/>
      <c r="E10" s="35"/>
      <c r="F10" s="35"/>
      <c r="G10" s="35"/>
      <c r="H10" s="35"/>
    </row>
    <row r="11" spans="1:9" x14ac:dyDescent="0.4">
      <c r="B11" s="50" t="s">
        <v>271</v>
      </c>
      <c r="C11" s="69" t="str">
        <f>IF(기초자료입력!C23&lt;&gt;"",기초자료입력!C23,"")</f>
        <v/>
      </c>
      <c r="D11" s="69"/>
      <c r="E11" s="69"/>
      <c r="F11" s="69"/>
      <c r="G11" s="69"/>
      <c r="H11" s="69"/>
    </row>
    <row r="12" spans="1:9" x14ac:dyDescent="0.4">
      <c r="B12" s="35"/>
      <c r="C12" s="35"/>
      <c r="D12" s="35"/>
      <c r="E12" s="35"/>
      <c r="F12" s="35"/>
      <c r="G12" s="35"/>
      <c r="H12" s="35"/>
    </row>
    <row r="13" spans="1:9" ht="28.05" customHeight="1" x14ac:dyDescent="0.4">
      <c r="B13" s="64" t="str">
        <f>"2. "&amp;IF(기초자료입력!C5&lt;&gt;"",기초자료입력!C5,"20○○")&amp;"년도 교복 학교주관구매 건에 대해 개찰 결과 예정가격 대비 최저가격으로 투찰하여 1순위가 된 아래 업체를 낙찰자로 결정하고자 합니다."</f>
        <v>2. 2026년도 교복 학교주관구매 건에 대해 개찰 결과 예정가격 대비 최저가격으로 투찰하여 1순위가 된 아래 업체를 낙찰자로 결정하고자 합니다.</v>
      </c>
      <c r="C13" s="64"/>
      <c r="D13" s="64"/>
      <c r="E13" s="64"/>
      <c r="F13" s="64"/>
      <c r="G13" s="64"/>
      <c r="H13" s="64"/>
    </row>
    <row r="14" spans="1:9" x14ac:dyDescent="0.4">
      <c r="B14" s="35"/>
      <c r="C14" s="35"/>
      <c r="D14" s="35"/>
      <c r="E14" s="35"/>
      <c r="F14" s="35"/>
      <c r="G14" s="35"/>
      <c r="H14" s="35"/>
    </row>
    <row r="15" spans="1:9" x14ac:dyDescent="0.4">
      <c r="B15" s="50" t="s">
        <v>599</v>
      </c>
      <c r="C15" s="69" t="str">
        <f>IF(기초자료입력!C12&lt;&gt;"",IF(기초자료입력!C5&lt;&gt;"",기초자료입력!C5&amp;"학년도 ","")&amp;기초자료입력!C12,"")</f>
        <v>2026학년도 2026학년도 동복 구매</v>
      </c>
      <c r="D15" s="69"/>
      <c r="E15" s="69"/>
      <c r="F15" s="69"/>
      <c r="G15" s="69"/>
      <c r="H15" s="69"/>
    </row>
    <row r="16" spans="1:9" x14ac:dyDescent="0.4">
      <c r="B16" s="50" t="s">
        <v>600</v>
      </c>
      <c r="C16" s="69" t="str">
        <f>IF(기초자료입력!C15&lt;&gt;"","금"&amp;TEXT(기초자료입력!C15,"#,##0")&amp;"원","")</f>
        <v>금5,000,000원</v>
      </c>
      <c r="D16" s="69"/>
      <c r="E16" s="69"/>
      <c r="F16" s="69"/>
      <c r="G16" s="69"/>
      <c r="H16" s="69"/>
    </row>
    <row r="17" spans="2:8" x14ac:dyDescent="0.4">
      <c r="B17" s="50" t="s">
        <v>601</v>
      </c>
      <c r="C17" s="73" t="s">
        <v>1053</v>
      </c>
      <c r="D17" s="69"/>
      <c r="E17" s="69"/>
      <c r="F17" s="69"/>
      <c r="G17" s="69"/>
      <c r="H17" s="69"/>
    </row>
    <row r="18" spans="2:8" x14ac:dyDescent="0.4">
      <c r="B18" s="35"/>
      <c r="C18" s="35"/>
      <c r="D18" s="35"/>
      <c r="E18" s="35"/>
      <c r="F18" s="35"/>
      <c r="G18" s="35"/>
      <c r="H18" s="35"/>
    </row>
    <row r="19" spans="2:8" x14ac:dyDescent="0.4">
      <c r="B19" s="71" t="s">
        <v>602</v>
      </c>
      <c r="C19" s="69"/>
      <c r="D19" s="69"/>
      <c r="E19" s="69"/>
      <c r="F19" s="69"/>
      <c r="G19" s="69"/>
      <c r="H19" s="69"/>
    </row>
    <row r="20" spans="2:8" x14ac:dyDescent="0.4">
      <c r="B20" s="29" t="s">
        <v>603</v>
      </c>
      <c r="C20" s="29" t="s">
        <v>60</v>
      </c>
      <c r="D20" s="29" t="s">
        <v>355</v>
      </c>
      <c r="E20" s="29" t="s">
        <v>604</v>
      </c>
      <c r="F20" s="29" t="s">
        <v>605</v>
      </c>
      <c r="G20" s="29" t="s">
        <v>606</v>
      </c>
      <c r="H20" s="35"/>
    </row>
    <row r="21" spans="2:8" x14ac:dyDescent="0.4">
      <c r="B21" s="34">
        <v>1</v>
      </c>
      <c r="C21" s="34" t="str">
        <f>IFERROR(INDEX(기초자료입력!$B$44:$B$53,I3),"")</f>
        <v>검증업체가</v>
      </c>
      <c r="D21" s="34"/>
      <c r="E21" s="55">
        <v>4500000</v>
      </c>
      <c r="F21" s="56">
        <v>90</v>
      </c>
      <c r="G21" s="34"/>
      <c r="H21" s="35"/>
    </row>
    <row r="22" spans="2:8" x14ac:dyDescent="0.4">
      <c r="B22" s="35"/>
      <c r="C22" s="35"/>
      <c r="D22" s="35"/>
      <c r="E22" s="35"/>
      <c r="F22" s="35"/>
      <c r="G22" s="35"/>
      <c r="H22" s="35"/>
    </row>
    <row r="23" spans="2:8" x14ac:dyDescent="0.4">
      <c r="B23" s="72" t="s">
        <v>607</v>
      </c>
      <c r="C23" s="64"/>
      <c r="D23" s="64"/>
      <c r="E23" s="64"/>
      <c r="F23" s="64"/>
      <c r="G23" s="64"/>
      <c r="H23" s="64"/>
    </row>
    <row r="24" spans="2:8" x14ac:dyDescent="0.4">
      <c r="B24" s="35"/>
      <c r="C24" s="35"/>
      <c r="D24" s="35"/>
      <c r="E24" s="35"/>
      <c r="F24" s="35"/>
      <c r="G24" s="35"/>
      <c r="H24" s="35"/>
    </row>
    <row r="25" spans="2:8" x14ac:dyDescent="0.4">
      <c r="B25" s="35"/>
      <c r="C25" s="35"/>
      <c r="D25" s="35"/>
      <c r="E25" s="35"/>
      <c r="F25" s="35"/>
      <c r="G25" s="35"/>
      <c r="H25" s="35"/>
    </row>
    <row r="26" spans="2:8" x14ac:dyDescent="0.4">
      <c r="B26" s="35"/>
      <c r="C26" s="35"/>
      <c r="D26" s="35"/>
      <c r="E26" s="35"/>
      <c r="F26" s="51" t="s">
        <v>266</v>
      </c>
      <c r="G26" s="51" t="s">
        <v>277</v>
      </c>
      <c r="H26" s="51" t="s">
        <v>267</v>
      </c>
    </row>
    <row r="27" spans="2:8" x14ac:dyDescent="0.4">
      <c r="B27" s="50" t="s">
        <v>278</v>
      </c>
      <c r="C27" s="69" t="str">
        <f>IF(기초자료입력!C9&lt;&gt;"",기초자료입력!C9,"")</f>
        <v/>
      </c>
      <c r="D27" s="69"/>
      <c r="E27" s="69"/>
      <c r="F27" s="51" t="s">
        <v>279</v>
      </c>
      <c r="G27" s="67"/>
      <c r="H27" s="67"/>
    </row>
    <row r="28" spans="2:8" x14ac:dyDescent="0.4">
      <c r="B28" s="50" t="s">
        <v>280</v>
      </c>
      <c r="C28" s="35"/>
      <c r="D28" s="50" t="s">
        <v>281</v>
      </c>
      <c r="E28" s="69"/>
      <c r="F28" s="67"/>
      <c r="G28" s="67"/>
      <c r="H28" s="67"/>
    </row>
    <row r="29" spans="2:8" x14ac:dyDescent="0.4">
      <c r="B29" s="50" t="s">
        <v>282</v>
      </c>
      <c r="C29" s="35"/>
      <c r="D29" s="50" t="s">
        <v>283</v>
      </c>
      <c r="E29" s="35"/>
      <c r="F29" s="51" t="s">
        <v>284</v>
      </c>
      <c r="G29" s="67"/>
      <c r="H29" s="67"/>
    </row>
  </sheetData>
  <mergeCells count="15">
    <mergeCell ref="E28:H28"/>
    <mergeCell ref="G29:H29"/>
    <mergeCell ref="C15:H15"/>
    <mergeCell ref="C16:H16"/>
    <mergeCell ref="C17:H17"/>
    <mergeCell ref="B19:H19"/>
    <mergeCell ref="B23:H23"/>
    <mergeCell ref="C27:E27"/>
    <mergeCell ref="G27:H27"/>
    <mergeCell ref="B13:H13"/>
    <mergeCell ref="B3:H4"/>
    <mergeCell ref="C7:H7"/>
    <mergeCell ref="C8:H8"/>
    <mergeCell ref="C9:H9"/>
    <mergeCell ref="C11:H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97F85-A00E-4CF0-80FE-E480C4F52BE6}">
  <sheetPr codeName="Sheet8"/>
  <dimension ref="A1:H40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577</v>
      </c>
    </row>
    <row r="3" spans="1:8" x14ac:dyDescent="0.4">
      <c r="B3" s="75" t="str">
        <f>IF(기초자료입력!C4&lt;&gt;"",기초자료입력!C4,"○○학교")&amp;" 교복 학교주관구매 계획(안)"</f>
        <v>검증초등학교 교복 학교주관구매 계획(안)</v>
      </c>
      <c r="C3" s="76"/>
      <c r="D3" s="76"/>
      <c r="E3" s="76"/>
      <c r="F3" s="76"/>
      <c r="G3" s="76"/>
      <c r="H3" s="76"/>
    </row>
    <row r="4" spans="1:8" x14ac:dyDescent="0.4">
      <c r="B4" s="76"/>
      <c r="C4" s="76"/>
      <c r="D4" s="76"/>
      <c r="E4" s="76"/>
      <c r="F4" s="76"/>
      <c r="G4" s="76"/>
      <c r="H4" s="76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24" t="s">
        <v>578</v>
      </c>
      <c r="C6" s="77"/>
      <c r="D6" s="77"/>
      <c r="E6" s="77"/>
      <c r="F6" s="77"/>
      <c r="G6" s="77"/>
      <c r="H6" s="77"/>
    </row>
    <row r="7" spans="1:8" x14ac:dyDescent="0.4">
      <c r="B7" s="24" t="s">
        <v>579</v>
      </c>
      <c r="C7" s="77"/>
      <c r="D7" s="77"/>
      <c r="E7" s="77"/>
      <c r="F7" s="77"/>
      <c r="G7" s="77"/>
      <c r="H7" s="77"/>
    </row>
    <row r="8" spans="1:8" x14ac:dyDescent="0.4">
      <c r="B8" s="24" t="s">
        <v>580</v>
      </c>
      <c r="C8" s="77"/>
      <c r="D8" s="77"/>
      <c r="E8" s="77"/>
      <c r="F8" s="77"/>
      <c r="G8" s="77"/>
      <c r="H8" s="77"/>
    </row>
    <row r="9" spans="1:8" x14ac:dyDescent="0.4">
      <c r="B9" s="24" t="s">
        <v>581</v>
      </c>
      <c r="C9" s="77"/>
      <c r="D9" s="77"/>
      <c r="E9" s="77"/>
      <c r="F9" s="77"/>
      <c r="G9" s="77"/>
      <c r="H9" s="77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78" t="s">
        <v>582</v>
      </c>
      <c r="C11" s="74"/>
      <c r="D11" s="74"/>
      <c r="E11" s="74"/>
      <c r="F11" s="74"/>
      <c r="G11" s="74"/>
      <c r="H11" s="74"/>
    </row>
    <row r="12" spans="1:8" x14ac:dyDescent="0.4">
      <c r="B12" s="74" t="s">
        <v>583</v>
      </c>
      <c r="C12" s="74"/>
      <c r="D12" s="74"/>
      <c r="E12" s="74"/>
      <c r="F12" s="74"/>
      <c r="G12" s="74"/>
      <c r="H12" s="74"/>
    </row>
    <row r="13" spans="1:8" ht="28.05" customHeight="1" x14ac:dyDescent="0.4">
      <c r="B13" s="79" t="str">
        <f>"❍ 교복 가격의 안정화 및 교복 구매의 효율성 제고를 위한 "&amp;IF(기초자료입력!C4&lt;&gt;"",기초자료입력!C4,"○○학교")&amp;" "&amp;IF(기초자료입력!C5&lt;&gt;"",기초자료입력!C5,"○○")&amp;"학년도 교복 학교주관구매 계획(안)을 심의하고자 함."</f>
        <v>❍ 교복 가격의 안정화 및 교복 구매의 효율성 제고를 위한 검증초등학교 2026학년도 교복 학교주관구매 계획(안)을 심의하고자 함.</v>
      </c>
      <c r="C13" s="79"/>
      <c r="D13" s="79"/>
      <c r="E13" s="79"/>
      <c r="F13" s="79"/>
      <c r="G13" s="79"/>
      <c r="H13" s="79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78" t="s">
        <v>584</v>
      </c>
      <c r="C15" s="74"/>
      <c r="D15" s="74"/>
      <c r="E15" s="74"/>
      <c r="F15" s="74"/>
      <c r="G15" s="74"/>
      <c r="H15" s="74"/>
    </row>
    <row r="16" spans="1:8" x14ac:dyDescent="0.4">
      <c r="B16" s="78" t="s">
        <v>585</v>
      </c>
      <c r="C16" s="74"/>
      <c r="D16" s="74"/>
      <c r="E16" s="74"/>
      <c r="F16" s="74"/>
      <c r="G16" s="74"/>
      <c r="H16" s="74"/>
    </row>
    <row r="17" spans="2:8" x14ac:dyDescent="0.4">
      <c r="B17" s="74" t="s">
        <v>586</v>
      </c>
      <c r="C17" s="74"/>
      <c r="D17" s="74"/>
      <c r="E17" s="74"/>
      <c r="F17" s="74"/>
      <c r="G17" s="74"/>
      <c r="H17" s="74"/>
    </row>
    <row r="18" spans="2:8" x14ac:dyDescent="0.4">
      <c r="B18" s="74" t="s">
        <v>587</v>
      </c>
      <c r="C18" s="74"/>
      <c r="D18" s="74"/>
      <c r="E18" s="74"/>
      <c r="F18" s="74"/>
      <c r="G18" s="74"/>
      <c r="H18" s="74"/>
    </row>
    <row r="19" spans="2:8" x14ac:dyDescent="0.4">
      <c r="B19" s="78" t="s">
        <v>588</v>
      </c>
      <c r="C19" s="74"/>
      <c r="D19" s="74"/>
      <c r="E19" s="74"/>
      <c r="F19" s="74"/>
      <c r="G19" s="74"/>
      <c r="H19" s="74"/>
    </row>
    <row r="20" spans="2:8" x14ac:dyDescent="0.4">
      <c r="B20" s="74" t="s">
        <v>589</v>
      </c>
      <c r="C20" s="74"/>
      <c r="D20" s="74"/>
      <c r="E20" s="74"/>
      <c r="F20" s="74"/>
      <c r="G20" s="74"/>
      <c r="H20" s="74"/>
    </row>
    <row r="21" spans="2:8" x14ac:dyDescent="0.4">
      <c r="B21" s="78" t="s">
        <v>590</v>
      </c>
      <c r="C21" s="74"/>
      <c r="D21" s="74"/>
      <c r="E21" s="74"/>
      <c r="F21" s="74"/>
      <c r="G21" s="74"/>
      <c r="H21" s="74"/>
    </row>
    <row r="22" spans="2:8" x14ac:dyDescent="0.4">
      <c r="B22" s="74" t="str">
        <f>"❍ 하복："&amp;IF(SUM(기초자료입력!$D$33:$D$34)=0,"○○,○○○",TEXT(SUM(기초자료입력!$D$33:$D$34),"#,##0"))&amp;"원, 동복："&amp;IF(SUM(기초자료입력!$D$29:$D$32)=0,"○○○,○○○",TEXT(SUM(기초자료입력!$D$29:$D$32),"#,##0"))&amp;"원("&amp;IF(기초자료입력!C5&lt;&gt;"",기초자료입력!C5,"20○○")&amp;"년 기준)"</f>
        <v>❍ 하복：○○,○○○원, 동복：○○○,○○○원(2026년 기준)</v>
      </c>
      <c r="C22" s="74"/>
      <c r="D22" s="74"/>
      <c r="E22" s="74"/>
      <c r="F22" s="74"/>
      <c r="G22" s="74"/>
      <c r="H22" s="74"/>
    </row>
    <row r="23" spans="2:8" x14ac:dyDescent="0.4">
      <c r="B23" s="78" t="s">
        <v>591</v>
      </c>
      <c r="C23" s="74"/>
      <c r="D23" s="74"/>
      <c r="E23" s="74"/>
      <c r="F23" s="74"/>
      <c r="G23" s="74"/>
      <c r="H23" s="74"/>
    </row>
    <row r="24" spans="2:8" x14ac:dyDescent="0.4">
      <c r="B24" s="74" t="s">
        <v>592</v>
      </c>
      <c r="C24" s="74"/>
      <c r="D24" s="74"/>
      <c r="E24" s="74"/>
      <c r="F24" s="74"/>
      <c r="G24" s="74"/>
      <c r="H24" s="74"/>
    </row>
    <row r="25" spans="2:8" x14ac:dyDescent="0.4">
      <c r="B25" s="25" t="s">
        <v>493</v>
      </c>
      <c r="C25" s="25" t="s">
        <v>300</v>
      </c>
      <c r="D25" s="25" t="s">
        <v>593</v>
      </c>
      <c r="E25" s="25" t="s">
        <v>495</v>
      </c>
      <c r="F25" s="80" t="s">
        <v>289</v>
      </c>
      <c r="G25" s="81"/>
      <c r="H25" s="81"/>
    </row>
    <row r="26" spans="2:8" x14ac:dyDescent="0.4">
      <c r="B26" s="22" t="str">
        <f>IF(기초자료입력!B58&lt;&gt;"",1,"")</f>
        <v/>
      </c>
      <c r="C26" s="22" t="str">
        <f>IF(기초자료입력!B58&lt;&gt;"","위원장","")</f>
        <v/>
      </c>
      <c r="D26" s="22" t="str">
        <f>IF(기초자료입력!B58&lt;&gt;"",기초자료입력!B58,"")</f>
        <v/>
      </c>
      <c r="E26" s="22" t="str">
        <f>IF(기초자료입력!C58&lt;&gt;"",기초자료입력!C58,"")</f>
        <v/>
      </c>
      <c r="F26" s="77"/>
      <c r="G26" s="77"/>
      <c r="H26" s="77"/>
    </row>
    <row r="27" spans="2:8" x14ac:dyDescent="0.4">
      <c r="B27" s="22" t="str">
        <f>IF(기초자료입력!B59&lt;&gt;"",2,"")</f>
        <v/>
      </c>
      <c r="C27" s="22" t="str">
        <f>IF(기초자료입력!B59&lt;&gt;"","위원","")</f>
        <v/>
      </c>
      <c r="D27" s="22" t="str">
        <f>IF(기초자료입력!B59&lt;&gt;"",기초자료입력!B59,"")</f>
        <v/>
      </c>
      <c r="E27" s="22" t="str">
        <f>IF(기초자료입력!C59&lt;&gt;"",기초자료입력!C59,"")</f>
        <v/>
      </c>
      <c r="F27" s="77"/>
      <c r="G27" s="77"/>
      <c r="H27" s="77"/>
    </row>
    <row r="28" spans="2:8" x14ac:dyDescent="0.4">
      <c r="B28" s="22" t="str">
        <f>IF(기초자료입력!B60&lt;&gt;"",3,"")</f>
        <v/>
      </c>
      <c r="C28" s="22" t="str">
        <f>IF(기초자료입력!B60&lt;&gt;"","위원","")</f>
        <v/>
      </c>
      <c r="D28" s="22" t="str">
        <f>IF(기초자료입력!B60&lt;&gt;"",기초자료입력!B60,"")</f>
        <v/>
      </c>
      <c r="E28" s="22" t="str">
        <f>IF(기초자료입력!C60&lt;&gt;"",기초자료입력!C60,"")</f>
        <v/>
      </c>
      <c r="F28" s="77"/>
      <c r="G28" s="77"/>
      <c r="H28" s="77"/>
    </row>
    <row r="29" spans="2:8" x14ac:dyDescent="0.4">
      <c r="B29" s="22" t="str">
        <f>IF(기초자료입력!B61&lt;&gt;"",4,"")</f>
        <v/>
      </c>
      <c r="C29" s="22" t="str">
        <f>IF(기초자료입력!B61&lt;&gt;"","위원","")</f>
        <v/>
      </c>
      <c r="D29" s="22" t="str">
        <f>IF(기초자료입력!B61&lt;&gt;"",기초자료입력!B61,"")</f>
        <v/>
      </c>
      <c r="E29" s="22" t="str">
        <f>IF(기초자료입력!C61&lt;&gt;"",기초자료입력!C61,"")</f>
        <v/>
      </c>
      <c r="F29" s="77"/>
      <c r="G29" s="77"/>
      <c r="H29" s="77"/>
    </row>
    <row r="30" spans="2:8" x14ac:dyDescent="0.4">
      <c r="B30" s="22" t="str">
        <f>IF(기초자료입력!B62&lt;&gt;"",5,"")</f>
        <v/>
      </c>
      <c r="C30" s="22" t="str">
        <f>IF(기초자료입력!B62&lt;&gt;"","위원","")</f>
        <v/>
      </c>
      <c r="D30" s="22" t="str">
        <f>IF(기초자료입력!B62&lt;&gt;"",기초자료입력!B62,"")</f>
        <v/>
      </c>
      <c r="E30" s="22" t="str">
        <f>IF(기초자료입력!C62&lt;&gt;"",기초자료입력!C62,"")</f>
        <v/>
      </c>
      <c r="F30" s="77"/>
      <c r="G30" s="77"/>
      <c r="H30" s="77"/>
    </row>
    <row r="31" spans="2:8" x14ac:dyDescent="0.4">
      <c r="B31" s="22" t="str">
        <f>IF(기초자료입력!B63&lt;&gt;"",6,"")</f>
        <v/>
      </c>
      <c r="C31" s="22" t="str">
        <f>IF(기초자료입력!B63&lt;&gt;"","위원","")</f>
        <v/>
      </c>
      <c r="D31" s="22" t="str">
        <f>IF(기초자료입력!B63&lt;&gt;"",기초자료입력!B63,"")</f>
        <v/>
      </c>
      <c r="E31" s="22" t="str">
        <f>IF(기초자료입력!C63&lt;&gt;"",기초자료입력!C63,"")</f>
        <v/>
      </c>
      <c r="F31" s="77"/>
      <c r="G31" s="77"/>
      <c r="H31" s="77"/>
    </row>
    <row r="32" spans="2:8" x14ac:dyDescent="0.4">
      <c r="B32" s="22" t="str">
        <f>IF(기초자료입력!B64&lt;&gt;"",7,"")</f>
        <v/>
      </c>
      <c r="C32" s="22" t="str">
        <f>IF(기초자료입력!B64&lt;&gt;"","위원","")</f>
        <v/>
      </c>
      <c r="D32" s="22" t="str">
        <f>IF(기초자료입력!B64&lt;&gt;"",기초자료입력!B64,"")</f>
        <v/>
      </c>
      <c r="E32" s="22" t="str">
        <f>IF(기초자료입력!C64&lt;&gt;"",기초자료입력!C64,"")</f>
        <v/>
      </c>
      <c r="F32" s="77"/>
      <c r="G32" s="77"/>
      <c r="H32" s="77"/>
    </row>
    <row r="33" spans="2:8" x14ac:dyDescent="0.4">
      <c r="B33" s="22" t="str">
        <f>IF(기초자료입력!B65&lt;&gt;"",8,"")</f>
        <v/>
      </c>
      <c r="C33" s="22" t="str">
        <f>IF(기초자료입력!B65&lt;&gt;"","위원","")</f>
        <v/>
      </c>
      <c r="D33" s="22" t="str">
        <f>IF(기초자료입력!B65&lt;&gt;"",기초자료입력!B65,"")</f>
        <v/>
      </c>
      <c r="E33" s="22" t="str">
        <f>IF(기초자료입력!C65&lt;&gt;"",기초자료입력!C65,"")</f>
        <v/>
      </c>
      <c r="F33" s="77"/>
      <c r="G33" s="77"/>
      <c r="H33" s="77"/>
    </row>
    <row r="34" spans="2:8" x14ac:dyDescent="0.4">
      <c r="B34" s="22" t="str">
        <f>IF(기초자료입력!B66&lt;&gt;"",9,"")</f>
        <v/>
      </c>
      <c r="C34" s="22" t="str">
        <f>IF(기초자료입력!B66&lt;&gt;"","위원","")</f>
        <v/>
      </c>
      <c r="D34" s="22" t="str">
        <f>IF(기초자료입력!B66&lt;&gt;"",기초자료입력!B66,"")</f>
        <v/>
      </c>
      <c r="E34" s="22" t="str">
        <f>IF(기초자료입력!C66&lt;&gt;"",기초자료입력!C66,"")</f>
        <v/>
      </c>
      <c r="F34" s="77"/>
      <c r="G34" s="77"/>
      <c r="H34" s="77"/>
    </row>
    <row r="35" spans="2:8" x14ac:dyDescent="0.4">
      <c r="B35" s="22" t="str">
        <f>IF(기초자료입력!B67&lt;&gt;"",10,"")</f>
        <v/>
      </c>
      <c r="C35" s="22" t="str">
        <f>IF(기초자료입력!B67&lt;&gt;"","위원","")</f>
        <v/>
      </c>
      <c r="D35" s="22" t="str">
        <f>IF(기초자료입력!B67&lt;&gt;"",기초자료입력!B67,"")</f>
        <v/>
      </c>
      <c r="E35" s="22" t="str">
        <f>IF(기초자료입력!C67&lt;&gt;"",기초자료입력!C67,"")</f>
        <v/>
      </c>
      <c r="F35" s="77"/>
      <c r="G35" s="77"/>
      <c r="H35" s="77"/>
    </row>
    <row r="36" spans="2:8" x14ac:dyDescent="0.4">
      <c r="B36" s="74" t="s">
        <v>594</v>
      </c>
      <c r="C36" s="74"/>
      <c r="D36" s="74"/>
      <c r="E36" s="74"/>
      <c r="F36" s="74"/>
      <c r="G36" s="74"/>
      <c r="H36" s="74"/>
    </row>
    <row r="37" spans="2:8" x14ac:dyDescent="0.4">
      <c r="B37" s="21"/>
      <c r="C37" s="21"/>
      <c r="D37" s="21"/>
      <c r="E37" s="21"/>
      <c r="F37" s="21"/>
      <c r="G37" s="21"/>
      <c r="H37" s="21"/>
    </row>
    <row r="38" spans="2:8" x14ac:dyDescent="0.4">
      <c r="B38" s="74" t="str">
        <f>"붙임  "&amp;IF(기초자료입력!C5&lt;&gt;"",기초자료입력!C5,"○○")&amp;"학년도 "&amp;IF(기초자료입력!C4&lt;&gt;"",기초자료입력!C4,"○○학교")&amp;" 교복 학교주관구매 계획안 1부.  끝."</f>
        <v>붙임  2026학년도 검증초등학교 교복 학교주관구매 계획안 1부.  끝.</v>
      </c>
      <c r="C38" s="74"/>
      <c r="D38" s="74"/>
      <c r="E38" s="74"/>
      <c r="F38" s="74"/>
      <c r="G38" s="74"/>
      <c r="H38" s="74"/>
    </row>
    <row r="39" spans="2:8" x14ac:dyDescent="0.4">
      <c r="B39" s="21"/>
      <c r="C39" s="21"/>
      <c r="D39" s="21"/>
      <c r="E39" s="21"/>
      <c r="F39" s="21"/>
      <c r="G39" s="21"/>
      <c r="H39" s="21"/>
    </row>
    <row r="40" spans="2:8" x14ac:dyDescent="0.4">
      <c r="B40" s="74" t="s">
        <v>595</v>
      </c>
      <c r="C40" s="74"/>
      <c r="D40" s="74"/>
      <c r="E40" s="74"/>
      <c r="F40" s="74"/>
      <c r="G40" s="74"/>
      <c r="H40" s="74"/>
    </row>
  </sheetData>
  <mergeCells count="32">
    <mergeCell ref="B38:H38"/>
    <mergeCell ref="B40:H40"/>
    <mergeCell ref="F31:H31"/>
    <mergeCell ref="F32:H32"/>
    <mergeCell ref="F33:H33"/>
    <mergeCell ref="F34:H34"/>
    <mergeCell ref="F35:H35"/>
    <mergeCell ref="B36:H36"/>
    <mergeCell ref="F30:H30"/>
    <mergeCell ref="B19:H19"/>
    <mergeCell ref="B20:H20"/>
    <mergeCell ref="B21:H21"/>
    <mergeCell ref="B22:H22"/>
    <mergeCell ref="B23:H23"/>
    <mergeCell ref="B24:H24"/>
    <mergeCell ref="F25:H25"/>
    <mergeCell ref="F26:H26"/>
    <mergeCell ref="F27:H27"/>
    <mergeCell ref="F28:H28"/>
    <mergeCell ref="F29:H29"/>
    <mergeCell ref="B18:H18"/>
    <mergeCell ref="B3:H4"/>
    <mergeCell ref="C6:H6"/>
    <mergeCell ref="C7:H7"/>
    <mergeCell ref="C8:H8"/>
    <mergeCell ref="C9:H9"/>
    <mergeCell ref="B11:H11"/>
    <mergeCell ref="B12:H12"/>
    <mergeCell ref="B13:H13"/>
    <mergeCell ref="B15:H15"/>
    <mergeCell ref="B16:H16"/>
    <mergeCell ref="B17:H1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77721-58D3-4F56-881C-BA2EAB6C0A01}">
  <sheetPr codeName="Sheet9"/>
  <dimension ref="A1:G90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3" width="11.69921875" customWidth="1"/>
    <col min="4" max="4" width="13.69921875" customWidth="1"/>
    <col min="5" max="6" width="11.69921875" customWidth="1"/>
    <col min="7" max="7" width="13.69921875" customWidth="1"/>
  </cols>
  <sheetData>
    <row r="1" spans="1:7" ht="24" x14ac:dyDescent="0.4">
      <c r="A1" s="20" t="s">
        <v>508</v>
      </c>
      <c r="B1" s="65" t="str">
        <f>"2026학년도 교복 학교주관구매 추진 계획(안)"</f>
        <v>2026학년도 교복 학교주관구매 추진 계획(안)</v>
      </c>
      <c r="C1" s="66"/>
      <c r="D1" s="66"/>
      <c r="E1" s="66"/>
      <c r="F1" s="66"/>
      <c r="G1" s="66"/>
    </row>
    <row r="2" spans="1:7" ht="16.95" customHeight="1" x14ac:dyDescent="0.4">
      <c r="B2" s="63" t="str">
        <f>IF(기초자료입력!C4&lt;&gt;"",기초자료입력!C4&amp;"장",  "○○○학교장")</f>
        <v>검증초등학교장</v>
      </c>
      <c r="C2" s="63"/>
      <c r="D2" s="63"/>
      <c r="E2" s="63"/>
      <c r="F2" s="63"/>
      <c r="G2" s="63"/>
    </row>
    <row r="3" spans="1:7" ht="6" customHeight="1" x14ac:dyDescent="0.4">
      <c r="B3" s="44"/>
      <c r="C3" s="35"/>
      <c r="D3" s="35"/>
      <c r="E3" s="35"/>
      <c r="F3" s="35"/>
      <c r="G3" s="35"/>
    </row>
    <row r="4" spans="1:7" x14ac:dyDescent="0.4">
      <c r="B4" s="35"/>
      <c r="C4" s="35"/>
      <c r="D4" s="35"/>
      <c r="E4" s="35"/>
      <c r="F4" s="35"/>
      <c r="G4" s="35"/>
    </row>
    <row r="5" spans="1:7" x14ac:dyDescent="0.4">
      <c r="B5" s="82" t="str">
        <f>"1  개요"</f>
        <v>1  개요</v>
      </c>
      <c r="C5" s="69"/>
      <c r="D5" s="69"/>
      <c r="E5" s="69"/>
      <c r="F5" s="69"/>
      <c r="G5" s="69"/>
    </row>
    <row r="6" spans="1:7" ht="16.95" customHeight="1" x14ac:dyDescent="0.4">
      <c r="B6" s="64" t="str">
        <f>"❍ 사업명："&amp;IF(기초자료입력!C5&lt;&gt;"",기초자료입력!C5,"20○○")&amp;"학년도 교복 학교주관구매"</f>
        <v>❍ 사업명：2026학년도 교복 학교주관구매</v>
      </c>
      <c r="C6" s="64"/>
      <c r="D6" s="64"/>
      <c r="E6" s="64"/>
      <c r="F6" s="64"/>
      <c r="G6" s="64"/>
    </row>
    <row r="7" spans="1:7" ht="30" customHeight="1" x14ac:dyDescent="0.4">
      <c r="B7" s="64" t="s">
        <v>509</v>
      </c>
      <c r="C7" s="64"/>
      <c r="D7" s="64"/>
      <c r="E7" s="64"/>
      <c r="F7" s="64"/>
      <c r="G7" s="64"/>
    </row>
    <row r="8" spans="1:7" ht="30" customHeight="1" x14ac:dyDescent="0.4">
      <c r="B8" s="64" t="s">
        <v>510</v>
      </c>
      <c r="C8" s="64"/>
      <c r="D8" s="64"/>
      <c r="E8" s="64"/>
      <c r="F8" s="64"/>
      <c r="G8" s="64"/>
    </row>
    <row r="9" spans="1:7" ht="16.95" customHeight="1" x14ac:dyDescent="0.4">
      <c r="B9" s="64" t="s">
        <v>511</v>
      </c>
      <c r="C9" s="64"/>
      <c r="D9" s="64"/>
      <c r="E9" s="64"/>
      <c r="F9" s="64"/>
      <c r="G9" s="64"/>
    </row>
    <row r="10" spans="1:7" ht="16.95" customHeight="1" x14ac:dyDescent="0.4">
      <c r="B10" s="64" t="s">
        <v>512</v>
      </c>
      <c r="C10" s="64"/>
      <c r="D10" s="64"/>
      <c r="E10" s="64"/>
      <c r="F10" s="64"/>
      <c r="G10" s="64"/>
    </row>
    <row r="11" spans="1:7" ht="6" customHeight="1" x14ac:dyDescent="0.4">
      <c r="B11" s="35"/>
      <c r="C11" s="35"/>
      <c r="D11" s="35"/>
      <c r="E11" s="35"/>
      <c r="F11" s="35"/>
      <c r="G11" s="35"/>
    </row>
    <row r="12" spans="1:7" x14ac:dyDescent="0.4">
      <c r="B12" s="35"/>
      <c r="C12" s="35"/>
      <c r="D12" s="35"/>
      <c r="E12" s="35"/>
      <c r="F12" s="35"/>
      <c r="G12" s="35"/>
    </row>
    <row r="13" spans="1:7" x14ac:dyDescent="0.4">
      <c r="B13" s="82" t="str">
        <f>"2  기본방향"</f>
        <v>2  기본방향</v>
      </c>
      <c r="C13" s="69"/>
      <c r="D13" s="69"/>
      <c r="E13" s="69"/>
      <c r="F13" s="69"/>
      <c r="G13" s="69"/>
    </row>
    <row r="14" spans="1:7" ht="30" customHeight="1" x14ac:dyDescent="0.4">
      <c r="B14" s="64" t="s">
        <v>513</v>
      </c>
      <c r="C14" s="64"/>
      <c r="D14" s="64"/>
      <c r="E14" s="64"/>
      <c r="F14" s="64"/>
      <c r="G14" s="64"/>
    </row>
    <row r="15" spans="1:7" ht="30" customHeight="1" x14ac:dyDescent="0.4">
      <c r="B15" s="64" t="s">
        <v>514</v>
      </c>
      <c r="C15" s="64"/>
      <c r="D15" s="64"/>
      <c r="E15" s="64"/>
      <c r="F15" s="64"/>
      <c r="G15" s="64"/>
    </row>
    <row r="16" spans="1:7" ht="30" customHeight="1" x14ac:dyDescent="0.4">
      <c r="B16" s="64" t="s">
        <v>515</v>
      </c>
      <c r="C16" s="64"/>
      <c r="D16" s="64"/>
      <c r="E16" s="64"/>
      <c r="F16" s="64"/>
      <c r="G16" s="64"/>
    </row>
    <row r="17" spans="2:7" ht="6" customHeight="1" x14ac:dyDescent="0.4">
      <c r="B17" s="35"/>
      <c r="C17" s="35"/>
      <c r="D17" s="35"/>
      <c r="E17" s="35"/>
      <c r="F17" s="35"/>
      <c r="G17" s="35"/>
    </row>
    <row r="18" spans="2:7" x14ac:dyDescent="0.4">
      <c r="B18" s="35"/>
      <c r="C18" s="35"/>
      <c r="D18" s="35"/>
      <c r="E18" s="35"/>
      <c r="F18" s="35"/>
      <c r="G18" s="35"/>
    </row>
    <row r="19" spans="2:7" x14ac:dyDescent="0.4">
      <c r="B19" s="82" t="str">
        <f>"3  추진 절차 개요"</f>
        <v>3  추진 절차 개요</v>
      </c>
      <c r="C19" s="69"/>
      <c r="D19" s="69"/>
      <c r="E19" s="69"/>
      <c r="F19" s="69"/>
      <c r="G19" s="69"/>
    </row>
    <row r="20" spans="2:7" x14ac:dyDescent="0.4">
      <c r="B20" s="84" t="s">
        <v>516</v>
      </c>
      <c r="C20" s="67"/>
      <c r="D20" s="84" t="s">
        <v>517</v>
      </c>
      <c r="E20" s="67"/>
      <c r="F20" s="67"/>
      <c r="G20" s="29" t="s">
        <v>266</v>
      </c>
    </row>
    <row r="21" spans="2:7" ht="43.05" customHeight="1" x14ac:dyDescent="0.4">
      <c r="B21" s="83" t="s">
        <v>518</v>
      </c>
      <c r="C21" s="83"/>
      <c r="D21" s="83" t="s">
        <v>519</v>
      </c>
      <c r="E21" s="83"/>
      <c r="F21" s="83"/>
      <c r="G21" s="34" t="s">
        <v>520</v>
      </c>
    </row>
    <row r="22" spans="2:7" ht="30" customHeight="1" x14ac:dyDescent="0.4">
      <c r="B22" s="83" t="s">
        <v>521</v>
      </c>
      <c r="C22" s="83"/>
      <c r="D22" s="83" t="s">
        <v>522</v>
      </c>
      <c r="E22" s="83"/>
      <c r="F22" s="83"/>
      <c r="G22" s="34" t="s">
        <v>520</v>
      </c>
    </row>
    <row r="23" spans="2:7" ht="43.05" customHeight="1" x14ac:dyDescent="0.4">
      <c r="B23" s="83" t="s">
        <v>523</v>
      </c>
      <c r="C23" s="83"/>
      <c r="D23" s="83" t="s">
        <v>524</v>
      </c>
      <c r="E23" s="83"/>
      <c r="F23" s="83"/>
      <c r="G23" s="34" t="s">
        <v>525</v>
      </c>
    </row>
    <row r="24" spans="2:7" ht="30" customHeight="1" x14ac:dyDescent="0.4">
      <c r="B24" s="83" t="s">
        <v>526</v>
      </c>
      <c r="C24" s="83"/>
      <c r="D24" s="83" t="s">
        <v>527</v>
      </c>
      <c r="E24" s="83"/>
      <c r="F24" s="83"/>
      <c r="G24" s="34" t="s">
        <v>528</v>
      </c>
    </row>
    <row r="25" spans="2:7" ht="16.95" customHeight="1" x14ac:dyDescent="0.4">
      <c r="B25" s="83" t="s">
        <v>529</v>
      </c>
      <c r="C25" s="83"/>
      <c r="D25" s="83" t="s">
        <v>530</v>
      </c>
      <c r="E25" s="83"/>
      <c r="F25" s="83"/>
      <c r="G25" s="34" t="s">
        <v>525</v>
      </c>
    </row>
    <row r="26" spans="2:7" ht="30" customHeight="1" x14ac:dyDescent="0.4">
      <c r="B26" s="83" t="s">
        <v>531</v>
      </c>
      <c r="C26" s="83"/>
      <c r="D26" s="83" t="s">
        <v>532</v>
      </c>
      <c r="E26" s="83"/>
      <c r="F26" s="83"/>
      <c r="G26" s="34" t="s">
        <v>528</v>
      </c>
    </row>
    <row r="27" spans="2:7" ht="30" customHeight="1" x14ac:dyDescent="0.4">
      <c r="B27" s="83" t="s">
        <v>533</v>
      </c>
      <c r="C27" s="83"/>
      <c r="D27" s="83" t="s">
        <v>534</v>
      </c>
      <c r="E27" s="83"/>
      <c r="F27" s="83"/>
      <c r="G27" s="34" t="s">
        <v>520</v>
      </c>
    </row>
    <row r="28" spans="2:7" ht="43.05" customHeight="1" x14ac:dyDescent="0.4">
      <c r="B28" s="83" t="s">
        <v>535</v>
      </c>
      <c r="C28" s="83"/>
      <c r="D28" s="83" t="s">
        <v>536</v>
      </c>
      <c r="E28" s="83"/>
      <c r="F28" s="83"/>
      <c r="G28" s="34" t="s">
        <v>520</v>
      </c>
    </row>
    <row r="29" spans="2:7" ht="30" customHeight="1" x14ac:dyDescent="0.4">
      <c r="B29" s="83" t="s">
        <v>537</v>
      </c>
      <c r="C29" s="83"/>
      <c r="D29" s="83" t="s">
        <v>538</v>
      </c>
      <c r="E29" s="83"/>
      <c r="F29" s="83"/>
      <c r="G29" s="34" t="s">
        <v>528</v>
      </c>
    </row>
    <row r="30" spans="2:7" ht="30" customHeight="1" x14ac:dyDescent="0.4">
      <c r="B30" s="83" t="s">
        <v>539</v>
      </c>
      <c r="C30" s="83"/>
      <c r="D30" s="83" t="s">
        <v>540</v>
      </c>
      <c r="E30" s="83"/>
      <c r="F30" s="83"/>
      <c r="G30" s="34" t="s">
        <v>525</v>
      </c>
    </row>
    <row r="31" spans="2:7" ht="43.05" customHeight="1" x14ac:dyDescent="0.4">
      <c r="B31" s="83" t="s">
        <v>541</v>
      </c>
      <c r="C31" s="83"/>
      <c r="D31" s="83" t="s">
        <v>542</v>
      </c>
      <c r="E31" s="83"/>
      <c r="F31" s="83"/>
      <c r="G31" s="34" t="s">
        <v>528</v>
      </c>
    </row>
    <row r="32" spans="2:7" ht="6" customHeight="1" x14ac:dyDescent="0.4">
      <c r="B32" s="35"/>
      <c r="C32" s="35"/>
      <c r="D32" s="35"/>
      <c r="E32" s="35"/>
      <c r="F32" s="35"/>
      <c r="G32" s="35"/>
    </row>
    <row r="33" spans="2:7" x14ac:dyDescent="0.4">
      <c r="B33" s="35"/>
      <c r="C33" s="35"/>
      <c r="D33" s="35"/>
      <c r="E33" s="35"/>
      <c r="F33" s="35"/>
      <c r="G33" s="35"/>
    </row>
    <row r="34" spans="2:7" x14ac:dyDescent="0.4">
      <c r="B34" s="82" t="str">
        <f>"4  세부 추진 절차"</f>
        <v>4  세부 추진 절차</v>
      </c>
      <c r="C34" s="69"/>
      <c r="D34" s="69"/>
      <c r="E34" s="69"/>
      <c r="F34" s="69"/>
      <c r="G34" s="69"/>
    </row>
    <row r="35" spans="2:7" x14ac:dyDescent="0.4">
      <c r="B35" s="71" t="s">
        <v>543</v>
      </c>
      <c r="C35" s="69"/>
      <c r="D35" s="69"/>
      <c r="E35" s="69"/>
      <c r="F35" s="69"/>
      <c r="G35" s="69"/>
    </row>
    <row r="36" spans="2:7" ht="16.95" customHeight="1" x14ac:dyDescent="0.4">
      <c r="B36" s="64" t="s">
        <v>544</v>
      </c>
      <c r="C36" s="64"/>
      <c r="D36" s="64"/>
      <c r="E36" s="64"/>
      <c r="F36" s="64"/>
      <c r="G36" s="64"/>
    </row>
    <row r="37" spans="2:7" ht="43.05" customHeight="1" x14ac:dyDescent="0.4">
      <c r="B37" s="64" t="s">
        <v>545</v>
      </c>
      <c r="C37" s="64"/>
      <c r="D37" s="64"/>
      <c r="E37" s="64"/>
      <c r="F37" s="64"/>
      <c r="G37" s="64"/>
    </row>
    <row r="38" spans="2:7" ht="25.95" customHeight="1" x14ac:dyDescent="0.4">
      <c r="B38" s="64" t="s">
        <v>546</v>
      </c>
      <c r="C38" s="64"/>
      <c r="D38" s="64"/>
      <c r="E38" s="64"/>
      <c r="F38" s="64"/>
      <c r="G38" s="64"/>
    </row>
    <row r="39" spans="2:7" ht="6" customHeight="1" x14ac:dyDescent="0.4">
      <c r="B39" s="35"/>
      <c r="C39" s="35"/>
      <c r="D39" s="35"/>
      <c r="E39" s="35"/>
      <c r="F39" s="35"/>
      <c r="G39" s="35"/>
    </row>
    <row r="40" spans="2:7" x14ac:dyDescent="0.4">
      <c r="B40" s="71" t="s">
        <v>547</v>
      </c>
      <c r="C40" s="69"/>
      <c r="D40" s="69"/>
      <c r="E40" s="69"/>
      <c r="F40" s="69"/>
      <c r="G40" s="69"/>
    </row>
    <row r="41" spans="2:7" ht="30" customHeight="1" x14ac:dyDescent="0.4">
      <c r="B41" s="64" t="s">
        <v>548</v>
      </c>
      <c r="C41" s="64"/>
      <c r="D41" s="64"/>
      <c r="E41" s="64"/>
      <c r="F41" s="64"/>
      <c r="G41" s="64"/>
    </row>
    <row r="42" spans="2:7" x14ac:dyDescent="0.4">
      <c r="B42" s="29" t="s">
        <v>493</v>
      </c>
      <c r="C42" s="29" t="s">
        <v>300</v>
      </c>
      <c r="D42" s="29" t="s">
        <v>494</v>
      </c>
      <c r="E42" s="29" t="s">
        <v>495</v>
      </c>
      <c r="F42" s="84" t="s">
        <v>289</v>
      </c>
      <c r="G42" s="84"/>
    </row>
    <row r="43" spans="2:7" x14ac:dyDescent="0.4">
      <c r="B43" s="54" t="str">
        <f>IF(기초자료입력!B58&lt;&gt;"",1,"")</f>
        <v/>
      </c>
      <c r="C43" s="54" t="str">
        <f>IF(기초자료입력!B58&lt;&gt;"","위원장","")</f>
        <v/>
      </c>
      <c r="D43" s="54" t="str">
        <f>IF(기초자료입력!B58&lt;&gt;"",기초자료입력!B58,"")</f>
        <v/>
      </c>
      <c r="E43" s="54" t="str">
        <f>IF(기초자료입력!C58&lt;&gt;"",기초자료입력!C58,"")</f>
        <v/>
      </c>
      <c r="F43" s="85"/>
      <c r="G43" s="85"/>
    </row>
    <row r="44" spans="2:7" x14ac:dyDescent="0.4">
      <c r="B44" s="54" t="str">
        <f>IF(기초자료입력!B59&lt;&gt;"",2,"")</f>
        <v/>
      </c>
      <c r="C44" s="54" t="str">
        <f>IF(기초자료입력!B59&lt;&gt;"","위원","")</f>
        <v/>
      </c>
      <c r="D44" s="54" t="str">
        <f>IF(기초자료입력!B59&lt;&gt;"",기초자료입력!B59,"")</f>
        <v/>
      </c>
      <c r="E44" s="54" t="str">
        <f>IF(기초자료입력!C59&lt;&gt;"",기초자료입력!C59,"")</f>
        <v/>
      </c>
      <c r="F44" s="85"/>
      <c r="G44" s="85"/>
    </row>
    <row r="45" spans="2:7" x14ac:dyDescent="0.4">
      <c r="B45" s="54" t="str">
        <f>IF(기초자료입력!B60&lt;&gt;"",3,"")</f>
        <v/>
      </c>
      <c r="C45" s="54" t="str">
        <f>IF(기초자료입력!B60&lt;&gt;"","위원","")</f>
        <v/>
      </c>
      <c r="D45" s="54" t="str">
        <f>IF(기초자료입력!B60&lt;&gt;"",기초자료입력!B60,"")</f>
        <v/>
      </c>
      <c r="E45" s="54" t="str">
        <f>IF(기초자료입력!C60&lt;&gt;"",기초자료입력!C60,"")</f>
        <v/>
      </c>
      <c r="F45" s="85"/>
      <c r="G45" s="85"/>
    </row>
    <row r="46" spans="2:7" x14ac:dyDescent="0.4">
      <c r="B46" s="54" t="str">
        <f>IF(기초자료입력!B61&lt;&gt;"",4,"")</f>
        <v/>
      </c>
      <c r="C46" s="54" t="str">
        <f>IF(기초자료입력!B61&lt;&gt;"","위원","")</f>
        <v/>
      </c>
      <c r="D46" s="54" t="str">
        <f>IF(기초자료입력!B61&lt;&gt;"",기초자료입력!B61,"")</f>
        <v/>
      </c>
      <c r="E46" s="54" t="str">
        <f>IF(기초자료입력!C61&lt;&gt;"",기초자료입력!C61,"")</f>
        <v/>
      </c>
      <c r="F46" s="85"/>
      <c r="G46" s="85"/>
    </row>
    <row r="47" spans="2:7" x14ac:dyDescent="0.4">
      <c r="B47" s="54" t="str">
        <f>IF(기초자료입력!B62&lt;&gt;"",5,"")</f>
        <v/>
      </c>
      <c r="C47" s="54" t="str">
        <f>IF(기초자료입력!B62&lt;&gt;"","위원","")</f>
        <v/>
      </c>
      <c r="D47" s="54" t="str">
        <f>IF(기초자료입력!B62&lt;&gt;"",기초자료입력!B62,"")</f>
        <v/>
      </c>
      <c r="E47" s="54" t="str">
        <f>IF(기초자료입력!C62&lt;&gt;"",기초자료입력!C62,"")</f>
        <v/>
      </c>
      <c r="F47" s="85"/>
      <c r="G47" s="85"/>
    </row>
    <row r="48" spans="2:7" x14ac:dyDescent="0.4">
      <c r="B48" s="54" t="str">
        <f>IF(기초자료입력!B63&lt;&gt;"",6,"")</f>
        <v/>
      </c>
      <c r="C48" s="54" t="str">
        <f>IF(기초자료입력!B63&lt;&gt;"","위원","")</f>
        <v/>
      </c>
      <c r="D48" s="54" t="str">
        <f>IF(기초자료입력!B63&lt;&gt;"",기초자료입력!B63,"")</f>
        <v/>
      </c>
      <c r="E48" s="54" t="str">
        <f>IF(기초자료입력!C63&lt;&gt;"",기초자료입력!C63,"")</f>
        <v/>
      </c>
      <c r="F48" s="85"/>
      <c r="G48" s="85"/>
    </row>
    <row r="49" spans="2:7" x14ac:dyDescent="0.4">
      <c r="B49" s="54" t="str">
        <f>IF(기초자료입력!B64&lt;&gt;"",7,"")</f>
        <v/>
      </c>
      <c r="C49" s="54" t="str">
        <f>IF(기초자료입력!B64&lt;&gt;"","위원","")</f>
        <v/>
      </c>
      <c r="D49" s="54" t="str">
        <f>IF(기초자료입력!B64&lt;&gt;"",기초자료입력!B64,"")</f>
        <v/>
      </c>
      <c r="E49" s="54" t="str">
        <f>IF(기초자료입력!C64&lt;&gt;"",기초자료입력!C64,"")</f>
        <v/>
      </c>
      <c r="F49" s="85"/>
      <c r="G49" s="85"/>
    </row>
    <row r="50" spans="2:7" x14ac:dyDescent="0.4">
      <c r="B50" s="54" t="str">
        <f>IF(기초자료입력!B65&lt;&gt;"",8,"")</f>
        <v/>
      </c>
      <c r="C50" s="54" t="str">
        <f>IF(기초자료입력!B65&lt;&gt;"","위원","")</f>
        <v/>
      </c>
      <c r="D50" s="54" t="str">
        <f>IF(기초자료입력!B65&lt;&gt;"",기초자료입력!B65,"")</f>
        <v/>
      </c>
      <c r="E50" s="54" t="str">
        <f>IF(기초자료입력!C65&lt;&gt;"",기초자료입력!C65,"")</f>
        <v/>
      </c>
      <c r="F50" s="85"/>
      <c r="G50" s="85"/>
    </row>
    <row r="51" spans="2:7" x14ac:dyDescent="0.4">
      <c r="B51" s="54" t="str">
        <f>IF(기초자료입력!B66&lt;&gt;"",9,"")</f>
        <v/>
      </c>
      <c r="C51" s="54" t="str">
        <f>IF(기초자료입력!B66&lt;&gt;"","위원","")</f>
        <v/>
      </c>
      <c r="D51" s="54" t="str">
        <f>IF(기초자료입력!B66&lt;&gt;"",기초자료입력!B66,"")</f>
        <v/>
      </c>
      <c r="E51" s="54" t="str">
        <f>IF(기초자료입력!C66&lt;&gt;"",기초자료입력!C66,"")</f>
        <v/>
      </c>
      <c r="F51" s="85"/>
      <c r="G51" s="85"/>
    </row>
    <row r="52" spans="2:7" x14ac:dyDescent="0.4">
      <c r="B52" s="54" t="str">
        <f>IF(기초자료입력!B67&lt;&gt;"",10,"")</f>
        <v/>
      </c>
      <c r="C52" s="54" t="str">
        <f>IF(기초자료입력!B67&lt;&gt;"","위원","")</f>
        <v/>
      </c>
      <c r="D52" s="54" t="str">
        <f>IF(기초자료입력!B67&lt;&gt;"",기초자료입력!B67,"")</f>
        <v/>
      </c>
      <c r="E52" s="54" t="str">
        <f>IF(기초자료입력!C67&lt;&gt;"",기초자료입력!C67,"")</f>
        <v/>
      </c>
      <c r="F52" s="85"/>
      <c r="G52" s="85"/>
    </row>
    <row r="53" spans="2:7" ht="94.95" customHeight="1" x14ac:dyDescent="0.4">
      <c r="B53" s="86" t="s">
        <v>549</v>
      </c>
      <c r="C53" s="86"/>
      <c r="D53" s="86"/>
      <c r="E53" s="86"/>
      <c r="F53" s="86"/>
      <c r="G53" s="86"/>
    </row>
    <row r="54" spans="2:7" ht="25.95" customHeight="1" x14ac:dyDescent="0.4">
      <c r="B54" s="64" t="s">
        <v>550</v>
      </c>
      <c r="C54" s="64"/>
      <c r="D54" s="64"/>
      <c r="E54" s="64"/>
      <c r="F54" s="64"/>
      <c r="G54" s="64"/>
    </row>
    <row r="55" spans="2:7" ht="6" customHeight="1" x14ac:dyDescent="0.4">
      <c r="B55" s="35"/>
      <c r="C55" s="35"/>
      <c r="D55" s="35"/>
      <c r="E55" s="35"/>
      <c r="F55" s="35"/>
      <c r="G55" s="35"/>
    </row>
    <row r="56" spans="2:7" x14ac:dyDescent="0.4">
      <c r="B56" s="71" t="s">
        <v>551</v>
      </c>
      <c r="C56" s="69"/>
      <c r="D56" s="69"/>
      <c r="E56" s="69"/>
      <c r="F56" s="69"/>
      <c r="G56" s="69"/>
    </row>
    <row r="57" spans="2:7" ht="43.05" customHeight="1" x14ac:dyDescent="0.4">
      <c r="B57" s="64" t="s">
        <v>552</v>
      </c>
      <c r="C57" s="64"/>
      <c r="D57" s="64"/>
      <c r="E57" s="64"/>
      <c r="F57" s="64"/>
      <c r="G57" s="64"/>
    </row>
    <row r="58" spans="2:7" ht="43.05" customHeight="1" x14ac:dyDescent="0.4">
      <c r="B58" s="64" t="str">
        <f>"※ 상한가격(참고용 자동 계산)：동복(4pcs 기준)："&amp;IF(SUM(기초자료입력!$D$29:$D$32)=0,"○○○,○○○",TEXT(SUM(기초자료입력!$D$29:$D$32),"#,##0"))&amp;"원 / 하복(2pcs 기준)："&amp;IF(SUM(기초자료입력!$D$33:$D$34)=0,"○○,○○○",TEXT(SUM(기초자료입력!$D$33:$D$34),"#,##0"))&amp;"원 (계약일 기준 적용기간은 교육청 고시에 따름)"</f>
        <v>※ 상한가격(참고용 자동 계산)：동복(4pcs 기준)：○○○,○○○원 / 하복(2pcs 기준)：○○,○○○원 (계약일 기준 적용기간은 교육청 고시에 따름)</v>
      </c>
      <c r="C58" s="64"/>
      <c r="D58" s="64"/>
      <c r="E58" s="64"/>
      <c r="F58" s="64"/>
      <c r="G58" s="64"/>
    </row>
    <row r="59" spans="2:7" ht="30" customHeight="1" x14ac:dyDescent="0.4">
      <c r="B59" s="64" t="s">
        <v>553</v>
      </c>
      <c r="C59" s="64"/>
      <c r="D59" s="64"/>
      <c r="E59" s="64"/>
      <c r="F59" s="64"/>
      <c r="G59" s="64"/>
    </row>
    <row r="60" spans="2:7" ht="6" customHeight="1" x14ac:dyDescent="0.4">
      <c r="B60" s="35"/>
      <c r="C60" s="35"/>
      <c r="D60" s="35"/>
      <c r="E60" s="35"/>
      <c r="F60" s="35"/>
      <c r="G60" s="35"/>
    </row>
    <row r="61" spans="2:7" x14ac:dyDescent="0.4">
      <c r="B61" s="71" t="s">
        <v>554</v>
      </c>
      <c r="C61" s="69"/>
      <c r="D61" s="69"/>
      <c r="E61" s="69"/>
      <c r="F61" s="69"/>
      <c r="G61" s="69"/>
    </row>
    <row r="62" spans="2:7" ht="43.05" customHeight="1" x14ac:dyDescent="0.4">
      <c r="B62" s="64" t="s">
        <v>555</v>
      </c>
      <c r="C62" s="64"/>
      <c r="D62" s="64"/>
      <c r="E62" s="64"/>
      <c r="F62" s="64"/>
      <c r="G62" s="64"/>
    </row>
    <row r="63" spans="2:7" ht="55.95" customHeight="1" x14ac:dyDescent="0.4">
      <c r="B63" s="64" t="s">
        <v>556</v>
      </c>
      <c r="C63" s="64"/>
      <c r="D63" s="64"/>
      <c r="E63" s="64"/>
      <c r="F63" s="64"/>
      <c r="G63" s="64"/>
    </row>
    <row r="64" spans="2:7" ht="30" customHeight="1" x14ac:dyDescent="0.4">
      <c r="B64" s="64" t="s">
        <v>557</v>
      </c>
      <c r="C64" s="64"/>
      <c r="D64" s="64"/>
      <c r="E64" s="64"/>
      <c r="F64" s="64"/>
      <c r="G64" s="64"/>
    </row>
    <row r="65" spans="2:7" ht="16.95" customHeight="1" x14ac:dyDescent="0.4">
      <c r="B65" s="64" t="s">
        <v>558</v>
      </c>
      <c r="C65" s="64"/>
      <c r="D65" s="64"/>
      <c r="E65" s="64"/>
      <c r="F65" s="64"/>
      <c r="G65" s="64"/>
    </row>
    <row r="66" spans="2:7" ht="43.05" customHeight="1" x14ac:dyDescent="0.4">
      <c r="B66" s="64" t="s">
        <v>559</v>
      </c>
      <c r="C66" s="64"/>
      <c r="D66" s="64"/>
      <c r="E66" s="64"/>
      <c r="F66" s="64"/>
      <c r="G66" s="64"/>
    </row>
    <row r="67" spans="2:7" ht="30" customHeight="1" x14ac:dyDescent="0.4">
      <c r="B67" s="64" t="s">
        <v>560</v>
      </c>
      <c r="C67" s="64"/>
      <c r="D67" s="64"/>
      <c r="E67" s="64"/>
      <c r="F67" s="64"/>
      <c r="G67" s="64"/>
    </row>
    <row r="68" spans="2:7" ht="6" customHeight="1" x14ac:dyDescent="0.4">
      <c r="B68" s="35"/>
      <c r="C68" s="35"/>
      <c r="D68" s="35"/>
      <c r="E68" s="35"/>
      <c r="F68" s="35"/>
      <c r="G68" s="35"/>
    </row>
    <row r="69" spans="2:7" x14ac:dyDescent="0.4">
      <c r="B69" s="71" t="s">
        <v>561</v>
      </c>
      <c r="C69" s="69"/>
      <c r="D69" s="69"/>
      <c r="E69" s="69"/>
      <c r="F69" s="69"/>
      <c r="G69" s="69"/>
    </row>
    <row r="70" spans="2:7" ht="30" customHeight="1" x14ac:dyDescent="0.4">
      <c r="B70" s="64" t="s">
        <v>562</v>
      </c>
      <c r="C70" s="64"/>
      <c r="D70" s="64"/>
      <c r="E70" s="64"/>
      <c r="F70" s="64"/>
      <c r="G70" s="64"/>
    </row>
    <row r="71" spans="2:7" ht="43.05" customHeight="1" x14ac:dyDescent="0.4">
      <c r="B71" s="64" t="s">
        <v>563</v>
      </c>
      <c r="C71" s="64"/>
      <c r="D71" s="64"/>
      <c r="E71" s="64"/>
      <c r="F71" s="64"/>
      <c r="G71" s="64"/>
    </row>
    <row r="72" spans="2:7" ht="43.05" customHeight="1" x14ac:dyDescent="0.4">
      <c r="B72" s="64" t="s">
        <v>564</v>
      </c>
      <c r="C72" s="64"/>
      <c r="D72" s="64"/>
      <c r="E72" s="64"/>
      <c r="F72" s="64"/>
      <c r="G72" s="64"/>
    </row>
    <row r="73" spans="2:7" ht="43.05" customHeight="1" x14ac:dyDescent="0.4">
      <c r="B73" s="64" t="s">
        <v>565</v>
      </c>
      <c r="C73" s="64"/>
      <c r="D73" s="64"/>
      <c r="E73" s="64"/>
      <c r="F73" s="64"/>
      <c r="G73" s="64"/>
    </row>
    <row r="74" spans="2:7" ht="37.049999999999997" customHeight="1" x14ac:dyDescent="0.4">
      <c r="B74" s="64" t="s">
        <v>566</v>
      </c>
      <c r="C74" s="64"/>
      <c r="D74" s="64"/>
      <c r="E74" s="64"/>
      <c r="F74" s="64"/>
      <c r="G74" s="64"/>
    </row>
    <row r="75" spans="2:7" ht="6" customHeight="1" x14ac:dyDescent="0.4">
      <c r="B75" s="35"/>
      <c r="C75" s="35"/>
      <c r="D75" s="35"/>
      <c r="E75" s="35"/>
      <c r="F75" s="35"/>
      <c r="G75" s="35"/>
    </row>
    <row r="76" spans="2:7" x14ac:dyDescent="0.4">
      <c r="B76" s="71" t="s">
        <v>567</v>
      </c>
      <c r="C76" s="69"/>
      <c r="D76" s="69"/>
      <c r="E76" s="69"/>
      <c r="F76" s="69"/>
      <c r="G76" s="69"/>
    </row>
    <row r="77" spans="2:7" ht="30" customHeight="1" x14ac:dyDescent="0.4">
      <c r="B77" s="64" t="s">
        <v>568</v>
      </c>
      <c r="C77" s="64"/>
      <c r="D77" s="64"/>
      <c r="E77" s="64"/>
      <c r="F77" s="64"/>
      <c r="G77" s="64"/>
    </row>
    <row r="78" spans="2:7" ht="15" customHeight="1" x14ac:dyDescent="0.4">
      <c r="B78" s="64" t="s">
        <v>569</v>
      </c>
      <c r="C78" s="64"/>
      <c r="D78" s="64"/>
      <c r="E78" s="64"/>
      <c r="F78" s="64"/>
      <c r="G78" s="64"/>
    </row>
    <row r="79" spans="2:7" ht="6" customHeight="1" x14ac:dyDescent="0.4">
      <c r="B79" s="35"/>
      <c r="C79" s="35"/>
      <c r="D79" s="35"/>
      <c r="E79" s="35"/>
      <c r="F79" s="35"/>
      <c r="G79" s="35"/>
    </row>
    <row r="80" spans="2:7" x14ac:dyDescent="0.4">
      <c r="B80" s="71" t="s">
        <v>570</v>
      </c>
      <c r="C80" s="69"/>
      <c r="D80" s="69"/>
      <c r="E80" s="69"/>
      <c r="F80" s="69"/>
      <c r="G80" s="69"/>
    </row>
    <row r="81" spans="2:7" ht="30" customHeight="1" x14ac:dyDescent="0.4">
      <c r="B81" s="64" t="s">
        <v>571</v>
      </c>
      <c r="C81" s="64"/>
      <c r="D81" s="64"/>
      <c r="E81" s="64"/>
      <c r="F81" s="64"/>
      <c r="G81" s="64"/>
    </row>
    <row r="82" spans="2:7" ht="43.05" customHeight="1" x14ac:dyDescent="0.4">
      <c r="B82" s="64" t="s">
        <v>572</v>
      </c>
      <c r="C82" s="64"/>
      <c r="D82" s="64"/>
      <c r="E82" s="64"/>
      <c r="F82" s="64"/>
      <c r="G82" s="64"/>
    </row>
    <row r="83" spans="2:7" ht="16.95" customHeight="1" x14ac:dyDescent="0.4">
      <c r="B83" s="64" t="s">
        <v>573</v>
      </c>
      <c r="C83" s="64"/>
      <c r="D83" s="64"/>
      <c r="E83" s="64"/>
      <c r="F83" s="64"/>
      <c r="G83" s="64"/>
    </row>
    <row r="84" spans="2:7" ht="30" customHeight="1" x14ac:dyDescent="0.4">
      <c r="B84" s="64" t="s">
        <v>574</v>
      </c>
      <c r="C84" s="64"/>
      <c r="D84" s="64"/>
      <c r="E84" s="64"/>
      <c r="F84" s="64"/>
      <c r="G84" s="64"/>
    </row>
    <row r="85" spans="2:7" ht="6" customHeight="1" x14ac:dyDescent="0.4">
      <c r="B85" s="35"/>
      <c r="C85" s="35"/>
      <c r="D85" s="35"/>
      <c r="E85" s="35"/>
      <c r="F85" s="35"/>
      <c r="G85" s="35"/>
    </row>
    <row r="86" spans="2:7" x14ac:dyDescent="0.4">
      <c r="B86" s="35"/>
      <c r="C86" s="35"/>
      <c r="D86" s="35"/>
      <c r="E86" s="35"/>
      <c r="F86" s="35"/>
      <c r="G86" s="35"/>
    </row>
    <row r="87" spans="2:7" x14ac:dyDescent="0.4">
      <c r="B87" s="82" t="str">
        <f>"5  기대효과"</f>
        <v>5  기대효과</v>
      </c>
      <c r="C87" s="69"/>
      <c r="D87" s="69"/>
      <c r="E87" s="69"/>
      <c r="F87" s="69"/>
      <c r="G87" s="69"/>
    </row>
    <row r="88" spans="2:7" ht="43.05" customHeight="1" x14ac:dyDescent="0.4">
      <c r="B88" s="64" t="s">
        <v>575</v>
      </c>
      <c r="C88" s="64"/>
      <c r="D88" s="64"/>
      <c r="E88" s="64"/>
      <c r="F88" s="64"/>
      <c r="G88" s="64"/>
    </row>
    <row r="89" spans="2:7" ht="6" customHeight="1" x14ac:dyDescent="0.4">
      <c r="B89" s="35"/>
      <c r="C89" s="35"/>
      <c r="D89" s="35"/>
      <c r="E89" s="35"/>
      <c r="F89" s="35"/>
      <c r="G89" s="35"/>
    </row>
    <row r="90" spans="2:7" ht="16.95" customHeight="1" x14ac:dyDescent="0.4">
      <c r="B90" s="64" t="s">
        <v>576</v>
      </c>
      <c r="C90" s="64"/>
      <c r="D90" s="64"/>
      <c r="E90" s="64"/>
      <c r="F90" s="64"/>
      <c r="G90" s="64"/>
    </row>
  </sheetData>
  <mergeCells count="85">
    <mergeCell ref="B90:G90"/>
    <mergeCell ref="B74:G74"/>
    <mergeCell ref="B76:G76"/>
    <mergeCell ref="B77:G77"/>
    <mergeCell ref="B78:G78"/>
    <mergeCell ref="B80:G80"/>
    <mergeCell ref="B81:G81"/>
    <mergeCell ref="B82:G82"/>
    <mergeCell ref="B83:G83"/>
    <mergeCell ref="B84:G84"/>
    <mergeCell ref="B87:G87"/>
    <mergeCell ref="B88:G88"/>
    <mergeCell ref="B73:G73"/>
    <mergeCell ref="B61:G61"/>
    <mergeCell ref="B62:G62"/>
    <mergeCell ref="B63:G63"/>
    <mergeCell ref="B64:G64"/>
    <mergeCell ref="B65:G65"/>
    <mergeCell ref="B66:G66"/>
    <mergeCell ref="B67:G67"/>
    <mergeCell ref="B69:G69"/>
    <mergeCell ref="B70:G70"/>
    <mergeCell ref="B71:G71"/>
    <mergeCell ref="B72:G72"/>
    <mergeCell ref="B59:G59"/>
    <mergeCell ref="F47:G47"/>
    <mergeCell ref="F48:G48"/>
    <mergeCell ref="F49:G49"/>
    <mergeCell ref="F50:G50"/>
    <mergeCell ref="F51:G51"/>
    <mergeCell ref="F52:G52"/>
    <mergeCell ref="B53:G53"/>
    <mergeCell ref="B54:G54"/>
    <mergeCell ref="B56:G56"/>
    <mergeCell ref="B57:G57"/>
    <mergeCell ref="B58:G58"/>
    <mergeCell ref="F46:G46"/>
    <mergeCell ref="B34:G34"/>
    <mergeCell ref="B35:G35"/>
    <mergeCell ref="B36:G36"/>
    <mergeCell ref="B37:G37"/>
    <mergeCell ref="B38:G38"/>
    <mergeCell ref="B40:G40"/>
    <mergeCell ref="B41:G41"/>
    <mergeCell ref="F42:G42"/>
    <mergeCell ref="F43:G43"/>
    <mergeCell ref="F44:G44"/>
    <mergeCell ref="F45:G45"/>
    <mergeCell ref="B29:C29"/>
    <mergeCell ref="D29:F29"/>
    <mergeCell ref="B30:C30"/>
    <mergeCell ref="D30:F30"/>
    <mergeCell ref="B31:C31"/>
    <mergeCell ref="D31:F31"/>
    <mergeCell ref="B26:C26"/>
    <mergeCell ref="D26:F26"/>
    <mergeCell ref="B27:C27"/>
    <mergeCell ref="D27:F27"/>
    <mergeCell ref="B28:C28"/>
    <mergeCell ref="D28:F28"/>
    <mergeCell ref="B23:C23"/>
    <mergeCell ref="D23:F23"/>
    <mergeCell ref="B24:C24"/>
    <mergeCell ref="D24:F24"/>
    <mergeCell ref="B25:C25"/>
    <mergeCell ref="D25:F25"/>
    <mergeCell ref="B22:C22"/>
    <mergeCell ref="D22:F22"/>
    <mergeCell ref="B9:G9"/>
    <mergeCell ref="B10:G10"/>
    <mergeCell ref="B13:G13"/>
    <mergeCell ref="B14:G14"/>
    <mergeCell ref="B15:G15"/>
    <mergeCell ref="B16:G16"/>
    <mergeCell ref="B19:G19"/>
    <mergeCell ref="B20:C20"/>
    <mergeCell ref="D20:F20"/>
    <mergeCell ref="B21:C21"/>
    <mergeCell ref="D21:F21"/>
    <mergeCell ref="B8:G8"/>
    <mergeCell ref="B1:G1"/>
    <mergeCell ref="B2:G2"/>
    <mergeCell ref="B5:G5"/>
    <mergeCell ref="B6:G6"/>
    <mergeCell ref="B7:G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9BE14-0EFB-4160-A440-7ED94D470CB9}">
  <sheetPr codeName="Sheet10"/>
  <dimension ref="A1:H20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506</v>
      </c>
    </row>
    <row r="3" spans="1:8" ht="24" x14ac:dyDescent="0.4">
      <c r="B3" s="65" t="s">
        <v>507</v>
      </c>
      <c r="C3" s="66"/>
      <c r="D3" s="66"/>
      <c r="E3" s="66"/>
      <c r="F3" s="66"/>
      <c r="G3" s="66"/>
      <c r="H3" s="66"/>
    </row>
    <row r="5" spans="1:8" x14ac:dyDescent="0.4">
      <c r="B5" s="24" t="s">
        <v>25</v>
      </c>
      <c r="C5" s="22" t="str">
        <f>IF(기초자료입력!C9&lt;&gt;"",기초자료입력!C9,"")</f>
        <v/>
      </c>
      <c r="D5" s="22"/>
      <c r="E5" s="24" t="s">
        <v>262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4" t="s">
        <v>263</v>
      </c>
      <c r="C7" s="77" t="s">
        <v>483</v>
      </c>
      <c r="D7" s="77"/>
      <c r="E7" s="77"/>
      <c r="F7" s="77"/>
      <c r="G7" s="77"/>
      <c r="H7" s="77"/>
    </row>
    <row r="8" spans="1:8" x14ac:dyDescent="0.4">
      <c r="B8" s="24" t="s">
        <v>270</v>
      </c>
      <c r="C8" s="77"/>
      <c r="D8" s="77"/>
      <c r="E8" s="77"/>
      <c r="F8" s="77"/>
      <c r="G8" s="77"/>
      <c r="H8" s="77"/>
    </row>
    <row r="9" spans="1:8" x14ac:dyDescent="0.4">
      <c r="B9" s="24" t="s">
        <v>264</v>
      </c>
      <c r="C9" s="81" t="str">
        <f>IF(기초자료입력!C5&lt;&gt;"",기초자료입력!C5&amp;"학년도 교복 학교주관구매 추진 계획(안)","교복 학교주관구매 추진 계획(안)")</f>
        <v>2026학년도 교복 학교주관구매 추진 계획(안)</v>
      </c>
      <c r="D9" s="77"/>
      <c r="E9" s="77"/>
      <c r="F9" s="77"/>
      <c r="G9" s="77"/>
      <c r="H9" s="77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3" t="s">
        <v>271</v>
      </c>
      <c r="C11" s="74" t="str">
        <f>IF(기초자료입력!C23&lt;&gt;"",기초자료입력!C23,"")</f>
        <v/>
      </c>
      <c r="D11" s="74"/>
      <c r="E11" s="74"/>
      <c r="F11" s="74"/>
      <c r="G11" s="74"/>
      <c r="H11" s="74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28.05" customHeight="1" x14ac:dyDescent="0.4">
      <c r="B13" s="79" t="str">
        <f>"2. 공정하고 투명한 교복 선정 및 합리적인 교복 구매를 위해 "&amp;IF(기초자료입력!C4&lt;&gt;"",기초자료입력!C4,"○○학교")&amp;" "&amp;IF(기초자료입력!C5&lt;&gt;"",기초자료입력!C5,"○○")&amp;"학년도 교복 학교주관구매 계획을 붙임과 같이 수립하여 업무 추진에 만전을 기하고자 합니다."</f>
        <v>2. 공정하고 투명한 교복 선정 및 합리적인 교복 구매를 위해 검증초등학교 2026학년도 교복 학교주관구매 계획을 붙임과 같이 수립하여 업무 추진에 만전을 기하고자 합니다.</v>
      </c>
      <c r="C13" s="79"/>
      <c r="D13" s="79"/>
      <c r="E13" s="79"/>
      <c r="F13" s="79"/>
      <c r="G13" s="79"/>
      <c r="H13" s="79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78" t="str">
        <f>"붙임  "&amp;IF(기초자료입력!C5&lt;&gt;"",기초자료입력!C5,"○○")&amp;"학년도 교복 학교주관구매 추진 계획(안) 1부.  끝."</f>
        <v>붙임  2026학년도 교복 학교주관구매 추진 계획(안) 1부.  끝.</v>
      </c>
      <c r="C15" s="74"/>
      <c r="D15" s="74"/>
      <c r="E15" s="74"/>
      <c r="F15" s="74"/>
      <c r="G15" s="74"/>
      <c r="H15" s="74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2"/>
      <c r="C17" s="22"/>
      <c r="D17" s="22"/>
      <c r="E17" s="22"/>
      <c r="F17" s="22" t="s">
        <v>266</v>
      </c>
      <c r="G17" s="22" t="s">
        <v>277</v>
      </c>
      <c r="H17" s="22" t="s">
        <v>267</v>
      </c>
    </row>
    <row r="18" spans="2:8" x14ac:dyDescent="0.4">
      <c r="B18" s="24" t="s">
        <v>278</v>
      </c>
      <c r="C18" s="77" t="str">
        <f>IF(기초자료입력!C9&lt;&gt;"",기초자료입력!C9,"")</f>
        <v/>
      </c>
      <c r="D18" s="77"/>
      <c r="E18" s="77"/>
      <c r="F18" s="24" t="s">
        <v>279</v>
      </c>
      <c r="G18" s="77"/>
      <c r="H18" s="77"/>
    </row>
    <row r="19" spans="2:8" x14ac:dyDescent="0.4">
      <c r="B19" s="24" t="s">
        <v>280</v>
      </c>
      <c r="C19" s="22"/>
      <c r="D19" s="24" t="s">
        <v>281</v>
      </c>
      <c r="E19" s="77"/>
      <c r="F19" s="77"/>
      <c r="G19" s="77"/>
      <c r="H19" s="77"/>
    </row>
    <row r="20" spans="2:8" x14ac:dyDescent="0.4">
      <c r="B20" s="24" t="s">
        <v>282</v>
      </c>
      <c r="C20" s="22"/>
      <c r="D20" s="24" t="s">
        <v>283</v>
      </c>
      <c r="E20" s="22"/>
      <c r="F20" s="24" t="s">
        <v>284</v>
      </c>
      <c r="G20" s="77"/>
      <c r="H20" s="77"/>
    </row>
  </sheetData>
  <mergeCells count="11">
    <mergeCell ref="B15:H15"/>
    <mergeCell ref="C18:E18"/>
    <mergeCell ref="G18:H18"/>
    <mergeCell ref="E19:H19"/>
    <mergeCell ref="G20:H20"/>
    <mergeCell ref="B13:H13"/>
    <mergeCell ref="B3:H3"/>
    <mergeCell ref="C7:H7"/>
    <mergeCell ref="C8:H8"/>
    <mergeCell ref="C9:H9"/>
    <mergeCell ref="C11:H11"/>
  </mergeCells>
  <phoneticPr fontId="6" type="noConversion"/>
  <pageMargins left="0.50000076388888881" right="0.50000076388888881" top="0.50000076388888881" bottom="0.50000076388888881" header="0.3" footer="0.3"/>
  <pageSetup paperSize="9" fitToWidth="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6CB0D-F48C-40A3-8573-161E7BF4C513}">
  <sheetPr codeName="Sheet11"/>
  <dimension ref="A1:E20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504</v>
      </c>
    </row>
    <row r="3" spans="1:5" ht="25.95" customHeight="1" x14ac:dyDescent="0.4">
      <c r="B3" s="89" t="s">
        <v>505</v>
      </c>
      <c r="C3" s="87"/>
      <c r="D3" s="87"/>
      <c r="E3" s="87"/>
    </row>
    <row r="4" spans="1:5" ht="25.95" customHeight="1" x14ac:dyDescent="0.4">
      <c r="B4" s="87"/>
      <c r="C4" s="87"/>
      <c r="D4" s="87"/>
      <c r="E4" s="87"/>
    </row>
    <row r="5" spans="1:5" ht="10.050000000000001" customHeight="1" x14ac:dyDescent="0.4">
      <c r="B5" s="52"/>
      <c r="C5" s="52"/>
      <c r="D5" s="52"/>
      <c r="E5" s="52"/>
    </row>
    <row r="6" spans="1:5" ht="28.05" customHeight="1" x14ac:dyDescent="0.4">
      <c r="B6" s="90" t="str">
        <f>"본인은      년      월      일 "&amp;IF(기초자료입력!C4&lt;&gt;"",기초자료입력!C4,"○○학교")&amp;"에서 실시하는 교복 학교주관구매업체 선정을 위한 평가함에 있어 「부패 없는 투명한 사회」 구현 등을 위하여 다음 사항을 준수할 것을 서약합니다."</f>
        <v>본인은      년      월      일 검증초등학교에서 실시하는 교복 학교주관구매업체 선정을 위한 평가함에 있어 「부패 없는 투명한 사회」 구현 등을 위하여 다음 사항을 준수할 것을 서약합니다.</v>
      </c>
      <c r="C6" s="90"/>
      <c r="D6" s="90"/>
      <c r="E6" s="90"/>
    </row>
    <row r="7" spans="1:5" ht="10.050000000000001" customHeight="1" x14ac:dyDescent="0.4">
      <c r="B7" s="52"/>
      <c r="C7" s="52"/>
      <c r="D7" s="52"/>
      <c r="E7" s="52"/>
    </row>
    <row r="8" spans="1:5" ht="25.95" customHeight="1" x14ac:dyDescent="0.4">
      <c r="B8" s="90" t="str">
        <f>"1. 20○○학년도 "&amp;IF(기초자료입력!C4&lt;&gt;"",기초자료입력!C4,"○○학교")&amp;" 교복 학교주관구매업체 선정을 위해 제시된 항목에 따라 객관적이고 공정하게 심사할 것을 약속합니다."</f>
        <v>1. 20○○학년도 검증초등학교 교복 학교주관구매업체 선정을 위해 제시된 항목에 따라 객관적이고 공정하게 심사할 것을 약속합니다.</v>
      </c>
      <c r="C8" s="90"/>
      <c r="D8" s="90"/>
      <c r="E8" s="90"/>
    </row>
    <row r="9" spans="1:5" ht="25.95" customHeight="1" x14ac:dyDescent="0.4">
      <c r="B9" s="90" t="str">
        <f>"2.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</f>
        <v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v>
      </c>
      <c r="C9" s="90"/>
      <c r="D9" s="90"/>
      <c r="E9" s="90"/>
    </row>
    <row r="10" spans="1:5" ht="25.95" customHeight="1" x14ac:dyDescent="0.4">
      <c r="B10" s="90" t="str">
        <f>"3. 업무상 취득한 비밀을 준수하고 보안관계 규정 및 지침을 성실히 수행하겠습니다."</f>
        <v>3. 업무상 취득한 비밀을 준수하고 보안관계 규정 및 지침을 성실히 수행하겠습니다.</v>
      </c>
      <c r="C10" s="90"/>
      <c r="D10" s="90"/>
      <c r="E10" s="90"/>
    </row>
    <row r="11" spans="1:5" ht="25.95" customHeight="1" x14ac:dyDescent="0.4">
      <c r="B11" s="90" t="str">
        <f>"4. 평가와 관련하여 알게 된 업무상 비밀을 타인에게 누설하지 않겠으며, 업무상 취득한 비밀을 누설할 때에는 관계법규에 따라 처벌을 받는 것에 이의를 제기하지 않겠습니다."</f>
        <v>4. 평가와 관련하여 알게 된 업무상 비밀을 타인에게 누설하지 않겠으며, 업무상 취득한 비밀을 누설할 때에는 관계법규에 따라 처벌을 받는 것에 이의를 제기하지 않겠습니다.</v>
      </c>
      <c r="C11" s="90"/>
      <c r="D11" s="90"/>
      <c r="E11" s="90"/>
    </row>
    <row r="12" spans="1:5" ht="10.050000000000001" customHeight="1" x14ac:dyDescent="0.4">
      <c r="B12" s="52"/>
      <c r="C12" s="52"/>
      <c r="D12" s="52"/>
      <c r="E12" s="52"/>
    </row>
    <row r="13" spans="1:5" ht="13.95" customHeight="1" x14ac:dyDescent="0.4">
      <c r="B13" s="52"/>
      <c r="C13" s="52"/>
      <c r="D13" s="52"/>
      <c r="E13" s="52"/>
    </row>
    <row r="14" spans="1:5" ht="19.95" customHeight="1" x14ac:dyDescent="0.4">
      <c r="B14" s="87" t="str">
        <f>"20      년      월      일"</f>
        <v>20      년      월      일</v>
      </c>
      <c r="C14" s="87"/>
      <c r="D14" s="87"/>
      <c r="E14" s="87"/>
    </row>
    <row r="15" spans="1:5" ht="13.95" customHeight="1" x14ac:dyDescent="0.4">
      <c r="B15" s="52"/>
      <c r="C15" s="52"/>
      <c r="D15" s="52"/>
      <c r="E15" s="52"/>
    </row>
    <row r="16" spans="1:5" ht="13.95" customHeight="1" x14ac:dyDescent="0.4">
      <c r="B16" s="52"/>
      <c r="C16" s="52"/>
      <c r="D16" s="52"/>
      <c r="E16" s="52"/>
    </row>
    <row r="17" spans="2:5" ht="22.05" customHeight="1" x14ac:dyDescent="0.4">
      <c r="B17" s="88" t="str">
        <f>"서 약 자 성 명 :                              (인)"</f>
        <v>서 약 자 성 명 :                              (인)</v>
      </c>
      <c r="C17" s="88"/>
      <c r="D17" s="88"/>
      <c r="E17" s="88"/>
    </row>
    <row r="18" spans="2:5" ht="13.95" customHeight="1" x14ac:dyDescent="0.4">
      <c r="B18" s="52"/>
      <c r="C18" s="52"/>
      <c r="D18" s="52"/>
      <c r="E18" s="52"/>
    </row>
    <row r="19" spans="2:5" ht="10.050000000000001" customHeight="1" x14ac:dyDescent="0.4">
      <c r="B19" s="52"/>
      <c r="C19" s="52"/>
      <c r="D19" s="52"/>
      <c r="E19" s="52"/>
    </row>
    <row r="20" spans="2:5" ht="19.95" customHeight="1" x14ac:dyDescent="0.4">
      <c r="B20" s="87" t="str">
        <f>IF(기초자료입력!$C$4="","○○○학교장 귀하",기초자료입력!$C$4&amp;"장 귀하")</f>
        <v>검증초등학교장 귀하</v>
      </c>
      <c r="C20" s="87"/>
      <c r="D20" s="87"/>
      <c r="E20" s="87"/>
    </row>
  </sheetData>
  <mergeCells count="9">
    <mergeCell ref="B14:E14"/>
    <mergeCell ref="B17:E17"/>
    <mergeCell ref="B20:E20"/>
    <mergeCell ref="B3:E4"/>
    <mergeCell ref="B6:E6"/>
    <mergeCell ref="B8:E8"/>
    <mergeCell ref="B9:E9"/>
    <mergeCell ref="B10:E10"/>
    <mergeCell ref="B11:E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36A7C-CC0F-4378-91F4-B6677AD22150}">
  <sheetPr codeName="Sheet12"/>
  <dimension ref="A1:E2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498</v>
      </c>
    </row>
    <row r="3" spans="1:5" ht="25.95" customHeight="1" x14ac:dyDescent="0.4">
      <c r="B3" s="89" t="s">
        <v>499</v>
      </c>
      <c r="C3" s="87"/>
      <c r="D3" s="87"/>
      <c r="E3" s="87"/>
    </row>
    <row r="4" spans="1:5" ht="25.95" customHeight="1" x14ac:dyDescent="0.4">
      <c r="B4" s="87"/>
      <c r="C4" s="87"/>
      <c r="D4" s="87"/>
      <c r="E4" s="87"/>
    </row>
    <row r="5" spans="1:5" ht="10.050000000000001" customHeight="1" x14ac:dyDescent="0.4">
      <c r="B5" s="52"/>
      <c r="C5" s="52"/>
      <c r="D5" s="52"/>
      <c r="E5" s="52"/>
    </row>
    <row r="6" spans="1:5" ht="28.05" customHeight="1" x14ac:dyDescent="0.4">
      <c r="B6" s="90" t="str">
        <f>"본인은 "&amp;IF(기초자료입력!C4&lt;&gt;"",기초자료입력!C4,"○○학교")&amp;" 교복선정위원회 활동을 공정하게 수행할 것이며, 교복가격 안정화에 적극 노력하겠습니다."</f>
        <v>본인은 검증초등학교 교복선정위원회 활동을 공정하게 수행할 것이며, 교복가격 안정화에 적극 노력하겠습니다.</v>
      </c>
      <c r="C6" s="90"/>
      <c r="D6" s="90"/>
      <c r="E6" s="90"/>
    </row>
    <row r="7" spans="1:5" ht="28.05" customHeight="1" x14ac:dyDescent="0.4">
      <c r="B7" s="90" t="str">
        <f>"아울러 본인은 "&amp;IF(기초자료입력!C4&lt;&gt;"",기초자료입력!C4,"○○학교")&amp;" 교복 입찰에 참가한(또는 앞으로 참가할) 업체와 전혀 관련이 없음을 확인합니다."</f>
        <v>아울러 본인은 검증초등학교 교복 입찰에 참가한(또는 앞으로 참가할) 업체와 전혀 관련이 없음을 확인합니다.</v>
      </c>
      <c r="C7" s="90"/>
      <c r="D7" s="90"/>
      <c r="E7" s="90"/>
    </row>
    <row r="8" spans="1:5" ht="28.05" customHeight="1" x14ac:dyDescent="0.4">
      <c r="B8" s="90" t="s">
        <v>500</v>
      </c>
      <c r="C8" s="90"/>
      <c r="D8" s="90"/>
      <c r="E8" s="90"/>
    </row>
    <row r="9" spans="1:5" ht="13.95" customHeight="1" x14ac:dyDescent="0.4">
      <c r="B9" s="52"/>
      <c r="C9" s="52"/>
      <c r="D9" s="52"/>
      <c r="E9" s="52"/>
    </row>
    <row r="10" spans="1:5" ht="13.95" customHeight="1" x14ac:dyDescent="0.4">
      <c r="B10" s="52"/>
      <c r="C10" s="52"/>
      <c r="D10" s="52"/>
      <c r="E10" s="52"/>
    </row>
    <row r="11" spans="1:5" ht="10.050000000000001" customHeight="1" x14ac:dyDescent="0.4">
      <c r="B11" s="52"/>
      <c r="C11" s="52"/>
      <c r="D11" s="52"/>
      <c r="E11" s="52"/>
    </row>
    <row r="12" spans="1:5" ht="19.95" customHeight="1" x14ac:dyDescent="0.4">
      <c r="B12" s="87" t="str">
        <f>IF(기초자료입력!$C$5="","20○○.  ○○  .  ○○  .","20"&amp;RIGHT(기초자료입력!$C$5,2)&amp;".  ○○  .  ○○  .")</f>
        <v>2026.  ○○  .  ○○  .</v>
      </c>
      <c r="C12" s="87"/>
      <c r="D12" s="87"/>
      <c r="E12" s="87"/>
    </row>
    <row r="13" spans="1:5" ht="13.95" customHeight="1" x14ac:dyDescent="0.4">
      <c r="B13" s="52"/>
      <c r="C13" s="52"/>
      <c r="D13" s="52"/>
      <c r="E13" s="52"/>
    </row>
    <row r="14" spans="1:5" ht="22.05" customHeight="1" x14ac:dyDescent="0.4">
      <c r="B14" s="88" t="s">
        <v>501</v>
      </c>
      <c r="C14" s="88"/>
      <c r="D14" s="88"/>
      <c r="E14" s="88"/>
    </row>
    <row r="15" spans="1:5" ht="13.95" customHeight="1" x14ac:dyDescent="0.4">
      <c r="B15" s="53"/>
      <c r="C15" s="53"/>
      <c r="D15" s="53"/>
      <c r="E15" s="53"/>
    </row>
    <row r="16" spans="1:5" ht="22.05" customHeight="1" x14ac:dyDescent="0.4">
      <c r="B16" s="88" t="s">
        <v>502</v>
      </c>
      <c r="C16" s="88"/>
      <c r="D16" s="88"/>
      <c r="E16" s="88"/>
    </row>
    <row r="17" spans="2:5" ht="13.95" customHeight="1" x14ac:dyDescent="0.4">
      <c r="B17" s="53"/>
      <c r="C17" s="53"/>
      <c r="D17" s="53"/>
      <c r="E17" s="53"/>
    </row>
    <row r="18" spans="2:5" ht="22.05" customHeight="1" x14ac:dyDescent="0.4">
      <c r="B18" s="88" t="s">
        <v>503</v>
      </c>
      <c r="C18" s="88"/>
      <c r="D18" s="88"/>
      <c r="E18" s="88"/>
    </row>
    <row r="19" spans="2:5" ht="13.95" customHeight="1" x14ac:dyDescent="0.4">
      <c r="B19" s="52"/>
      <c r="C19" s="52"/>
      <c r="D19" s="52"/>
      <c r="E19" s="52"/>
    </row>
    <row r="20" spans="2:5" ht="10.050000000000001" customHeight="1" x14ac:dyDescent="0.4">
      <c r="B20" s="52"/>
      <c r="C20" s="52"/>
      <c r="D20" s="52"/>
      <c r="E20" s="52"/>
    </row>
    <row r="21" spans="2:5" ht="19.95" customHeight="1" x14ac:dyDescent="0.4">
      <c r="B21" s="87" t="str">
        <f>IF(기초자료입력!$C$4="","○○학교장 귀하",기초자료입력!$C$4&amp;"장 귀하")</f>
        <v>검증초등학교장 귀하</v>
      </c>
      <c r="C21" s="87"/>
      <c r="D21" s="87"/>
      <c r="E21" s="87"/>
    </row>
  </sheetData>
  <mergeCells count="9">
    <mergeCell ref="B16:E16"/>
    <mergeCell ref="B18:E18"/>
    <mergeCell ref="B21:E21"/>
    <mergeCell ref="B3:E4"/>
    <mergeCell ref="B6:E6"/>
    <mergeCell ref="B7:E7"/>
    <mergeCell ref="B8:E8"/>
    <mergeCell ref="B12:E12"/>
    <mergeCell ref="B14:E1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12C0F-0A1F-4B9D-B266-69D5537BFFD4}">
  <sheetPr codeName="Sheet13"/>
  <dimension ref="A1:H43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2.69921875" customWidth="1"/>
    <col min="5" max="5" width="10.69921875" customWidth="1"/>
    <col min="6" max="8" width="8.69921875" customWidth="1"/>
  </cols>
  <sheetData>
    <row r="1" spans="1:8" x14ac:dyDescent="0.4">
      <c r="A1" s="20" t="s">
        <v>481</v>
      </c>
    </row>
    <row r="3" spans="1:8" ht="24" customHeight="1" x14ac:dyDescent="0.4">
      <c r="B3" s="65" t="s">
        <v>482</v>
      </c>
      <c r="C3" s="66"/>
      <c r="D3" s="66"/>
      <c r="E3" s="66"/>
      <c r="F3" s="66"/>
      <c r="G3" s="66"/>
      <c r="H3" s="66"/>
    </row>
    <row r="5" spans="1:8" ht="14.55" customHeight="1" x14ac:dyDescent="0.4">
      <c r="B5" s="51" t="s">
        <v>25</v>
      </c>
      <c r="C5" s="34" t="str">
        <f>IF(기초자료입력!C9&lt;&gt;"",기초자료입력!C9,"")</f>
        <v/>
      </c>
      <c r="D5" s="34"/>
      <c r="E5" s="51" t="s">
        <v>262</v>
      </c>
      <c r="F5" s="34" t="str">
        <f>IF(기초자료입력!C8&lt;&gt;"",TEXT(기초자료입력!C8,"yyyy-mm-dd"),"")</f>
        <v/>
      </c>
      <c r="G5" s="34"/>
      <c r="H5" s="34"/>
    </row>
    <row r="6" spans="1:8" ht="14.55" customHeight="1" x14ac:dyDescent="0.4">
      <c r="B6" s="34"/>
      <c r="C6" s="34"/>
      <c r="D6" s="34"/>
      <c r="E6" s="34"/>
      <c r="F6" s="34"/>
      <c r="G6" s="34"/>
      <c r="H6" s="34"/>
    </row>
    <row r="7" spans="1:8" ht="14.55" customHeight="1" x14ac:dyDescent="0.4">
      <c r="B7" s="51" t="s">
        <v>263</v>
      </c>
      <c r="C7" s="67" t="s">
        <v>483</v>
      </c>
      <c r="D7" s="67"/>
      <c r="E7" s="67"/>
      <c r="F7" s="67"/>
      <c r="G7" s="67"/>
      <c r="H7" s="67"/>
    </row>
    <row r="8" spans="1:8" ht="14.55" customHeight="1" x14ac:dyDescent="0.4">
      <c r="B8" s="51" t="s">
        <v>270</v>
      </c>
      <c r="C8" s="67"/>
      <c r="D8" s="67"/>
      <c r="E8" s="67"/>
      <c r="F8" s="67"/>
      <c r="G8" s="67"/>
      <c r="H8" s="67"/>
    </row>
    <row r="9" spans="1:8" ht="14.55" customHeight="1" x14ac:dyDescent="0.4">
      <c r="B9" s="51" t="s">
        <v>264</v>
      </c>
      <c r="C9" s="68" t="str">
        <f>IF(기초자료입력!C5&lt;&gt;"",기초자료입력!C5&amp;"학년도 교복선정위원회 구성(안)","교복선정위원회 구성(안)")</f>
        <v>2026학년도 교복선정위원회 구성(안)</v>
      </c>
      <c r="D9" s="67"/>
      <c r="E9" s="67"/>
      <c r="F9" s="67"/>
      <c r="G9" s="67"/>
      <c r="H9" s="67"/>
    </row>
    <row r="10" spans="1:8" ht="14.55" customHeight="1" x14ac:dyDescent="0.4">
      <c r="B10" s="34"/>
      <c r="C10" s="34"/>
      <c r="D10" s="34"/>
      <c r="E10" s="34"/>
      <c r="F10" s="34"/>
      <c r="G10" s="34"/>
      <c r="H10" s="34"/>
    </row>
    <row r="11" spans="1:8" ht="14.55" customHeight="1" x14ac:dyDescent="0.4">
      <c r="B11" s="51" t="s">
        <v>271</v>
      </c>
      <c r="C11" s="67" t="str">
        <f>IF(기초자료입력!C23&lt;&gt;"",기초자료입력!C23,"")</f>
        <v/>
      </c>
      <c r="D11" s="67"/>
      <c r="E11" s="67"/>
      <c r="F11" s="67"/>
      <c r="G11" s="67"/>
      <c r="H11" s="67"/>
    </row>
    <row r="12" spans="1:8" ht="14.55" customHeight="1" x14ac:dyDescent="0.4">
      <c r="B12" s="34"/>
      <c r="C12" s="34"/>
      <c r="D12" s="34"/>
      <c r="E12" s="34"/>
      <c r="F12" s="34"/>
      <c r="G12" s="34"/>
      <c r="H12" s="34"/>
    </row>
    <row r="13" spans="1:8" ht="25.95" customHeight="1" x14ac:dyDescent="0.4">
      <c r="B13" s="83" t="str">
        <f>"2. "&amp;IF(기초자료입력!C4&lt;&gt;"",기초자료입력!C4,"○○학교")&amp;" "&amp;IF(기초자료입력!C5&lt;&gt;"",기초자료입력!C5,"○○")&amp;"학년도 교복선정을 위한 교복선정위원회를 아래와 같이 구성하고자 합니다."</f>
        <v>2. 검증초등학교 2026학년도 교복선정을 위한 교복선정위원회를 아래와 같이 구성하고자 합니다.</v>
      </c>
      <c r="C13" s="83"/>
      <c r="D13" s="83"/>
      <c r="E13" s="83"/>
      <c r="F13" s="83"/>
      <c r="G13" s="83"/>
      <c r="H13" s="83"/>
    </row>
    <row r="14" spans="1:8" ht="14.55" customHeight="1" x14ac:dyDescent="0.4">
      <c r="B14" s="34"/>
      <c r="C14" s="34"/>
      <c r="D14" s="34"/>
      <c r="E14" s="34"/>
      <c r="F14" s="34"/>
      <c r="G14" s="34"/>
      <c r="H14" s="34"/>
    </row>
    <row r="15" spans="1:8" ht="14.55" customHeight="1" x14ac:dyDescent="0.4">
      <c r="B15" s="68" t="s">
        <v>484</v>
      </c>
      <c r="C15" s="67"/>
      <c r="D15" s="67"/>
      <c r="E15" s="67"/>
      <c r="F15" s="67"/>
      <c r="G15" s="67"/>
      <c r="H15" s="67"/>
    </row>
    <row r="16" spans="1:8" ht="19.95" customHeight="1" x14ac:dyDescent="0.4">
      <c r="B16" s="91" t="s">
        <v>485</v>
      </c>
      <c r="C16" s="83"/>
      <c r="D16" s="83"/>
      <c r="E16" s="83"/>
      <c r="F16" s="83"/>
      <c r="G16" s="83"/>
      <c r="H16" s="83"/>
    </row>
    <row r="17" spans="2:8" ht="12" customHeight="1" x14ac:dyDescent="0.4">
      <c r="B17" s="83" t="s">
        <v>486</v>
      </c>
      <c r="C17" s="83"/>
      <c r="D17" s="83"/>
      <c r="E17" s="83"/>
      <c r="F17" s="83"/>
      <c r="G17" s="83"/>
      <c r="H17" s="83"/>
    </row>
    <row r="18" spans="2:8" ht="14.55" customHeight="1" x14ac:dyDescent="0.4">
      <c r="B18" s="68" t="s">
        <v>487</v>
      </c>
      <c r="C18" s="67"/>
      <c r="D18" s="67"/>
      <c r="E18" s="67"/>
      <c r="F18" s="67"/>
      <c r="G18" s="67"/>
      <c r="H18" s="67"/>
    </row>
    <row r="19" spans="2:8" ht="14.55" customHeight="1" x14ac:dyDescent="0.4">
      <c r="B19" s="67" t="s">
        <v>488</v>
      </c>
      <c r="C19" s="67"/>
      <c r="D19" s="67"/>
      <c r="E19" s="67"/>
      <c r="F19" s="67"/>
      <c r="G19" s="67"/>
      <c r="H19" s="67"/>
    </row>
    <row r="20" spans="2:8" ht="14.55" customHeight="1" x14ac:dyDescent="0.4">
      <c r="B20" s="67" t="s">
        <v>489</v>
      </c>
      <c r="C20" s="67"/>
      <c r="D20" s="67"/>
      <c r="E20" s="67"/>
      <c r="F20" s="67"/>
      <c r="G20" s="67"/>
      <c r="H20" s="67"/>
    </row>
    <row r="21" spans="2:8" ht="14.55" customHeight="1" x14ac:dyDescent="0.4">
      <c r="B21" s="67" t="s">
        <v>490</v>
      </c>
      <c r="C21" s="67"/>
      <c r="D21" s="67"/>
      <c r="E21" s="67"/>
      <c r="F21" s="67"/>
      <c r="G21" s="67"/>
      <c r="H21" s="67"/>
    </row>
    <row r="22" spans="2:8" ht="14.55" customHeight="1" x14ac:dyDescent="0.4">
      <c r="B22" s="67" t="s">
        <v>491</v>
      </c>
      <c r="C22" s="67"/>
      <c r="D22" s="67"/>
      <c r="E22" s="67"/>
      <c r="F22" s="67"/>
      <c r="G22" s="67"/>
      <c r="H22" s="67"/>
    </row>
    <row r="23" spans="2:8" ht="14.55" customHeight="1" x14ac:dyDescent="0.4">
      <c r="B23" s="34"/>
      <c r="C23" s="34"/>
      <c r="D23" s="34"/>
      <c r="E23" s="34"/>
      <c r="F23" s="34"/>
      <c r="G23" s="34"/>
      <c r="H23" s="34"/>
    </row>
    <row r="24" spans="2:8" ht="14.55" customHeight="1" x14ac:dyDescent="0.4">
      <c r="B24" s="68" t="s">
        <v>492</v>
      </c>
      <c r="C24" s="67"/>
      <c r="D24" s="67"/>
      <c r="E24" s="67"/>
      <c r="F24" s="67"/>
      <c r="G24" s="67"/>
      <c r="H24" s="67"/>
    </row>
    <row r="25" spans="2:8" ht="14.55" customHeight="1" x14ac:dyDescent="0.4">
      <c r="B25" s="29" t="s">
        <v>493</v>
      </c>
      <c r="C25" s="29" t="s">
        <v>300</v>
      </c>
      <c r="D25" s="29" t="s">
        <v>494</v>
      </c>
      <c r="E25" s="29" t="s">
        <v>495</v>
      </c>
      <c r="F25" s="84" t="s">
        <v>289</v>
      </c>
      <c r="G25" s="67"/>
      <c r="H25" s="67"/>
    </row>
    <row r="26" spans="2:8" ht="14.55" customHeight="1" x14ac:dyDescent="0.4">
      <c r="B26" s="34" t="str">
        <f>IF(기초자료입력!B58&lt;&gt;"",1,"")</f>
        <v/>
      </c>
      <c r="C26" s="34" t="str">
        <f>IF(기초자료입력!B58&lt;&gt;"","위원장","")</f>
        <v/>
      </c>
      <c r="D26" s="34" t="str">
        <f>IF(기초자료입력!B58&lt;&gt;"",기초자료입력!B58,"")</f>
        <v/>
      </c>
      <c r="E26" s="34" t="str">
        <f>IF(기초자료입력!C58&lt;&gt;"",기초자료입력!C58,"")</f>
        <v/>
      </c>
      <c r="F26" s="67"/>
      <c r="G26" s="67"/>
      <c r="H26" s="67"/>
    </row>
    <row r="27" spans="2:8" ht="14.55" customHeight="1" x14ac:dyDescent="0.4">
      <c r="B27" s="34" t="str">
        <f>IF(기초자료입력!B59&lt;&gt;"",2,"")</f>
        <v/>
      </c>
      <c r="C27" s="34" t="str">
        <f>IF(기초자료입력!B59&lt;&gt;"","위원","")</f>
        <v/>
      </c>
      <c r="D27" s="34" t="str">
        <f>IF(기초자료입력!B59&lt;&gt;"",기초자료입력!B59,"")</f>
        <v/>
      </c>
      <c r="E27" s="34" t="str">
        <f>IF(기초자료입력!C59&lt;&gt;"",기초자료입력!C59,"")</f>
        <v/>
      </c>
      <c r="F27" s="67"/>
      <c r="G27" s="67"/>
      <c r="H27" s="67"/>
    </row>
    <row r="28" spans="2:8" ht="14.55" customHeight="1" x14ac:dyDescent="0.4">
      <c r="B28" s="34" t="str">
        <f>IF(기초자료입력!B60&lt;&gt;"",3,"")</f>
        <v/>
      </c>
      <c r="C28" s="34" t="str">
        <f>IF(기초자료입력!B60&lt;&gt;"","위원","")</f>
        <v/>
      </c>
      <c r="D28" s="34" t="str">
        <f>IF(기초자료입력!B60&lt;&gt;"",기초자료입력!B60,"")</f>
        <v/>
      </c>
      <c r="E28" s="34" t="str">
        <f>IF(기초자료입력!C60&lt;&gt;"",기초자료입력!C60,"")</f>
        <v/>
      </c>
      <c r="F28" s="67"/>
      <c r="G28" s="67"/>
      <c r="H28" s="67"/>
    </row>
    <row r="29" spans="2:8" ht="14.55" customHeight="1" x14ac:dyDescent="0.4">
      <c r="B29" s="34" t="str">
        <f>IF(기초자료입력!B61&lt;&gt;"",4,"")</f>
        <v/>
      </c>
      <c r="C29" s="34" t="str">
        <f>IF(기초자료입력!B61&lt;&gt;"","위원","")</f>
        <v/>
      </c>
      <c r="D29" s="34" t="str">
        <f>IF(기초자료입력!B61&lt;&gt;"",기초자료입력!B61,"")</f>
        <v/>
      </c>
      <c r="E29" s="34" t="str">
        <f>IF(기초자료입력!C61&lt;&gt;"",기초자료입력!C61,"")</f>
        <v/>
      </c>
      <c r="F29" s="67"/>
      <c r="G29" s="67"/>
      <c r="H29" s="67"/>
    </row>
    <row r="30" spans="2:8" ht="14.55" customHeight="1" x14ac:dyDescent="0.4">
      <c r="B30" s="34" t="str">
        <f>IF(기초자료입력!B62&lt;&gt;"",5,"")</f>
        <v/>
      </c>
      <c r="C30" s="34" t="str">
        <f>IF(기초자료입력!B62&lt;&gt;"","위원","")</f>
        <v/>
      </c>
      <c r="D30" s="34" t="str">
        <f>IF(기초자료입력!B62&lt;&gt;"",기초자료입력!B62,"")</f>
        <v/>
      </c>
      <c r="E30" s="34" t="str">
        <f>IF(기초자료입력!C62&lt;&gt;"",기초자료입력!C62,"")</f>
        <v/>
      </c>
      <c r="F30" s="67"/>
      <c r="G30" s="67"/>
      <c r="H30" s="67"/>
    </row>
    <row r="31" spans="2:8" ht="14.55" customHeight="1" x14ac:dyDescent="0.4">
      <c r="B31" s="34" t="str">
        <f>IF(기초자료입력!B63&lt;&gt;"",6,"")</f>
        <v/>
      </c>
      <c r="C31" s="34" t="str">
        <f>IF(기초자료입력!B63&lt;&gt;"","위원","")</f>
        <v/>
      </c>
      <c r="D31" s="34" t="str">
        <f>IF(기초자료입력!B63&lt;&gt;"",기초자료입력!B63,"")</f>
        <v/>
      </c>
      <c r="E31" s="34" t="str">
        <f>IF(기초자료입력!C63&lt;&gt;"",기초자료입력!C63,"")</f>
        <v/>
      </c>
      <c r="F31" s="67"/>
      <c r="G31" s="67"/>
      <c r="H31" s="67"/>
    </row>
    <row r="32" spans="2:8" ht="14.55" customHeight="1" x14ac:dyDescent="0.4">
      <c r="B32" s="34" t="str">
        <f>IF(기초자료입력!B64&lt;&gt;"",7,"")</f>
        <v/>
      </c>
      <c r="C32" s="34" t="str">
        <f>IF(기초자료입력!B64&lt;&gt;"","위원","")</f>
        <v/>
      </c>
      <c r="D32" s="34" t="str">
        <f>IF(기초자료입력!B64&lt;&gt;"",기초자료입력!B64,"")</f>
        <v/>
      </c>
      <c r="E32" s="34" t="str">
        <f>IF(기초자료입력!C64&lt;&gt;"",기초자료입력!C64,"")</f>
        <v/>
      </c>
      <c r="F32" s="67"/>
      <c r="G32" s="67"/>
      <c r="H32" s="67"/>
    </row>
    <row r="33" spans="2:8" ht="14.55" customHeight="1" x14ac:dyDescent="0.4">
      <c r="B33" s="34" t="str">
        <f>IF(기초자료입력!B65&lt;&gt;"",8,"")</f>
        <v/>
      </c>
      <c r="C33" s="34" t="str">
        <f>IF(기초자료입력!B65&lt;&gt;"","위원","")</f>
        <v/>
      </c>
      <c r="D33" s="34" t="str">
        <f>IF(기초자료입력!B65&lt;&gt;"",기초자료입력!B65,"")</f>
        <v/>
      </c>
      <c r="E33" s="34" t="str">
        <f>IF(기초자료입력!C65&lt;&gt;"",기초자료입력!C65,"")</f>
        <v/>
      </c>
      <c r="F33" s="67"/>
      <c r="G33" s="67"/>
      <c r="H33" s="67"/>
    </row>
    <row r="34" spans="2:8" ht="14.55" customHeight="1" x14ac:dyDescent="0.4">
      <c r="B34" s="34" t="str">
        <f>IF(기초자료입력!B66&lt;&gt;"",9,"")</f>
        <v/>
      </c>
      <c r="C34" s="34" t="str">
        <f>IF(기초자료입력!B66&lt;&gt;"","위원","")</f>
        <v/>
      </c>
      <c r="D34" s="34" t="str">
        <f>IF(기초자료입력!B66&lt;&gt;"",기초자료입력!B66,"")</f>
        <v/>
      </c>
      <c r="E34" s="34" t="str">
        <f>IF(기초자료입력!C66&lt;&gt;"",기초자료입력!C66,"")</f>
        <v/>
      </c>
      <c r="F34" s="67"/>
      <c r="G34" s="67"/>
      <c r="H34" s="67"/>
    </row>
    <row r="35" spans="2:8" ht="14.55" customHeight="1" x14ac:dyDescent="0.4">
      <c r="B35" s="34" t="str">
        <f>IF(기초자료입력!B67&lt;&gt;"",10,"")</f>
        <v/>
      </c>
      <c r="C35" s="34" t="str">
        <f>IF(기초자료입력!B67&lt;&gt;"","위원","")</f>
        <v/>
      </c>
      <c r="D35" s="34" t="str">
        <f>IF(기초자료입력!B67&lt;&gt;"",기초자료입력!B67,"")</f>
        <v/>
      </c>
      <c r="E35" s="34" t="str">
        <f>IF(기초자료입력!C67&lt;&gt;"",기초자료입력!C67,"")</f>
        <v/>
      </c>
      <c r="F35" s="67"/>
      <c r="G35" s="67"/>
      <c r="H35" s="67"/>
    </row>
    <row r="36" spans="2:8" ht="14.55" customHeight="1" x14ac:dyDescent="0.4">
      <c r="B36" s="35"/>
      <c r="C36" s="35"/>
      <c r="D36" s="35"/>
      <c r="E36" s="35"/>
      <c r="F36" s="35"/>
      <c r="G36" s="35"/>
      <c r="H36" s="35"/>
    </row>
    <row r="37" spans="2:8" ht="14.55" customHeight="1" x14ac:dyDescent="0.4">
      <c r="B37" s="71" t="s">
        <v>496</v>
      </c>
      <c r="C37" s="69"/>
      <c r="D37" s="69"/>
      <c r="E37" s="69"/>
      <c r="F37" s="69"/>
      <c r="G37" s="69"/>
      <c r="H37" s="69"/>
    </row>
    <row r="38" spans="2:8" ht="14.55" customHeight="1" x14ac:dyDescent="0.4">
      <c r="B38" s="69" t="s">
        <v>497</v>
      </c>
      <c r="C38" s="69"/>
      <c r="D38" s="69"/>
      <c r="E38" s="69"/>
      <c r="F38" s="69"/>
      <c r="G38" s="69"/>
      <c r="H38" s="69"/>
    </row>
    <row r="39" spans="2:8" ht="14.55" customHeight="1" x14ac:dyDescent="0.4">
      <c r="B39" s="35"/>
      <c r="C39" s="35"/>
      <c r="D39" s="35"/>
      <c r="E39" s="35"/>
      <c r="F39" s="35"/>
      <c r="G39" s="35"/>
      <c r="H39" s="35"/>
    </row>
    <row r="40" spans="2:8" ht="14.55" customHeight="1" x14ac:dyDescent="0.4">
      <c r="B40" s="35"/>
      <c r="C40" s="35"/>
      <c r="D40" s="35"/>
      <c r="E40" s="35"/>
      <c r="F40" s="51" t="s">
        <v>266</v>
      </c>
      <c r="G40" s="51" t="s">
        <v>277</v>
      </c>
      <c r="H40" s="51" t="s">
        <v>267</v>
      </c>
    </row>
    <row r="41" spans="2:8" ht="14.55" customHeight="1" x14ac:dyDescent="0.4">
      <c r="B41" s="50" t="s">
        <v>278</v>
      </c>
      <c r="C41" s="69" t="str">
        <f>IF(기초자료입력!C9&lt;&gt;"",기초자료입력!C9,"")</f>
        <v/>
      </c>
      <c r="D41" s="69"/>
      <c r="E41" s="69"/>
      <c r="F41" s="51" t="s">
        <v>279</v>
      </c>
      <c r="G41" s="67"/>
      <c r="H41" s="67"/>
    </row>
    <row r="42" spans="2:8" ht="14.55" customHeight="1" x14ac:dyDescent="0.4">
      <c r="B42" s="50" t="s">
        <v>280</v>
      </c>
      <c r="C42" s="35"/>
      <c r="D42" s="50" t="s">
        <v>281</v>
      </c>
      <c r="E42" s="69"/>
      <c r="F42" s="67"/>
      <c r="G42" s="67"/>
      <c r="H42" s="67"/>
    </row>
    <row r="43" spans="2:8" ht="14.55" customHeight="1" x14ac:dyDescent="0.4">
      <c r="B43" s="50" t="s">
        <v>282</v>
      </c>
      <c r="C43" s="35"/>
      <c r="D43" s="50" t="s">
        <v>283</v>
      </c>
      <c r="E43" s="35"/>
      <c r="F43" s="51" t="s">
        <v>284</v>
      </c>
      <c r="G43" s="67"/>
      <c r="H43" s="67"/>
    </row>
  </sheetData>
  <mergeCells count="32">
    <mergeCell ref="E42:H42"/>
    <mergeCell ref="G43:H43"/>
    <mergeCell ref="F34:H34"/>
    <mergeCell ref="F35:H35"/>
    <mergeCell ref="B37:H37"/>
    <mergeCell ref="B38:H38"/>
    <mergeCell ref="C41:E41"/>
    <mergeCell ref="G41:H41"/>
    <mergeCell ref="F33:H33"/>
    <mergeCell ref="B21:H21"/>
    <mergeCell ref="B22:H22"/>
    <mergeCell ref="B24:H24"/>
    <mergeCell ref="F25:H25"/>
    <mergeCell ref="F26:H26"/>
    <mergeCell ref="F27:H27"/>
    <mergeCell ref="F28:H28"/>
    <mergeCell ref="F29:H29"/>
    <mergeCell ref="F30:H30"/>
    <mergeCell ref="F31:H31"/>
    <mergeCell ref="F32:H32"/>
    <mergeCell ref="B20:H20"/>
    <mergeCell ref="B3:H3"/>
    <mergeCell ref="C7:H7"/>
    <mergeCell ref="C8:H8"/>
    <mergeCell ref="C9:H9"/>
    <mergeCell ref="C11:H11"/>
    <mergeCell ref="B13:H13"/>
    <mergeCell ref="B15:H15"/>
    <mergeCell ref="B16:H16"/>
    <mergeCell ref="B17:H17"/>
    <mergeCell ref="B18:H18"/>
    <mergeCell ref="B19:H19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1A8AE-6564-43BF-8E79-B5D0590FEE2E}">
  <sheetPr codeName="Sheet14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93" t="s">
        <v>463</v>
      </c>
      <c r="C1" s="94"/>
      <c r="D1" s="94"/>
      <c r="E1" s="94"/>
    </row>
    <row r="2" spans="2:7" ht="7.95" customHeight="1" x14ac:dyDescent="0.4">
      <c r="G2" s="33" t="s">
        <v>311</v>
      </c>
    </row>
    <row r="3" spans="2:7" ht="25.95" customHeight="1" x14ac:dyDescent="0.4">
      <c r="B3" s="80" t="s">
        <v>200</v>
      </c>
      <c r="C3" s="95"/>
      <c r="D3" s="95"/>
      <c r="E3" s="95"/>
      <c r="G3">
        <v>1</v>
      </c>
    </row>
    <row r="4" spans="2:7" ht="25.95" customHeight="1" x14ac:dyDescent="0.4">
      <c r="B4" s="95"/>
      <c r="C4" s="95"/>
      <c r="D4" s="95"/>
      <c r="E4" s="95"/>
    </row>
    <row r="5" spans="2:7" ht="6" customHeight="1" x14ac:dyDescent="0.4">
      <c r="B5" s="46"/>
      <c r="C5" s="46"/>
      <c r="D5" s="46"/>
      <c r="E5" s="46"/>
    </row>
    <row r="6" spans="2:7" ht="18" customHeight="1" x14ac:dyDescent="0.4">
      <c r="B6" s="96" t="s">
        <v>464</v>
      </c>
      <c r="C6" s="97"/>
      <c r="D6" s="97"/>
      <c r="E6" s="97"/>
    </row>
    <row r="7" spans="2:7" ht="19.95" customHeight="1" x14ac:dyDescent="0.4">
      <c r="B7" s="92" t="s">
        <v>465</v>
      </c>
      <c r="C7" s="92"/>
      <c r="D7" s="92"/>
      <c r="E7" s="92"/>
    </row>
    <row r="8" spans="2:7" ht="6" customHeight="1" x14ac:dyDescent="0.4">
      <c r="B8" s="46"/>
      <c r="C8" s="46"/>
      <c r="D8" s="46"/>
      <c r="E8" s="46"/>
    </row>
    <row r="9" spans="2:7" ht="18" customHeight="1" x14ac:dyDescent="0.4">
      <c r="B9" s="96" t="s">
        <v>466</v>
      </c>
      <c r="C9" s="97"/>
      <c r="D9" s="97"/>
      <c r="E9" s="97"/>
    </row>
    <row r="10" spans="2:7" ht="19.95" customHeight="1" x14ac:dyDescent="0.4">
      <c r="B10" s="92" t="s">
        <v>467</v>
      </c>
      <c r="C10" s="92"/>
      <c r="D10" s="92"/>
      <c r="E10" s="92"/>
    </row>
    <row r="11" spans="2:7" ht="19.95" customHeight="1" x14ac:dyDescent="0.4">
      <c r="B11" s="92" t="s">
        <v>468</v>
      </c>
      <c r="C11" s="92"/>
      <c r="D11" s="92"/>
      <c r="E11" s="92"/>
    </row>
    <row r="12" spans="2:7" ht="19.95" customHeight="1" x14ac:dyDescent="0.4">
      <c r="B12" s="92" t="s">
        <v>469</v>
      </c>
      <c r="C12" s="92"/>
      <c r="D12" s="92"/>
      <c r="E12" s="92"/>
    </row>
    <row r="13" spans="2:7" ht="19.95" customHeight="1" x14ac:dyDescent="0.4">
      <c r="B13" s="92" t="s">
        <v>470</v>
      </c>
      <c r="C13" s="92"/>
      <c r="D13" s="92"/>
      <c r="E13" s="92"/>
    </row>
    <row r="14" spans="2:7" ht="6" customHeight="1" x14ac:dyDescent="0.4">
      <c r="B14" s="46"/>
      <c r="C14" s="46"/>
      <c r="D14" s="46"/>
      <c r="E14" s="46"/>
    </row>
    <row r="15" spans="2:7" ht="25.95" customHeight="1" x14ac:dyDescent="0.4">
      <c r="B15" s="98" t="s">
        <v>471</v>
      </c>
      <c r="C15" s="92"/>
      <c r="D15" s="92"/>
      <c r="E15" s="92"/>
    </row>
    <row r="16" spans="2:7" ht="18" customHeight="1" x14ac:dyDescent="0.4">
      <c r="B16" s="92" t="s">
        <v>472</v>
      </c>
      <c r="C16" s="92"/>
      <c r="D16" s="92"/>
      <c r="E16" s="92"/>
    </row>
    <row r="17" spans="2:5" ht="18" customHeight="1" x14ac:dyDescent="0.4">
      <c r="B17" s="92" t="s">
        <v>473</v>
      </c>
      <c r="C17" s="92"/>
      <c r="D17" s="92"/>
      <c r="E17" s="92"/>
    </row>
    <row r="18" spans="2:5" ht="19.95" customHeight="1" x14ac:dyDescent="0.4">
      <c r="B18" s="92" t="s">
        <v>474</v>
      </c>
      <c r="C18" s="92"/>
      <c r="D18" s="92"/>
      <c r="E18" s="92"/>
    </row>
    <row r="19" spans="2:5" ht="6" customHeight="1" x14ac:dyDescent="0.4">
      <c r="B19" s="46"/>
      <c r="C19" s="46"/>
      <c r="D19" s="46"/>
      <c r="E19" s="46"/>
    </row>
    <row r="20" spans="2:5" ht="18" customHeight="1" x14ac:dyDescent="0.4">
      <c r="B20" s="96" t="s">
        <v>475</v>
      </c>
      <c r="C20" s="97"/>
      <c r="D20" s="97"/>
      <c r="E20" s="97"/>
    </row>
    <row r="21" spans="2:5" ht="19.95" customHeight="1" x14ac:dyDescent="0.4">
      <c r="B21" s="92" t="s">
        <v>476</v>
      </c>
      <c r="C21" s="92"/>
      <c r="D21" s="92"/>
      <c r="E21" s="92"/>
    </row>
    <row r="22" spans="2:5" ht="18" customHeight="1" x14ac:dyDescent="0.4">
      <c r="B22" s="92" t="s">
        <v>477</v>
      </c>
      <c r="C22" s="92"/>
      <c r="D22" s="92"/>
      <c r="E22" s="92"/>
    </row>
    <row r="23" spans="2:5" ht="22.05" customHeight="1" x14ac:dyDescent="0.4">
      <c r="B23" s="92" t="s">
        <v>478</v>
      </c>
      <c r="C23" s="92"/>
      <c r="D23" s="92"/>
      <c r="E23" s="92"/>
    </row>
    <row r="24" spans="2:5" ht="22.05" customHeight="1" x14ac:dyDescent="0.4">
      <c r="B24" s="92"/>
      <c r="C24" s="92"/>
      <c r="D24" s="92"/>
      <c r="E24" s="92"/>
    </row>
    <row r="25" spans="2:5" ht="18" customHeight="1" x14ac:dyDescent="0.4">
      <c r="B25" s="92" t="s">
        <v>479</v>
      </c>
      <c r="C25" s="92"/>
      <c r="D25" s="92"/>
      <c r="E25" s="92"/>
    </row>
    <row r="26" spans="2:5" ht="18" customHeight="1" x14ac:dyDescent="0.4">
      <c r="B26" s="97" t="s">
        <v>480</v>
      </c>
      <c r="C26" s="97"/>
      <c r="D26" s="97"/>
      <c r="E26" s="97"/>
    </row>
    <row r="27" spans="2:5" ht="18" customHeight="1" x14ac:dyDescent="0.4">
      <c r="B27" s="97" t="s">
        <v>480</v>
      </c>
      <c r="C27" s="97"/>
      <c r="D27" s="97"/>
      <c r="E27" s="97"/>
    </row>
    <row r="28" spans="2:5" ht="7.95" customHeight="1" x14ac:dyDescent="0.4">
      <c r="B28" s="46"/>
      <c r="C28" s="46"/>
      <c r="D28" s="46"/>
      <c r="E28" s="46"/>
    </row>
    <row r="29" spans="2:5" ht="18" customHeight="1" x14ac:dyDescent="0.4">
      <c r="B29" s="95" t="str">
        <f>IF(기초자료입력!$C$5="","20○○년   월   일","20"&amp;RIGHT(기초자료입력!$C$5,2)&amp;"년   월   일")</f>
        <v>2026년   월   일</v>
      </c>
      <c r="C29" s="95"/>
      <c r="D29" s="95"/>
      <c r="E29" s="95"/>
    </row>
    <row r="30" spans="2:5" ht="18" customHeight="1" x14ac:dyDescent="0.4">
      <c r="B30" s="95" t="s">
        <v>448</v>
      </c>
      <c r="C30" s="95"/>
      <c r="D30" s="95"/>
      <c r="E30" s="95"/>
    </row>
    <row r="31" spans="2:5" ht="18" customHeight="1" x14ac:dyDescent="0.4">
      <c r="B31" s="95" t="str">
        <f>IF(기초자료입력!$C$4="","○○○○학교장 귀하",기초자료입력!$C$4&amp;"장 귀하")</f>
        <v>검증초등학교장 귀하</v>
      </c>
      <c r="C31" s="95"/>
      <c r="D31" s="95"/>
      <c r="E31" s="95"/>
    </row>
  </sheetData>
  <mergeCells count="23">
    <mergeCell ref="B26:E26"/>
    <mergeCell ref="B27:E27"/>
    <mergeCell ref="B29:E29"/>
    <mergeCell ref="B30:E30"/>
    <mergeCell ref="B31:E31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10:E10"/>
    <mergeCell ref="B1:E1"/>
    <mergeCell ref="B3:E4"/>
    <mergeCell ref="B6:E6"/>
    <mergeCell ref="B7:E7"/>
    <mergeCell ref="B9:E9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59423-1D54-4355-8CAB-E1D71AAE27BD}">
  <sheetPr codeName="Sheet15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93" t="s">
        <v>449</v>
      </c>
      <c r="C1" s="94"/>
      <c r="D1" s="94"/>
      <c r="E1" s="94"/>
    </row>
    <row r="2" spans="2:7" ht="7.95" customHeight="1" x14ac:dyDescent="0.4">
      <c r="G2" s="33" t="s">
        <v>311</v>
      </c>
    </row>
    <row r="3" spans="2:7" ht="24" customHeight="1" x14ac:dyDescent="0.4">
      <c r="B3" s="80" t="s">
        <v>450</v>
      </c>
      <c r="C3" s="95"/>
      <c r="D3" s="95"/>
      <c r="E3" s="95"/>
      <c r="G3">
        <v>1</v>
      </c>
    </row>
    <row r="4" spans="2:7" ht="24" customHeight="1" x14ac:dyDescent="0.4">
      <c r="B4" s="95"/>
      <c r="C4" s="95"/>
      <c r="D4" s="95"/>
      <c r="E4" s="95"/>
    </row>
    <row r="5" spans="2:7" ht="19.95" customHeight="1" x14ac:dyDescent="0.4">
      <c r="B5" s="95" t="str">
        <f>"(제안자: "&amp;IFERROR(IF(INDEX(기초자료입력!$B$44:$B$53,$G$3)=0,"",INDEX(기초자료입력!$B$44:$B$53,$G$3)),"")&amp;")"</f>
        <v>(제안자: 검증업체가)</v>
      </c>
      <c r="C5" s="95"/>
      <c r="D5" s="95"/>
      <c r="E5" s="95"/>
    </row>
    <row r="6" spans="2:7" ht="16.05" customHeight="1" x14ac:dyDescent="0.4">
      <c r="B6" s="95" t="s">
        <v>451</v>
      </c>
      <c r="C6" s="95"/>
      <c r="D6" s="95"/>
      <c r="E6" s="95"/>
    </row>
    <row r="7" spans="2:7" ht="18" customHeight="1" x14ac:dyDescent="0.4">
      <c r="B7" s="96" t="s">
        <v>452</v>
      </c>
      <c r="C7" s="97"/>
      <c r="D7" s="97"/>
      <c r="E7" s="97"/>
    </row>
    <row r="8" spans="2:7" ht="6" customHeight="1" x14ac:dyDescent="0.4">
      <c r="B8" s="46"/>
      <c r="C8" s="46"/>
      <c r="D8" s="46"/>
      <c r="E8" s="46"/>
    </row>
    <row r="9" spans="2:7" ht="22.05" customHeight="1" x14ac:dyDescent="0.4">
      <c r="B9" s="47" t="s">
        <v>300</v>
      </c>
      <c r="C9" s="47" t="s">
        <v>453</v>
      </c>
      <c r="D9" s="47" t="s">
        <v>454</v>
      </c>
      <c r="E9" s="47" t="s">
        <v>455</v>
      </c>
    </row>
    <row r="10" spans="2:7" ht="22.05" customHeight="1" x14ac:dyDescent="0.4">
      <c r="B10" s="95" t="s">
        <v>290</v>
      </c>
      <c r="C10" s="48" t="s">
        <v>456</v>
      </c>
      <c r="D10" s="48"/>
      <c r="E10" s="48"/>
    </row>
    <row r="11" spans="2:7" ht="22.05" customHeight="1" x14ac:dyDescent="0.4">
      <c r="B11" s="95"/>
      <c r="C11" s="48" t="s">
        <v>457</v>
      </c>
      <c r="D11" s="48"/>
      <c r="E11" s="48"/>
    </row>
    <row r="12" spans="2:7" ht="22.05" customHeight="1" x14ac:dyDescent="0.4">
      <c r="B12" s="95"/>
      <c r="C12" s="48" t="s">
        <v>458</v>
      </c>
      <c r="D12" s="48"/>
      <c r="E12" s="48"/>
    </row>
    <row r="13" spans="2:7" ht="22.05" customHeight="1" x14ac:dyDescent="0.4">
      <c r="B13" s="95"/>
      <c r="C13" s="48" t="s">
        <v>459</v>
      </c>
      <c r="D13" s="48"/>
      <c r="E13" s="48"/>
    </row>
    <row r="14" spans="2:7" ht="22.05" customHeight="1" x14ac:dyDescent="0.4">
      <c r="B14" s="95" t="s">
        <v>291</v>
      </c>
      <c r="C14" s="48" t="s">
        <v>460</v>
      </c>
      <c r="D14" s="48"/>
      <c r="E14" s="48"/>
    </row>
    <row r="15" spans="2:7" ht="22.05" customHeight="1" x14ac:dyDescent="0.4">
      <c r="B15" s="95"/>
      <c r="C15" s="48" t="s">
        <v>461</v>
      </c>
      <c r="D15" s="48"/>
      <c r="E15" s="48"/>
    </row>
    <row r="16" spans="2:7" ht="6" customHeight="1" x14ac:dyDescent="0.4">
      <c r="B16" s="46"/>
      <c r="C16" s="46"/>
      <c r="D16" s="46"/>
      <c r="E16" s="46"/>
    </row>
    <row r="17" spans="2:5" ht="19.95" customHeight="1" x14ac:dyDescent="0.4">
      <c r="B17" s="92" t="s">
        <v>462</v>
      </c>
      <c r="C17" s="92"/>
      <c r="D17" s="92"/>
      <c r="E17" s="92"/>
    </row>
    <row r="18" spans="2:5" ht="7.95" customHeight="1" x14ac:dyDescent="0.4">
      <c r="B18" s="46"/>
      <c r="C18" s="46"/>
      <c r="D18" s="46"/>
      <c r="E18" s="46"/>
    </row>
    <row r="19" spans="2:5" ht="18" customHeight="1" x14ac:dyDescent="0.4">
      <c r="B19" s="95" t="str">
        <f>IF(기초자료입력!$C$5="","20○○.  .  .","20"&amp;RIGHT(기초자료입력!$C$5,2)&amp;".  .  .")</f>
        <v>2026.  .  .</v>
      </c>
      <c r="C19" s="95"/>
      <c r="D19" s="95"/>
      <c r="E19" s="95"/>
    </row>
    <row r="20" spans="2:5" ht="18" customHeight="1" x14ac:dyDescent="0.4">
      <c r="B20" s="95" t="s">
        <v>448</v>
      </c>
      <c r="C20" s="95"/>
      <c r="D20" s="95"/>
      <c r="E20" s="95"/>
    </row>
    <row r="21" spans="2:5" ht="18" customHeight="1" x14ac:dyDescent="0.4">
      <c r="B21" s="95" t="str">
        <f>IF(기초자료입력!$C$4="","○○○○학교장 귀하",기초자료입력!$C$4&amp;"장 귀하")</f>
        <v>검증초등학교장 귀하</v>
      </c>
      <c r="C21" s="95"/>
      <c r="D21" s="95"/>
      <c r="E21" s="95"/>
    </row>
  </sheetData>
  <mergeCells count="11">
    <mergeCell ref="B14:B15"/>
    <mergeCell ref="B17:E17"/>
    <mergeCell ref="B19:E19"/>
    <mergeCell ref="B20:E20"/>
    <mergeCell ref="B21:E21"/>
    <mergeCell ref="B10:B13"/>
    <mergeCell ref="B1:E1"/>
    <mergeCell ref="B3:E4"/>
    <mergeCell ref="B5:E5"/>
    <mergeCell ref="B6:E6"/>
    <mergeCell ref="B7:E7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27C70-F99A-438F-ADDE-899186F9993B}">
  <sheetPr codeName="Sheet16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93" t="s">
        <v>440</v>
      </c>
      <c r="C1" s="94"/>
      <c r="D1" s="94"/>
      <c r="E1" s="94"/>
      <c r="F1" s="94"/>
      <c r="G1" s="94"/>
    </row>
    <row r="2" spans="2:9" ht="7.95" customHeight="1" x14ac:dyDescent="0.4">
      <c r="I2" s="33" t="s">
        <v>311</v>
      </c>
    </row>
    <row r="3" spans="2:9" ht="24" customHeight="1" x14ac:dyDescent="0.4">
      <c r="B3" s="80" t="s">
        <v>191</v>
      </c>
      <c r="C3" s="95"/>
      <c r="D3" s="95"/>
      <c r="E3" s="95"/>
      <c r="F3" s="95"/>
      <c r="G3" s="95"/>
      <c r="I3">
        <v>1</v>
      </c>
    </row>
    <row r="4" spans="2:9" ht="24" customHeight="1" x14ac:dyDescent="0.4">
      <c r="B4" s="95"/>
      <c r="C4" s="95"/>
      <c r="D4" s="95"/>
      <c r="E4" s="95"/>
      <c r="F4" s="95"/>
      <c r="G4" s="95"/>
    </row>
    <row r="5" spans="2:9" ht="19.95" customHeight="1" x14ac:dyDescent="0.4">
      <c r="B5" s="95" t="str">
        <f>"(제안자: "&amp;IFERROR(IF(INDEX(기초자료입력!$B$44:$B$53,$I$3)=0,"",INDEX(기초자료입력!$B$44:$B$53,$I$3)),"")&amp;")"</f>
        <v>(제안자: 검증업체가)</v>
      </c>
      <c r="C5" s="95"/>
      <c r="D5" s="95"/>
      <c r="E5" s="95"/>
      <c r="F5" s="95"/>
      <c r="G5" s="95"/>
    </row>
    <row r="6" spans="2:9" ht="6" customHeight="1" x14ac:dyDescent="0.4">
      <c r="B6" s="46"/>
      <c r="C6" s="46"/>
      <c r="D6" s="46"/>
      <c r="E6" s="46"/>
      <c r="F6" s="46"/>
      <c r="G6" s="46"/>
    </row>
    <row r="7" spans="2:9" ht="19.95" customHeight="1" x14ac:dyDescent="0.4">
      <c r="B7" s="80" t="s">
        <v>441</v>
      </c>
      <c r="C7" s="95"/>
      <c r="D7" s="95"/>
      <c r="E7" s="95"/>
      <c r="F7" s="95"/>
      <c r="G7" s="95"/>
    </row>
    <row r="8" spans="2:9" ht="6" customHeight="1" x14ac:dyDescent="0.4">
      <c r="B8" s="46"/>
      <c r="C8" s="46"/>
      <c r="D8" s="46"/>
      <c r="E8" s="46"/>
      <c r="F8" s="46"/>
      <c r="G8" s="46"/>
    </row>
    <row r="9" spans="2:9" ht="30" customHeight="1" x14ac:dyDescent="0.4">
      <c r="B9" s="47" t="s">
        <v>86</v>
      </c>
      <c r="C9" s="47" t="s">
        <v>442</v>
      </c>
      <c r="D9" s="47" t="s">
        <v>443</v>
      </c>
      <c r="E9" s="47" t="s">
        <v>444</v>
      </c>
      <c r="F9" s="47" t="s">
        <v>445</v>
      </c>
      <c r="G9" s="47" t="s">
        <v>289</v>
      </c>
    </row>
    <row r="10" spans="2:9" ht="24" customHeight="1" x14ac:dyDescent="0.4">
      <c r="B10" s="48">
        <v>1</v>
      </c>
      <c r="C10" s="49"/>
      <c r="D10" s="49"/>
      <c r="E10" s="49"/>
      <c r="F10" s="49"/>
      <c r="G10" s="49"/>
    </row>
    <row r="11" spans="2:9" ht="24" customHeight="1" x14ac:dyDescent="0.4">
      <c r="B11" s="48">
        <v>2</v>
      </c>
      <c r="C11" s="49"/>
      <c r="D11" s="49"/>
      <c r="E11" s="49"/>
      <c r="F11" s="49"/>
      <c r="G11" s="49"/>
    </row>
    <row r="12" spans="2:9" ht="24" customHeight="1" x14ac:dyDescent="0.4">
      <c r="B12" s="48">
        <v>3</v>
      </c>
      <c r="C12" s="49"/>
      <c r="D12" s="49"/>
      <c r="E12" s="49"/>
      <c r="F12" s="49"/>
      <c r="G12" s="49"/>
    </row>
    <row r="13" spans="2:9" ht="24" customHeight="1" x14ac:dyDescent="0.4">
      <c r="B13" s="48">
        <v>4</v>
      </c>
      <c r="C13" s="49"/>
      <c r="D13" s="49"/>
      <c r="E13" s="49"/>
      <c r="F13" s="49"/>
      <c r="G13" s="49"/>
    </row>
    <row r="14" spans="2:9" ht="24" customHeight="1" x14ac:dyDescent="0.4">
      <c r="B14" s="48">
        <v>5</v>
      </c>
      <c r="C14" s="49"/>
      <c r="D14" s="49"/>
      <c r="E14" s="49"/>
      <c r="F14" s="49"/>
      <c r="G14" s="49"/>
    </row>
    <row r="15" spans="2:9" ht="24" customHeight="1" x14ac:dyDescent="0.4">
      <c r="B15" s="48">
        <v>6</v>
      </c>
      <c r="C15" s="49"/>
      <c r="D15" s="49"/>
      <c r="E15" s="49"/>
      <c r="F15" s="49"/>
      <c r="G15" s="49"/>
    </row>
    <row r="16" spans="2:9" ht="24" customHeight="1" x14ac:dyDescent="0.4">
      <c r="B16" s="48">
        <v>7</v>
      </c>
      <c r="C16" s="49"/>
      <c r="D16" s="49"/>
      <c r="E16" s="49"/>
      <c r="F16" s="49"/>
      <c r="G16" s="49"/>
    </row>
    <row r="17" spans="2:7" ht="24" customHeight="1" x14ac:dyDescent="0.4">
      <c r="B17" s="48">
        <v>8</v>
      </c>
      <c r="C17" s="49"/>
      <c r="D17" s="49"/>
      <c r="E17" s="49"/>
      <c r="F17" s="49"/>
      <c r="G17" s="49"/>
    </row>
    <row r="18" spans="2:7" ht="24" customHeight="1" x14ac:dyDescent="0.4">
      <c r="B18" s="48">
        <v>9</v>
      </c>
      <c r="C18" s="49"/>
      <c r="D18" s="49"/>
      <c r="E18" s="49"/>
      <c r="F18" s="49"/>
      <c r="G18" s="49"/>
    </row>
    <row r="19" spans="2:7" ht="6" customHeight="1" x14ac:dyDescent="0.4">
      <c r="B19" s="46"/>
      <c r="C19" s="46"/>
      <c r="D19" s="46"/>
      <c r="E19" s="46"/>
      <c r="F19" s="46"/>
      <c r="G19" s="46"/>
    </row>
    <row r="20" spans="2:7" ht="18" customHeight="1" x14ac:dyDescent="0.4">
      <c r="B20" s="97" t="s">
        <v>446</v>
      </c>
      <c r="C20" s="97"/>
      <c r="D20" s="97"/>
      <c r="E20" s="97"/>
      <c r="F20" s="97"/>
      <c r="G20" s="97"/>
    </row>
    <row r="21" spans="2:7" ht="18" customHeight="1" x14ac:dyDescent="0.4">
      <c r="B21" s="97" t="s">
        <v>447</v>
      </c>
      <c r="C21" s="97"/>
      <c r="D21" s="97"/>
      <c r="E21" s="97"/>
      <c r="F21" s="97"/>
      <c r="G21" s="97"/>
    </row>
    <row r="22" spans="2:7" ht="7.95" customHeight="1" x14ac:dyDescent="0.4">
      <c r="B22" s="46"/>
      <c r="C22" s="46"/>
      <c r="D22" s="46"/>
      <c r="E22" s="46"/>
      <c r="F22" s="46"/>
      <c r="G22" s="46"/>
    </row>
    <row r="23" spans="2:7" ht="18" customHeight="1" x14ac:dyDescent="0.4">
      <c r="B23" s="95" t="str">
        <f>IF(기초자료입력!$C$5="","20○○.  .  .","20"&amp;RIGHT(기초자료입력!$C$5,2)&amp;".  .  .")</f>
        <v>2026.  .  .</v>
      </c>
      <c r="C23" s="95"/>
      <c r="D23" s="95"/>
      <c r="E23" s="95"/>
      <c r="F23" s="95"/>
      <c r="G23" s="95"/>
    </row>
    <row r="24" spans="2:7" ht="18" customHeight="1" x14ac:dyDescent="0.4">
      <c r="B24" s="95" t="s">
        <v>448</v>
      </c>
      <c r="C24" s="95"/>
      <c r="D24" s="95"/>
      <c r="E24" s="95"/>
      <c r="F24" s="95"/>
      <c r="G24" s="95"/>
    </row>
    <row r="25" spans="2:7" ht="18" customHeight="1" x14ac:dyDescent="0.4">
      <c r="B25" s="95" t="str">
        <f>IF(기초자료입력!$C$4="","○○○○학교장 귀하",기초자료입력!$C$4&amp;"장 귀하")</f>
        <v>검증초등학교장 귀하</v>
      </c>
      <c r="C25" s="95"/>
      <c r="D25" s="95"/>
      <c r="E25" s="95"/>
      <c r="F25" s="95"/>
      <c r="G25" s="95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FA7E0-AF3C-47DA-9171-BADACFE28910}">
  <sheetPr codeName="Sheet17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93" t="s">
        <v>427</v>
      </c>
      <c r="C1" s="94"/>
      <c r="D1" s="94"/>
      <c r="E1" s="94"/>
    </row>
    <row r="2" spans="2:7" ht="7.95" customHeight="1" x14ac:dyDescent="0.4">
      <c r="G2" s="33" t="s">
        <v>311</v>
      </c>
    </row>
    <row r="3" spans="2:7" ht="25.05" customHeight="1" x14ac:dyDescent="0.4">
      <c r="B3" s="99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2026학년도 검증초등학교 교복(동·하복) 납품 제안서</v>
      </c>
      <c r="C3" s="100"/>
      <c r="D3" s="100"/>
      <c r="E3" s="100"/>
      <c r="G3">
        <v>1</v>
      </c>
    </row>
    <row r="4" spans="2:7" ht="25.05" customHeight="1" x14ac:dyDescent="0.4">
      <c r="B4" s="100"/>
      <c r="C4" s="100"/>
      <c r="D4" s="100"/>
      <c r="E4" s="100"/>
    </row>
    <row r="5" spans="2:7" ht="28.05" customHeight="1" x14ac:dyDescent="0.4">
      <c r="B5" s="101" t="s">
        <v>428</v>
      </c>
      <c r="C5" s="79"/>
      <c r="D5" s="79"/>
      <c r="E5" s="79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96" t="s">
        <v>429</v>
      </c>
      <c r="C7" s="97"/>
      <c r="D7" s="97"/>
      <c r="E7" s="97"/>
    </row>
    <row r="8" spans="2:7" ht="18" customHeight="1" x14ac:dyDescent="0.4">
      <c r="B8" s="45" t="s">
        <v>430</v>
      </c>
      <c r="C8" s="97" t="str">
        <f>IFERROR(IF(INDEX(기초자료입력!$B$44:$B$53,$G$3)=0,"",INDEX(기초자료입력!$B$44:$B$53,$G$3)),"")</f>
        <v>검증업체가</v>
      </c>
      <c r="D8" s="97"/>
      <c r="E8" s="97"/>
    </row>
    <row r="9" spans="2:7" ht="18" customHeight="1" x14ac:dyDescent="0.4">
      <c r="B9" s="45" t="s">
        <v>355</v>
      </c>
      <c r="C9" s="97"/>
      <c r="D9" s="97"/>
      <c r="E9" s="97"/>
    </row>
    <row r="10" spans="2:7" ht="18" customHeight="1" x14ac:dyDescent="0.4">
      <c r="B10" s="45" t="s">
        <v>431</v>
      </c>
      <c r="C10" s="97"/>
      <c r="D10" s="97"/>
      <c r="E10" s="97"/>
    </row>
    <row r="11" spans="2:7" ht="18" customHeight="1" x14ac:dyDescent="0.4">
      <c r="B11" s="45" t="s">
        <v>281</v>
      </c>
      <c r="C11" s="97"/>
      <c r="D11" s="97"/>
      <c r="E11" s="97"/>
    </row>
    <row r="12" spans="2:7" ht="18" customHeight="1" x14ac:dyDescent="0.4">
      <c r="B12" s="45" t="s">
        <v>356</v>
      </c>
      <c r="C12" s="97" t="s">
        <v>435</v>
      </c>
      <c r="D12" s="97"/>
      <c r="E12" s="97"/>
    </row>
    <row r="13" spans="2:7" ht="18" customHeight="1" x14ac:dyDescent="0.4">
      <c r="B13" s="45" t="s">
        <v>432</v>
      </c>
      <c r="C13" s="97"/>
      <c r="D13" s="97"/>
      <c r="E13" s="97"/>
    </row>
    <row r="14" spans="2:7" ht="18" customHeight="1" x14ac:dyDescent="0.4">
      <c r="B14" s="45" t="s">
        <v>433</v>
      </c>
      <c r="C14" s="97"/>
      <c r="D14" s="97"/>
      <c r="E14" s="97"/>
    </row>
    <row r="15" spans="2:7" ht="18" customHeight="1" x14ac:dyDescent="0.4">
      <c r="B15" s="45" t="s">
        <v>434</v>
      </c>
      <c r="C15" s="97"/>
      <c r="D15" s="97"/>
      <c r="E15" s="97"/>
    </row>
    <row r="16" spans="2:7" ht="24" customHeight="1" x14ac:dyDescent="0.4">
      <c r="B16" s="97" t="s">
        <v>436</v>
      </c>
      <c r="C16" s="97"/>
      <c r="D16" s="97"/>
      <c r="E16" s="97"/>
    </row>
    <row r="17" spans="2:5" ht="24" customHeight="1" x14ac:dyDescent="0.4">
      <c r="B17" s="97"/>
      <c r="C17" s="97"/>
      <c r="D17" s="97"/>
      <c r="E17" s="97"/>
    </row>
    <row r="18" spans="2:5" ht="6" customHeight="1" x14ac:dyDescent="0.4">
      <c r="B18" s="46"/>
      <c r="C18" s="46"/>
      <c r="D18" s="46"/>
      <c r="E18" s="46"/>
    </row>
    <row r="19" spans="2:5" ht="18" customHeight="1" x14ac:dyDescent="0.4">
      <c r="B19" s="96" t="s">
        <v>437</v>
      </c>
      <c r="C19" s="97"/>
      <c r="D19" s="97"/>
      <c r="E19" s="97"/>
    </row>
    <row r="20" spans="2:5" ht="16.05" customHeight="1" x14ac:dyDescent="0.4">
      <c r="B20" s="92" t="s">
        <v>438</v>
      </c>
      <c r="C20" s="92"/>
      <c r="D20" s="92"/>
      <c r="E20" s="92"/>
    </row>
    <row r="21" spans="2:5" ht="16.05" customHeight="1" x14ac:dyDescent="0.4">
      <c r="B21" s="92"/>
      <c r="C21" s="92"/>
      <c r="D21" s="92"/>
      <c r="E21" s="92"/>
    </row>
    <row r="22" spans="2:5" ht="16.05" customHeight="1" x14ac:dyDescent="0.4">
      <c r="B22" s="92"/>
      <c r="C22" s="92"/>
      <c r="D22" s="92"/>
      <c r="E22" s="92"/>
    </row>
    <row r="23" spans="2:5" ht="16.05" customHeight="1" x14ac:dyDescent="0.4">
      <c r="B23" s="92"/>
      <c r="C23" s="92"/>
      <c r="D23" s="92"/>
      <c r="E23" s="92"/>
    </row>
    <row r="24" spans="2:5" ht="16.05" customHeight="1" x14ac:dyDescent="0.4">
      <c r="B24" s="92"/>
      <c r="C24" s="92"/>
      <c r="D24" s="92"/>
      <c r="E24" s="92"/>
    </row>
    <row r="25" spans="2:5" ht="16.05" customHeight="1" x14ac:dyDescent="0.4">
      <c r="B25" s="92"/>
      <c r="C25" s="92"/>
      <c r="D25" s="92"/>
      <c r="E25" s="92"/>
    </row>
    <row r="26" spans="2:5" ht="16.05" customHeight="1" x14ac:dyDescent="0.4">
      <c r="B26" s="92"/>
      <c r="C26" s="92"/>
      <c r="D26" s="92"/>
      <c r="E26" s="92"/>
    </row>
    <row r="27" spans="2:5" ht="16.05" customHeight="1" x14ac:dyDescent="0.4">
      <c r="B27" s="92"/>
      <c r="C27" s="92"/>
      <c r="D27" s="92"/>
      <c r="E27" s="92"/>
    </row>
    <row r="28" spans="2:5" ht="6" customHeight="1" x14ac:dyDescent="0.4">
      <c r="B28" s="46"/>
      <c r="C28" s="46"/>
      <c r="D28" s="46"/>
      <c r="E28" s="46"/>
    </row>
    <row r="29" spans="2:5" ht="18" customHeight="1" x14ac:dyDescent="0.4">
      <c r="B29" s="95" t="str">
        <f>IF(기초자료입력!$C$5="","20○○. ○○. ○○","20"&amp;RIGHT(기초자료입력!$C$5,2)&amp;". ○○. ○○")</f>
        <v>2026. ○○. ○○</v>
      </c>
      <c r="C29" s="95"/>
      <c r="D29" s="95"/>
      <c r="E29" s="95"/>
    </row>
    <row r="30" spans="2:5" ht="18" customHeight="1" x14ac:dyDescent="0.4">
      <c r="B30" s="95" t="s">
        <v>439</v>
      </c>
      <c r="C30" s="95"/>
      <c r="D30" s="95"/>
      <c r="E30" s="95"/>
    </row>
    <row r="31" spans="2:5" ht="18" customHeight="1" x14ac:dyDescent="0.4">
      <c r="B31" s="95" t="str">
        <f>IF(기초자료입력!$C$4="","○○○○학교장 귀하",기초자료입력!$C$4&amp;"장 귀하")</f>
        <v>검증초등학교장 귀하</v>
      </c>
      <c r="C31" s="95"/>
      <c r="D31" s="95"/>
      <c r="E31" s="95"/>
    </row>
  </sheetData>
  <mergeCells count="18"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  <mergeCell ref="C9:E9"/>
    <mergeCell ref="B1:E1"/>
    <mergeCell ref="B3:E4"/>
    <mergeCell ref="B5:E5"/>
    <mergeCell ref="B7:E7"/>
    <mergeCell ref="C8:E8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B3B03-B9A6-45D2-920E-A871EBC86FFD}">
  <sheetPr codeName="Sheet18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419</v>
      </c>
    </row>
    <row r="2" spans="1:7" ht="10.050000000000001" customHeight="1" x14ac:dyDescent="0.4">
      <c r="G2" s="33" t="s">
        <v>311</v>
      </c>
    </row>
    <row r="3" spans="1:7" ht="22.05" customHeight="1" x14ac:dyDescent="0.4">
      <c r="B3" s="80" t="s">
        <v>420</v>
      </c>
      <c r="C3" s="95"/>
      <c r="D3" s="95"/>
      <c r="E3" s="95"/>
      <c r="G3">
        <v>1</v>
      </c>
    </row>
    <row r="4" spans="1:7" ht="22.05" customHeight="1" x14ac:dyDescent="0.4">
      <c r="B4" s="95"/>
      <c r="C4" s="95"/>
      <c r="D4" s="95"/>
      <c r="E4" s="95"/>
    </row>
    <row r="5" spans="1:7" ht="28.05" customHeight="1" x14ac:dyDescent="0.4">
      <c r="B5" s="92" t="s">
        <v>421</v>
      </c>
      <c r="C5" s="92"/>
      <c r="D5" s="92"/>
      <c r="E5" s="92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5" t="s">
        <v>422</v>
      </c>
      <c r="C7" s="97" t="str">
        <f>IFERROR(IF(INDEX(기초자료입력!$B$44:$B$53,$G$3)=0,"",INDEX(기초자료입력!$B$44:$B$53,$G$3)),"")</f>
        <v>검증업체가</v>
      </c>
      <c r="D7" s="97"/>
      <c r="E7" s="97"/>
    </row>
    <row r="8" spans="1:7" ht="19.95" customHeight="1" x14ac:dyDescent="0.4">
      <c r="B8" s="45" t="s">
        <v>423</v>
      </c>
      <c r="C8" s="97"/>
      <c r="D8" s="97"/>
      <c r="E8" s="97"/>
    </row>
    <row r="9" spans="1:7" ht="19.95" customHeight="1" x14ac:dyDescent="0.4">
      <c r="B9" s="45" t="s">
        <v>424</v>
      </c>
      <c r="C9" s="97"/>
      <c r="D9" s="97"/>
      <c r="E9" s="97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92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검증초등학교(주소지 전북 )가 시행하는 교복 ‘학교주관구매’가 원만히 추진될 수 있도록 20○○.00.00. 일자로 공고한 입찰에 참가하기에 신고합니다.</v>
      </c>
      <c r="C11" s="92"/>
      <c r="D11" s="92"/>
      <c r="E11" s="92"/>
    </row>
    <row r="12" spans="1:7" ht="18" customHeight="1" x14ac:dyDescent="0.4">
      <c r="B12" s="92"/>
      <c r="C12" s="92"/>
      <c r="D12" s="92"/>
      <c r="E12" s="92"/>
    </row>
    <row r="13" spans="1:7" ht="18" customHeight="1" x14ac:dyDescent="0.4">
      <c r="B13" s="92"/>
      <c r="C13" s="92"/>
      <c r="D13" s="92"/>
      <c r="E13" s="92"/>
    </row>
    <row r="14" spans="1:7" ht="7.95" customHeight="1" x14ac:dyDescent="0.4">
      <c r="B14" s="46"/>
      <c r="C14" s="46"/>
      <c r="D14" s="46"/>
      <c r="E14" s="46"/>
    </row>
    <row r="15" spans="1:7" ht="22.05" customHeight="1" x14ac:dyDescent="0.4">
      <c r="B15" s="92" t="s">
        <v>425</v>
      </c>
      <c r="C15" s="92"/>
      <c r="D15" s="92"/>
      <c r="E15" s="92"/>
    </row>
    <row r="16" spans="1:7" ht="22.05" customHeight="1" x14ac:dyDescent="0.4">
      <c r="B16" s="92"/>
      <c r="C16" s="92"/>
      <c r="D16" s="92"/>
      <c r="E16" s="92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95" t="str">
        <f>IF(기초자료입력!$C$5="","20○○. ○○. ○○","20"&amp;RIGHT(기초자료입력!$C$5,2)&amp;". ○○. ○○")</f>
        <v>2026. ○○. ○○</v>
      </c>
      <c r="C18" s="95"/>
      <c r="D18" s="95"/>
      <c r="E18" s="95"/>
    </row>
    <row r="19" spans="2:5" ht="19.95" customHeight="1" x14ac:dyDescent="0.4">
      <c r="B19" s="95" t="s">
        <v>426</v>
      </c>
      <c r="C19" s="95"/>
      <c r="D19" s="95"/>
      <c r="E19" s="95"/>
    </row>
    <row r="20" spans="2:5" ht="19.95" customHeight="1" x14ac:dyDescent="0.4">
      <c r="B20" s="95" t="str">
        <f>IF(기초자료입력!$C$4="","○○○○학교장 귀하",기초자료입력!$C$4&amp;"장 귀하")</f>
        <v>검증초등학교장 귀하</v>
      </c>
      <c r="C20" s="95"/>
      <c r="D20" s="95"/>
      <c r="E20" s="95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7AE85-CA76-4A81-B8DA-2167C2581E3A}">
  <sheetPr codeName="Sheet19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400</v>
      </c>
    </row>
    <row r="2" spans="1:14" ht="10.050000000000001" customHeight="1" x14ac:dyDescent="0.4">
      <c r="N2" s="33" t="s">
        <v>311</v>
      </c>
    </row>
    <row r="3" spans="1:14" ht="30" customHeight="1" x14ac:dyDescent="0.4">
      <c r="B3" s="102" t="s">
        <v>401</v>
      </c>
      <c r="C3" s="103"/>
      <c r="D3" s="103"/>
      <c r="E3" s="103"/>
      <c r="F3" s="103"/>
      <c r="G3" s="103"/>
      <c r="H3" s="103"/>
      <c r="I3" s="103"/>
      <c r="J3" s="103"/>
      <c r="K3" s="103" t="s">
        <v>402</v>
      </c>
      <c r="L3" s="103"/>
      <c r="N3">
        <v>1</v>
      </c>
    </row>
    <row r="4" spans="1:14" ht="24" customHeight="1" x14ac:dyDescent="0.4"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</row>
    <row r="5" spans="1:14" x14ac:dyDescent="0.4"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</row>
    <row r="6" spans="1:14" ht="22.95" customHeight="1" x14ac:dyDescent="0.4">
      <c r="B6" s="103" t="s">
        <v>403</v>
      </c>
      <c r="C6" s="103"/>
      <c r="D6" s="103" t="s">
        <v>404</v>
      </c>
      <c r="E6" s="104"/>
      <c r="F6" s="104" t="str">
        <f>IFERROR(IF(INDEX(기초자료입력!$B$44:$B$53,$N$3)=0,"",INDEX(기초자료입력!$B$44:$B$53,$N$3)),"")</f>
        <v>검증업체가</v>
      </c>
      <c r="G6" s="104"/>
      <c r="H6" s="104"/>
      <c r="I6" s="26" t="s">
        <v>405</v>
      </c>
      <c r="J6" s="104"/>
      <c r="K6" s="104"/>
      <c r="L6" s="104"/>
    </row>
    <row r="7" spans="1:14" ht="22.95" customHeight="1" x14ac:dyDescent="0.4">
      <c r="B7" s="103"/>
      <c r="C7" s="103"/>
      <c r="D7" s="104" t="s">
        <v>406</v>
      </c>
      <c r="E7" s="104"/>
      <c r="F7" s="104"/>
      <c r="G7" s="104"/>
      <c r="H7" s="104"/>
      <c r="I7" s="26" t="s">
        <v>407</v>
      </c>
      <c r="J7" s="104"/>
      <c r="K7" s="104"/>
      <c r="L7" s="104"/>
    </row>
    <row r="8" spans="1:14" ht="22.95" customHeight="1" x14ac:dyDescent="0.4">
      <c r="B8" s="103"/>
      <c r="C8" s="103"/>
      <c r="D8" s="104" t="s">
        <v>355</v>
      </c>
      <c r="E8" s="104"/>
      <c r="F8" s="104"/>
      <c r="G8" s="104"/>
      <c r="H8" s="104"/>
      <c r="I8" s="26" t="s">
        <v>408</v>
      </c>
      <c r="J8" s="104"/>
      <c r="K8" s="104"/>
      <c r="L8" s="104"/>
    </row>
    <row r="9" spans="1:14" ht="22.95" customHeight="1" x14ac:dyDescent="0.4"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</row>
    <row r="10" spans="1:14" ht="22.95" customHeight="1" x14ac:dyDescent="0.4">
      <c r="B10" s="103" t="s">
        <v>409</v>
      </c>
      <c r="C10" s="103"/>
      <c r="D10" s="103" t="s">
        <v>410</v>
      </c>
      <c r="E10" s="104"/>
      <c r="F10" s="104" t="str">
        <f>IF(기초자료입력!$C$4="","",기초자료입력!$C$4&amp;" 공고 제20○○-00호")</f>
        <v>검증초등학교 공고 제20○○-00호</v>
      </c>
      <c r="G10" s="104"/>
      <c r="H10" s="104"/>
      <c r="I10" s="26" t="s">
        <v>411</v>
      </c>
      <c r="J10" s="104"/>
      <c r="K10" s="104"/>
      <c r="L10" s="104"/>
    </row>
    <row r="11" spans="1:14" ht="22.95" customHeight="1" x14ac:dyDescent="0.4">
      <c r="B11" s="103"/>
      <c r="C11" s="103"/>
      <c r="D11" s="104" t="s">
        <v>412</v>
      </c>
      <c r="E11" s="104"/>
      <c r="F11" s="104" t="str">
        <f>IF(OR(기초자료입력!$C$4="",기초자료입력!$C$5=""),"",기초자료입력!$C$4&amp;" "&amp;기초자료입력!$C$5&amp;"학년도 교복 학교주관 구매 입찰")</f>
        <v>검증초등학교 2026학년도 교복 학교주관 구매 입찰</v>
      </c>
      <c r="G11" s="104"/>
      <c r="H11" s="104"/>
      <c r="I11" s="104"/>
      <c r="J11" s="104"/>
      <c r="K11" s="104"/>
      <c r="L11" s="104"/>
    </row>
    <row r="12" spans="1:14" x14ac:dyDescent="0.4"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</row>
    <row r="13" spans="1:14" ht="40.049999999999997" customHeight="1" x14ac:dyDescent="0.4">
      <c r="B13" s="104" t="s">
        <v>413</v>
      </c>
      <c r="C13" s="104"/>
      <c r="D13" s="103" t="s">
        <v>414</v>
      </c>
      <c r="E13" s="103"/>
      <c r="F13" s="103"/>
      <c r="G13" s="103"/>
      <c r="H13" s="103"/>
      <c r="I13" s="103"/>
      <c r="J13" s="103"/>
      <c r="K13" s="103"/>
      <c r="L13" s="103"/>
    </row>
    <row r="14" spans="1:14" x14ac:dyDescent="0.4"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</row>
    <row r="15" spans="1:14" ht="22.05" customHeight="1" x14ac:dyDescent="0.4">
      <c r="B15" s="103" t="s">
        <v>415</v>
      </c>
      <c r="C15" s="103"/>
      <c r="D15" s="103" t="s">
        <v>416</v>
      </c>
      <c r="E15" s="103"/>
      <c r="F15" s="103"/>
      <c r="G15" s="103"/>
      <c r="H15" s="103"/>
      <c r="I15" s="103" t="s">
        <v>417</v>
      </c>
      <c r="J15" s="103"/>
      <c r="K15" s="103"/>
      <c r="L15" s="103"/>
    </row>
    <row r="16" spans="1:14" ht="22.05" customHeight="1" x14ac:dyDescent="0.4">
      <c r="B16" s="103"/>
      <c r="C16" s="103"/>
      <c r="D16" s="103"/>
      <c r="E16" s="103"/>
      <c r="F16" s="103"/>
      <c r="G16" s="103"/>
      <c r="H16" s="103"/>
      <c r="I16" s="103"/>
      <c r="J16" s="103"/>
      <c r="K16" s="103"/>
      <c r="L16" s="103"/>
    </row>
    <row r="17" spans="2:12" ht="22.05" customHeight="1" x14ac:dyDescent="0.4"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</row>
    <row r="18" spans="2:12" ht="22.05" customHeight="1" x14ac:dyDescent="0.4"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</row>
    <row r="19" spans="2:12" x14ac:dyDescent="0.4"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</row>
    <row r="20" spans="2:12" ht="42" customHeight="1" x14ac:dyDescent="0.4">
      <c r="B20" s="64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검증초등학교의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64"/>
      <c r="D20" s="64"/>
      <c r="E20" s="64"/>
      <c r="F20" s="64"/>
      <c r="G20" s="64"/>
      <c r="H20" s="64"/>
      <c r="I20" s="64"/>
      <c r="J20" s="64"/>
      <c r="K20" s="64"/>
      <c r="L20" s="64"/>
    </row>
    <row r="21" spans="2:12" x14ac:dyDescent="0.4">
      <c r="B21" s="105" t="s">
        <v>418</v>
      </c>
      <c r="C21" s="105"/>
      <c r="D21" s="105"/>
      <c r="E21" s="105"/>
      <c r="F21" s="105"/>
      <c r="G21" s="105"/>
      <c r="H21" s="105"/>
      <c r="I21" s="105"/>
      <c r="J21" s="105"/>
      <c r="K21" s="105"/>
      <c r="L21" s="105"/>
    </row>
    <row r="22" spans="2:12" x14ac:dyDescent="0.4"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</row>
    <row r="23" spans="2:12" x14ac:dyDescent="0.4">
      <c r="B23" s="105" t="str">
        <f>IF(OR(기초자료입력!$C$4="",기초자료입력!$C$5=""),"","20"&amp;RIGHT(기초자료입력!$C$5,2)&amp;". . .")</f>
        <v>2026. . .</v>
      </c>
      <c r="C23" s="105"/>
      <c r="D23" s="105"/>
      <c r="E23" s="105"/>
      <c r="F23" s="105"/>
      <c r="G23" s="105"/>
      <c r="H23" s="105"/>
      <c r="I23" s="105"/>
      <c r="J23" s="105"/>
      <c r="K23" s="105"/>
      <c r="L23" s="105"/>
    </row>
    <row r="24" spans="2:12" x14ac:dyDescent="0.4">
      <c r="B24" s="105" t="str">
        <f>"업체명: "&amp;IFERROR(IF(INDEX(기초자료입력!$B$44:$B$53,$N$3)=0,"",INDEX(기초자료입력!$B$44:$B$53,$N$3)),"")&amp;"                 대표자:                         (인)"</f>
        <v>업체명: 검증업체가                 대표자:                         (인)</v>
      </c>
      <c r="C24" s="105"/>
      <c r="D24" s="105"/>
      <c r="E24" s="105"/>
      <c r="F24" s="105"/>
      <c r="G24" s="105"/>
      <c r="H24" s="105"/>
      <c r="I24" s="105"/>
      <c r="J24" s="105"/>
      <c r="K24" s="105"/>
      <c r="L24" s="105"/>
    </row>
    <row r="25" spans="2:12" x14ac:dyDescent="0.4">
      <c r="B25" s="105" t="str">
        <f>IF(기초자료입력!$C$4="","○○○○학교장 귀하",기초자료입력!$C$4&amp;"장 귀하")</f>
        <v>검증초등학교장 귀하</v>
      </c>
      <c r="C25" s="105"/>
      <c r="D25" s="105"/>
      <c r="E25" s="105"/>
      <c r="F25" s="105"/>
      <c r="G25" s="105"/>
      <c r="H25" s="105"/>
      <c r="I25" s="105"/>
      <c r="J25" s="105"/>
      <c r="K25" s="105"/>
      <c r="L25" s="105"/>
    </row>
  </sheetData>
  <mergeCells count="28"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  <mergeCell ref="B10:C11"/>
    <mergeCell ref="D10:E10"/>
    <mergeCell ref="F10:H10"/>
    <mergeCell ref="J10:L10"/>
    <mergeCell ref="D11:E11"/>
    <mergeCell ref="F11:L11"/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F2644-0CA6-4A97-8CB4-3A8A6BE31CC6}">
  <sheetPr codeName="Sheet20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388</v>
      </c>
    </row>
    <row r="2" spans="1:9" x14ac:dyDescent="0.4">
      <c r="I2" s="33" t="s">
        <v>311</v>
      </c>
    </row>
    <row r="3" spans="1:9" x14ac:dyDescent="0.4">
      <c r="B3" s="106" t="s">
        <v>389</v>
      </c>
      <c r="C3" s="107"/>
      <c r="D3" s="107"/>
      <c r="E3" s="107"/>
      <c r="F3" s="107"/>
      <c r="I3">
        <v>1</v>
      </c>
    </row>
    <row r="4" spans="1:9" ht="28.05" customHeight="1" x14ac:dyDescent="0.4">
      <c r="B4" s="64" t="s">
        <v>390</v>
      </c>
      <c r="C4" s="64"/>
      <c r="D4" s="64"/>
      <c r="E4" s="64"/>
      <c r="F4" s="64"/>
    </row>
    <row r="5" spans="1:9" x14ac:dyDescent="0.4">
      <c r="B5" s="26" t="s">
        <v>60</v>
      </c>
      <c r="C5" s="108" t="str">
        <f>IFERROR(IF(INDEX(기초자료입력!$B$44:$B$53,$I$3)=0,"",INDEX(기초자료입력!$B$44:$B$53,$I$3)),"")</f>
        <v>검증업체가</v>
      </c>
      <c r="D5" s="108"/>
      <c r="E5" s="108"/>
      <c r="F5" s="104"/>
    </row>
    <row r="6" spans="1:9" x14ac:dyDescent="0.4">
      <c r="B6" s="28"/>
      <c r="C6" s="28"/>
      <c r="D6" s="28"/>
      <c r="E6" s="28"/>
      <c r="F6" s="28"/>
    </row>
    <row r="7" spans="1:9" x14ac:dyDescent="0.4">
      <c r="B7" s="29" t="s">
        <v>300</v>
      </c>
      <c r="C7" s="29" t="s">
        <v>81</v>
      </c>
      <c r="D7" s="29" t="s">
        <v>301</v>
      </c>
      <c r="E7" s="29" t="s">
        <v>82</v>
      </c>
      <c r="F7" s="29" t="s">
        <v>391</v>
      </c>
    </row>
    <row r="8" spans="1:9" ht="22.05" customHeight="1" x14ac:dyDescent="0.4">
      <c r="B8" s="103" t="s">
        <v>316</v>
      </c>
      <c r="C8" s="83" t="s">
        <v>392</v>
      </c>
      <c r="D8" s="30" t="s">
        <v>318</v>
      </c>
      <c r="E8" s="26">
        <v>10</v>
      </c>
      <c r="F8" s="104">
        <f>IFERROR(IF(INDEX(기초자료입력!$B$44:$B$53,$I$3)=0,"",INDEX(기초자료입력!$N$44:$N$53,$I$3)),"")</f>
        <v>0</v>
      </c>
    </row>
    <row r="9" spans="1:9" ht="22.05" customHeight="1" x14ac:dyDescent="0.4">
      <c r="B9" s="103"/>
      <c r="C9" s="83"/>
      <c r="D9" s="30" t="s">
        <v>319</v>
      </c>
      <c r="E9" s="26">
        <v>8</v>
      </c>
      <c r="F9" s="104"/>
    </row>
    <row r="10" spans="1:9" ht="22.05" customHeight="1" x14ac:dyDescent="0.4">
      <c r="B10" s="103"/>
      <c r="C10" s="83"/>
      <c r="D10" s="30" t="s">
        <v>393</v>
      </c>
      <c r="E10" s="26">
        <v>6</v>
      </c>
      <c r="F10" s="104"/>
    </row>
    <row r="11" spans="1:9" ht="22.05" customHeight="1" x14ac:dyDescent="0.4">
      <c r="B11" s="103"/>
      <c r="C11" s="83"/>
      <c r="D11" s="30" t="s">
        <v>321</v>
      </c>
      <c r="E11" s="26">
        <v>4</v>
      </c>
      <c r="F11" s="104"/>
    </row>
    <row r="12" spans="1:9" ht="22.05" customHeight="1" x14ac:dyDescent="0.4">
      <c r="B12" s="103"/>
      <c r="C12" s="83" t="s">
        <v>394</v>
      </c>
      <c r="D12" s="30" t="s">
        <v>323</v>
      </c>
      <c r="E12" s="26">
        <v>10</v>
      </c>
      <c r="F12" s="104">
        <f>IFERROR(IF(INDEX(기초자료입력!$B$44:$B$53,$I$3)=0,"",INDEX(기초자료입력!$O$44:$O$53,$I$3)),"")</f>
        <v>0</v>
      </c>
    </row>
    <row r="13" spans="1:9" ht="22.05" customHeight="1" x14ac:dyDescent="0.4">
      <c r="B13" s="103"/>
      <c r="C13" s="83"/>
      <c r="D13" s="30" t="s">
        <v>324</v>
      </c>
      <c r="E13" s="26">
        <v>8</v>
      </c>
      <c r="F13" s="104"/>
    </row>
    <row r="14" spans="1:9" ht="22.05" customHeight="1" x14ac:dyDescent="0.4">
      <c r="B14" s="103"/>
      <c r="C14" s="83"/>
      <c r="D14" s="30" t="s">
        <v>325</v>
      </c>
      <c r="E14" s="26">
        <v>5</v>
      </c>
      <c r="F14" s="104"/>
    </row>
    <row r="15" spans="1:9" ht="22.05" customHeight="1" x14ac:dyDescent="0.4">
      <c r="B15" s="103"/>
      <c r="C15" s="83" t="s">
        <v>395</v>
      </c>
      <c r="D15" s="30" t="s">
        <v>327</v>
      </c>
      <c r="E15" s="26">
        <v>15</v>
      </c>
      <c r="F15" s="104">
        <f>IFERROR(IF(INDEX(기초자료입력!$B$44:$B$53,$I$3)=0,"",INDEX(기초자료입력!$P$44:$P$53,$I$3)),"")</f>
        <v>0</v>
      </c>
    </row>
    <row r="16" spans="1:9" ht="22.05" customHeight="1" x14ac:dyDescent="0.4">
      <c r="B16" s="103"/>
      <c r="C16" s="83"/>
      <c r="D16" s="30" t="s">
        <v>396</v>
      </c>
      <c r="E16" s="26">
        <v>12</v>
      </c>
      <c r="F16" s="104"/>
    </row>
    <row r="17" spans="2:6" ht="22.05" customHeight="1" x14ac:dyDescent="0.4">
      <c r="B17" s="103"/>
      <c r="C17" s="83"/>
      <c r="D17" s="30" t="s">
        <v>397</v>
      </c>
      <c r="E17" s="26">
        <v>9</v>
      </c>
      <c r="F17" s="104"/>
    </row>
    <row r="18" spans="2:6" ht="22.05" customHeight="1" x14ac:dyDescent="0.4">
      <c r="B18" s="103"/>
      <c r="C18" s="83"/>
      <c r="D18" s="30" t="s">
        <v>398</v>
      </c>
      <c r="E18" s="26">
        <v>5</v>
      </c>
      <c r="F18" s="104"/>
    </row>
    <row r="19" spans="2:6" ht="22.05" customHeight="1" x14ac:dyDescent="0.4">
      <c r="B19" s="103"/>
      <c r="C19" s="83" t="s">
        <v>331</v>
      </c>
      <c r="D19" s="30" t="s">
        <v>332</v>
      </c>
      <c r="E19" s="26">
        <v>15</v>
      </c>
      <c r="F19" s="104">
        <f>IFERROR(IF(INDEX(기초자료입력!$B$44:$B$53,$I$3)=0,"",INDEX(기초자료입력!$Q$44:$Q$53,$I$3)),"")</f>
        <v>0</v>
      </c>
    </row>
    <row r="20" spans="2:6" ht="22.05" customHeight="1" x14ac:dyDescent="0.4">
      <c r="B20" s="103"/>
      <c r="C20" s="83"/>
      <c r="D20" s="30" t="s">
        <v>333</v>
      </c>
      <c r="E20" s="26">
        <v>0</v>
      </c>
      <c r="F20" s="104"/>
    </row>
    <row r="21" spans="2:6" x14ac:dyDescent="0.4">
      <c r="B21" s="84" t="s">
        <v>268</v>
      </c>
      <c r="C21" s="109"/>
      <c r="D21" s="109" t="s">
        <v>334</v>
      </c>
      <c r="E21" s="84"/>
      <c r="F21" s="29">
        <f>IF(OR(F8="",F12="",F15="",F19=""),"",F8+F12+F15+F19)</f>
        <v>0</v>
      </c>
    </row>
    <row r="22" spans="2:6" x14ac:dyDescent="0.4">
      <c r="B22" s="28"/>
      <c r="C22" s="28"/>
      <c r="D22" s="28"/>
      <c r="E22" s="28"/>
      <c r="F22" s="28"/>
    </row>
    <row r="23" spans="2:6" ht="28.05" customHeight="1" x14ac:dyDescent="0.4">
      <c r="B23" s="64" t="s">
        <v>399</v>
      </c>
      <c r="C23" s="64"/>
      <c r="D23" s="64"/>
      <c r="E23" s="64"/>
      <c r="F23" s="64"/>
    </row>
    <row r="24" spans="2:6" x14ac:dyDescent="0.4">
      <c r="B24" s="28"/>
      <c r="C24" s="28"/>
      <c r="D24" s="28"/>
      <c r="E24" s="28"/>
      <c r="F24" s="28"/>
    </row>
    <row r="25" spans="2:6" x14ac:dyDescent="0.4">
      <c r="B25" s="105" t="str">
        <f>"업체명: "&amp;IFERROR(IF(INDEX(기초자료입력!$B$44:$B$53,$I$3)=0,"",INDEX(기초자료입력!$B$44:$B$53,$I$3)),"")&amp;"     작성자:                         대표자:                         (인)"</f>
        <v>업체명: 검증업체가     작성자:                         대표자:                         (인)</v>
      </c>
      <c r="C25" s="105"/>
      <c r="D25" s="105"/>
      <c r="E25" s="105"/>
      <c r="F25" s="105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67EF7-9BA8-450F-8B2A-79838B9C6BC6}">
  <sheetPr codeName="Sheet21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353</v>
      </c>
    </row>
    <row r="2" spans="1:7" x14ac:dyDescent="0.4">
      <c r="G2" s="33" t="s">
        <v>311</v>
      </c>
    </row>
    <row r="3" spans="1:7" x14ac:dyDescent="0.4">
      <c r="B3" s="110" t="str">
        <f>IF(기초자료입력!C5&lt;&gt;"",기초자료입력!C5,"20○○")&amp;"년도 신입생 교복 제출서류 자기확인서"</f>
        <v>2026년도 신입생 교복 제출서류 자기확인서</v>
      </c>
      <c r="C3" s="111"/>
      <c r="D3" s="111"/>
      <c r="E3" s="111"/>
      <c r="G3">
        <v>1</v>
      </c>
    </row>
    <row r="4" spans="1:7" x14ac:dyDescent="0.4">
      <c r="B4" s="36"/>
      <c r="C4" s="36"/>
      <c r="D4" s="36"/>
      <c r="E4" s="36"/>
    </row>
    <row r="5" spans="1:7" ht="19.95" customHeight="1" x14ac:dyDescent="0.4">
      <c r="B5" s="101" t="s">
        <v>354</v>
      </c>
      <c r="C5" s="101"/>
      <c r="D5" s="101"/>
      <c r="E5" s="101"/>
    </row>
    <row r="6" spans="1:7" x14ac:dyDescent="0.4">
      <c r="B6" s="36"/>
      <c r="C6" s="36"/>
      <c r="D6" s="36"/>
      <c r="E6" s="36"/>
    </row>
    <row r="7" spans="1:7" ht="24" customHeight="1" x14ac:dyDescent="0.4">
      <c r="B7" s="37" t="s">
        <v>60</v>
      </c>
      <c r="C7" s="37" t="s">
        <v>355</v>
      </c>
      <c r="D7" s="37" t="s">
        <v>356</v>
      </c>
      <c r="E7" s="37" t="s">
        <v>357</v>
      </c>
    </row>
    <row r="8" spans="1:7" ht="19.95" customHeight="1" x14ac:dyDescent="0.4">
      <c r="B8" s="38" t="str">
        <f>IFERROR(IF(INDEX(기초자료입력!$B$44:$B$53,$G$3)=0,"",INDEX(기초자료입력!$B$44:$B$53,$G$3)),"")</f>
        <v>검증업체가</v>
      </c>
      <c r="C8" s="39"/>
      <c r="D8" s="39"/>
      <c r="E8" s="38"/>
    </row>
    <row r="9" spans="1:7" x14ac:dyDescent="0.4">
      <c r="B9" s="40"/>
      <c r="C9" s="41"/>
      <c r="D9" s="41"/>
      <c r="E9" s="40"/>
    </row>
    <row r="10" spans="1:7" ht="24" customHeight="1" x14ac:dyDescent="0.4">
      <c r="B10" s="37" t="s">
        <v>358</v>
      </c>
      <c r="C10" s="37" t="s">
        <v>55</v>
      </c>
      <c r="D10" s="37" t="s">
        <v>359</v>
      </c>
      <c r="E10" s="37" t="s">
        <v>360</v>
      </c>
    </row>
    <row r="11" spans="1:7" ht="16.05" customHeight="1" x14ac:dyDescent="0.4">
      <c r="B11" s="42" t="s">
        <v>361</v>
      </c>
      <c r="C11" s="43" t="s">
        <v>362</v>
      </c>
      <c r="D11" s="43"/>
      <c r="E11" s="42"/>
    </row>
    <row r="12" spans="1:7" ht="16.05" customHeight="1" x14ac:dyDescent="0.4">
      <c r="B12" s="42" t="s">
        <v>363</v>
      </c>
      <c r="C12" s="43" t="s">
        <v>362</v>
      </c>
      <c r="D12" s="43"/>
      <c r="E12" s="42"/>
    </row>
    <row r="13" spans="1:7" ht="16.05" customHeight="1" x14ac:dyDescent="0.4">
      <c r="B13" s="42" t="s">
        <v>364</v>
      </c>
      <c r="C13" s="43" t="s">
        <v>362</v>
      </c>
      <c r="D13" s="43"/>
      <c r="E13" s="42"/>
    </row>
    <row r="14" spans="1:7" ht="16.05" customHeight="1" x14ac:dyDescent="0.4">
      <c r="B14" s="42" t="s">
        <v>365</v>
      </c>
      <c r="C14" s="43" t="s">
        <v>362</v>
      </c>
      <c r="D14" s="43"/>
      <c r="E14" s="42" t="s">
        <v>366</v>
      </c>
    </row>
    <row r="15" spans="1:7" ht="16.05" customHeight="1" x14ac:dyDescent="0.4">
      <c r="B15" s="42" t="s">
        <v>367</v>
      </c>
      <c r="C15" s="43" t="s">
        <v>362</v>
      </c>
      <c r="D15" s="43"/>
      <c r="E15" s="42"/>
    </row>
    <row r="16" spans="1:7" ht="16.05" customHeight="1" x14ac:dyDescent="0.4">
      <c r="B16" s="42" t="s">
        <v>368</v>
      </c>
      <c r="C16" s="43" t="s">
        <v>362</v>
      </c>
      <c r="D16" s="43"/>
      <c r="E16" s="42"/>
    </row>
    <row r="17" spans="2:5" ht="16.05" customHeight="1" x14ac:dyDescent="0.4">
      <c r="B17" s="42" t="s">
        <v>369</v>
      </c>
      <c r="C17" s="43" t="s">
        <v>362</v>
      </c>
      <c r="D17" s="43"/>
      <c r="E17" s="42"/>
    </row>
    <row r="18" spans="2:5" ht="16.05" customHeight="1" x14ac:dyDescent="0.4">
      <c r="B18" s="42" t="s">
        <v>370</v>
      </c>
      <c r="C18" s="43" t="s">
        <v>362</v>
      </c>
      <c r="D18" s="43"/>
      <c r="E18" s="42"/>
    </row>
    <row r="19" spans="2:5" ht="16.05" customHeight="1" x14ac:dyDescent="0.4">
      <c r="B19" s="42" t="s">
        <v>371</v>
      </c>
      <c r="C19" s="43" t="s">
        <v>362</v>
      </c>
      <c r="D19" s="43"/>
      <c r="E19" s="42"/>
    </row>
    <row r="20" spans="2:5" ht="16.05" customHeight="1" x14ac:dyDescent="0.4">
      <c r="B20" s="42" t="s">
        <v>372</v>
      </c>
      <c r="C20" s="43" t="s">
        <v>362</v>
      </c>
      <c r="D20" s="43"/>
      <c r="E20" s="42"/>
    </row>
    <row r="21" spans="2:5" ht="16.05" customHeight="1" x14ac:dyDescent="0.4">
      <c r="B21" s="42" t="s">
        <v>373</v>
      </c>
      <c r="C21" s="43" t="s">
        <v>362</v>
      </c>
      <c r="D21" s="43"/>
      <c r="E21" s="42"/>
    </row>
    <row r="22" spans="2:5" ht="24" customHeight="1" x14ac:dyDescent="0.4">
      <c r="B22" s="42" t="s">
        <v>374</v>
      </c>
      <c r="C22" s="43" t="s">
        <v>362</v>
      </c>
      <c r="D22" s="43"/>
      <c r="E22" s="42" t="s">
        <v>375</v>
      </c>
    </row>
    <row r="23" spans="2:5" ht="16.05" customHeight="1" x14ac:dyDescent="0.4">
      <c r="B23" s="42" t="s">
        <v>376</v>
      </c>
      <c r="C23" s="43" t="s">
        <v>377</v>
      </c>
      <c r="D23" s="43"/>
      <c r="E23" s="42" t="s">
        <v>378</v>
      </c>
    </row>
    <row r="24" spans="2:5" ht="16.05" customHeight="1" x14ac:dyDescent="0.4">
      <c r="B24" s="42" t="s">
        <v>379</v>
      </c>
      <c r="C24" s="43" t="s">
        <v>377</v>
      </c>
      <c r="D24" s="43"/>
      <c r="E24" s="42" t="s">
        <v>378</v>
      </c>
    </row>
    <row r="25" spans="2:5" ht="16.05" customHeight="1" x14ac:dyDescent="0.4">
      <c r="B25" s="42" t="s">
        <v>380</v>
      </c>
      <c r="C25" s="43" t="s">
        <v>377</v>
      </c>
      <c r="D25" s="43"/>
      <c r="E25" s="42" t="s">
        <v>378</v>
      </c>
    </row>
    <row r="26" spans="2:5" ht="16.05" customHeight="1" x14ac:dyDescent="0.4">
      <c r="B26" s="42" t="s">
        <v>381</v>
      </c>
      <c r="C26" s="43" t="s">
        <v>377</v>
      </c>
      <c r="D26" s="43"/>
      <c r="E26" s="42" t="s">
        <v>378</v>
      </c>
    </row>
    <row r="27" spans="2:5" ht="16.05" customHeight="1" x14ac:dyDescent="0.4">
      <c r="B27" s="42" t="s">
        <v>382</v>
      </c>
      <c r="C27" s="43" t="s">
        <v>377</v>
      </c>
      <c r="D27" s="43"/>
      <c r="E27" s="42" t="s">
        <v>378</v>
      </c>
    </row>
    <row r="28" spans="2:5" ht="16.05" customHeight="1" x14ac:dyDescent="0.4">
      <c r="B28" s="42" t="s">
        <v>383</v>
      </c>
      <c r="C28" s="43" t="s">
        <v>377</v>
      </c>
      <c r="D28" s="43"/>
      <c r="E28" s="42" t="s">
        <v>378</v>
      </c>
    </row>
    <row r="29" spans="2:5" ht="16.05" customHeight="1" x14ac:dyDescent="0.4">
      <c r="B29" s="42" t="s">
        <v>384</v>
      </c>
      <c r="C29" s="43" t="s">
        <v>377</v>
      </c>
      <c r="D29" s="43"/>
      <c r="E29" s="42" t="s">
        <v>378</v>
      </c>
    </row>
    <row r="30" spans="2:5" ht="16.05" customHeight="1" x14ac:dyDescent="0.4">
      <c r="B30" s="42" t="s">
        <v>385</v>
      </c>
      <c r="C30" s="43" t="s">
        <v>386</v>
      </c>
      <c r="D30" s="43"/>
      <c r="E30" s="42" t="s">
        <v>387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0B9BF-83F2-422A-8246-B7C3AC952AF9}">
  <sheetPr codeName="Sheet22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336</v>
      </c>
    </row>
    <row r="2" spans="1:9" x14ac:dyDescent="0.4">
      <c r="I2" s="33" t="s">
        <v>311</v>
      </c>
    </row>
    <row r="3" spans="1:9" x14ac:dyDescent="0.4">
      <c r="B3" s="106" t="s">
        <v>337</v>
      </c>
      <c r="C3" s="107"/>
      <c r="D3" s="107"/>
      <c r="E3" s="107"/>
      <c r="F3" s="107"/>
      <c r="I3">
        <v>1</v>
      </c>
    </row>
    <row r="4" spans="1:9" x14ac:dyDescent="0.4">
      <c r="B4" s="106" t="s">
        <v>338</v>
      </c>
      <c r="C4" s="107"/>
      <c r="D4" s="107"/>
      <c r="E4" s="107"/>
      <c r="F4" s="107"/>
    </row>
    <row r="5" spans="1:9" x14ac:dyDescent="0.4">
      <c r="B5" s="34" t="s">
        <v>87</v>
      </c>
      <c r="C5" s="34" t="str">
        <f>IF(기초자료입력!C4&lt;&gt;"",기초자료입력!C4,"")</f>
        <v>검증초등학교</v>
      </c>
      <c r="D5" s="34" t="s">
        <v>88</v>
      </c>
      <c r="E5" s="34">
        <f>IF(기초자료입력!C5&lt;&gt;"",기초자료입력!C5,"")</f>
        <v>2026</v>
      </c>
      <c r="F5" s="34" t="s">
        <v>339</v>
      </c>
    </row>
    <row r="6" spans="1:9" x14ac:dyDescent="0.4">
      <c r="B6" s="107" t="str">
        <f>IFERROR(INDEX(기초자료입력!$B$44:$B$53,I3),"")</f>
        <v>검증업체가</v>
      </c>
      <c r="C6" s="107"/>
      <c r="D6" s="107"/>
      <c r="E6" s="107"/>
      <c r="F6" s="107"/>
    </row>
    <row r="7" spans="1:9" ht="24" customHeight="1" x14ac:dyDescent="0.4">
      <c r="B7" s="64" t="s">
        <v>315</v>
      </c>
      <c r="C7" s="64"/>
      <c r="D7" s="64"/>
      <c r="E7" s="64"/>
      <c r="F7" s="64"/>
    </row>
    <row r="8" spans="1:9" x14ac:dyDescent="0.4">
      <c r="B8" s="29" t="s">
        <v>300</v>
      </c>
      <c r="C8" s="29" t="s">
        <v>81</v>
      </c>
      <c r="D8" s="29" t="s">
        <v>301</v>
      </c>
      <c r="E8" s="29" t="s">
        <v>82</v>
      </c>
      <c r="F8" s="29" t="s">
        <v>302</v>
      </c>
    </row>
    <row r="9" spans="1:9" ht="45" customHeight="1" x14ac:dyDescent="0.4">
      <c r="B9" s="103" t="s">
        <v>340</v>
      </c>
      <c r="C9" s="26" t="s">
        <v>341</v>
      </c>
      <c r="D9" s="30" t="s">
        <v>342</v>
      </c>
      <c r="E9" s="26">
        <v>15</v>
      </c>
      <c r="F9" s="26">
        <f>IFERROR(INDEX(기초자료입력!$H$44:$H$53,I3),"")</f>
        <v>0</v>
      </c>
    </row>
    <row r="10" spans="1:9" ht="45" customHeight="1" x14ac:dyDescent="0.4">
      <c r="B10" s="103"/>
      <c r="C10" s="26" t="s">
        <v>343</v>
      </c>
      <c r="D10" s="30" t="s">
        <v>344</v>
      </c>
      <c r="E10" s="26">
        <v>10</v>
      </c>
      <c r="F10" s="26">
        <f>IFERROR(INDEX(기초자료입력!$I$44:$I$53,I3),"")</f>
        <v>0</v>
      </c>
    </row>
    <row r="11" spans="1:9" ht="45" customHeight="1" x14ac:dyDescent="0.4">
      <c r="B11" s="103"/>
      <c r="C11" s="26" t="s">
        <v>345</v>
      </c>
      <c r="D11" s="30" t="s">
        <v>346</v>
      </c>
      <c r="E11" s="26">
        <v>15</v>
      </c>
      <c r="F11" s="26">
        <f>IFERROR(INDEX(기초자료입력!$J$44:$J$53,I3),"")</f>
        <v>0</v>
      </c>
    </row>
    <row r="12" spans="1:9" ht="45" customHeight="1" x14ac:dyDescent="0.4">
      <c r="B12" s="103"/>
      <c r="C12" s="26" t="s">
        <v>347</v>
      </c>
      <c r="D12" s="30" t="s">
        <v>348</v>
      </c>
      <c r="E12" s="26">
        <v>10</v>
      </c>
      <c r="F12" s="26">
        <f>IFERROR(INDEX(기초자료입력!$K$44:$K$53,I3),"")</f>
        <v>0</v>
      </c>
    </row>
    <row r="13" spans="1:9" ht="45" customHeight="1" x14ac:dyDescent="0.4">
      <c r="B13" s="103"/>
      <c r="C13" s="26" t="s">
        <v>349</v>
      </c>
      <c r="D13" s="30" t="s">
        <v>350</v>
      </c>
      <c r="E13" s="26" t="s">
        <v>351</v>
      </c>
      <c r="F13" s="26">
        <f>IFERROR(INDEX(기초자료입력!$L$44:$L$53,I3),"")</f>
        <v>0</v>
      </c>
    </row>
    <row r="14" spans="1:9" x14ac:dyDescent="0.4">
      <c r="B14" s="109" t="s">
        <v>268</v>
      </c>
      <c r="C14" s="109"/>
      <c r="D14" s="109" t="s">
        <v>334</v>
      </c>
      <c r="E14" s="84"/>
      <c r="F14" s="29">
        <f>IF(OR(F9="",F10="",F11="",F12="",F13=""),"",F9+F10+F11+F12+F13)</f>
        <v>0</v>
      </c>
    </row>
    <row r="15" spans="1:9" x14ac:dyDescent="0.4">
      <c r="B15" s="35"/>
      <c r="C15" s="35"/>
      <c r="D15" s="35"/>
      <c r="E15" s="35"/>
      <c r="F15" s="35"/>
    </row>
    <row r="16" spans="1:9" ht="30" customHeight="1" x14ac:dyDescent="0.4">
      <c r="B16" s="64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2026학년도 검증초등학교 교복 학교주관 교복 구매업체 선정을 위한 제시된 항목에 따라 객관적이고 공정하게 심사할 것을 약속합니다.</v>
      </c>
      <c r="C16" s="64"/>
      <c r="D16" s="64"/>
      <c r="E16" s="64"/>
      <c r="F16" s="64"/>
    </row>
    <row r="17" spans="2:6" x14ac:dyDescent="0.4">
      <c r="B17" s="107" t="s">
        <v>293</v>
      </c>
      <c r="C17" s="107"/>
      <c r="D17" s="107"/>
      <c r="E17" s="107"/>
      <c r="F17" s="107"/>
    </row>
    <row r="18" spans="2:6" x14ac:dyDescent="0.4">
      <c r="B18" s="107" t="s">
        <v>352</v>
      </c>
      <c r="C18" s="107"/>
      <c r="D18" s="107"/>
      <c r="E18" s="107"/>
      <c r="F18" s="107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7A106-D68C-4968-8A30-3A3651AC54D4}">
  <sheetPr codeName="Sheet23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310</v>
      </c>
    </row>
    <row r="2" spans="1:9" x14ac:dyDescent="0.4">
      <c r="I2" s="33" t="s">
        <v>311</v>
      </c>
    </row>
    <row r="3" spans="1:9" x14ac:dyDescent="0.4">
      <c r="B3" s="106" t="s">
        <v>312</v>
      </c>
      <c r="C3" s="107"/>
      <c r="D3" s="107"/>
      <c r="E3" s="107"/>
      <c r="F3" s="107"/>
      <c r="G3" s="107"/>
      <c r="I3">
        <v>1</v>
      </c>
    </row>
    <row r="4" spans="1:9" x14ac:dyDescent="0.4">
      <c r="B4" s="106" t="s">
        <v>313</v>
      </c>
      <c r="C4" s="107"/>
      <c r="D4" s="107"/>
      <c r="E4" s="107"/>
      <c r="F4" s="107"/>
      <c r="G4" s="107"/>
    </row>
    <row r="5" spans="1:9" x14ac:dyDescent="0.4">
      <c r="B5" s="34" t="s">
        <v>87</v>
      </c>
      <c r="C5" s="34" t="str">
        <f>IF(기초자료입력!C4&lt;&gt;"",기초자료입력!C4,"")</f>
        <v>검증초등학교</v>
      </c>
      <c r="D5" s="34" t="s">
        <v>88</v>
      </c>
      <c r="E5" s="34">
        <f>IF(기초자료입력!C5&lt;&gt;"",기초자료입력!C5,"")</f>
        <v>2026</v>
      </c>
      <c r="F5" s="34" t="s">
        <v>314</v>
      </c>
      <c r="G5" s="34" t="str">
        <f>IFERROR(INDEX(기초자료입력!$B$44:$B$53,I3),"")</f>
        <v>검증업체가</v>
      </c>
    </row>
    <row r="6" spans="1:9" ht="24" customHeight="1" x14ac:dyDescent="0.4">
      <c r="B6" s="64" t="s">
        <v>315</v>
      </c>
      <c r="C6" s="64"/>
      <c r="D6" s="64"/>
      <c r="E6" s="64"/>
      <c r="F6" s="64"/>
      <c r="G6" s="64"/>
    </row>
    <row r="7" spans="1:9" x14ac:dyDescent="0.4">
      <c r="B7" s="35"/>
      <c r="C7" s="35"/>
      <c r="D7" s="35"/>
      <c r="E7" s="35"/>
      <c r="F7" s="35"/>
      <c r="G7" s="35"/>
    </row>
    <row r="8" spans="1:9" x14ac:dyDescent="0.4">
      <c r="B8" s="29" t="s">
        <v>300</v>
      </c>
      <c r="C8" s="29" t="s">
        <v>81</v>
      </c>
      <c r="D8" s="29" t="s">
        <v>301</v>
      </c>
      <c r="E8" s="29" t="s">
        <v>82</v>
      </c>
      <c r="F8" s="29" t="s">
        <v>302</v>
      </c>
      <c r="G8" s="34"/>
    </row>
    <row r="9" spans="1:9" ht="22.05" customHeight="1" x14ac:dyDescent="0.4">
      <c r="B9" s="103" t="s">
        <v>316</v>
      </c>
      <c r="C9" s="83" t="s">
        <v>317</v>
      </c>
      <c r="D9" s="30" t="s">
        <v>318</v>
      </c>
      <c r="E9" s="26">
        <v>10</v>
      </c>
      <c r="F9" s="104">
        <f>IFERROR(INDEX(기초자료입력!$C$44:$C$53,I3),"")</f>
        <v>0</v>
      </c>
      <c r="G9" s="27"/>
    </row>
    <row r="10" spans="1:9" ht="22.05" customHeight="1" x14ac:dyDescent="0.4">
      <c r="B10" s="103"/>
      <c r="C10" s="83"/>
      <c r="D10" s="30" t="s">
        <v>319</v>
      </c>
      <c r="E10" s="26">
        <v>8</v>
      </c>
      <c r="F10" s="104"/>
      <c r="G10" s="27"/>
    </row>
    <row r="11" spans="1:9" ht="22.05" customHeight="1" x14ac:dyDescent="0.4">
      <c r="B11" s="103"/>
      <c r="C11" s="83"/>
      <c r="D11" s="30" t="s">
        <v>320</v>
      </c>
      <c r="E11" s="26">
        <v>6</v>
      </c>
      <c r="F11" s="104"/>
      <c r="G11" s="27"/>
    </row>
    <row r="12" spans="1:9" ht="22.05" customHeight="1" x14ac:dyDescent="0.4">
      <c r="B12" s="103"/>
      <c r="C12" s="83"/>
      <c r="D12" s="30" t="s">
        <v>321</v>
      </c>
      <c r="E12" s="26">
        <v>4</v>
      </c>
      <c r="F12" s="104"/>
      <c r="G12" s="27"/>
    </row>
    <row r="13" spans="1:9" ht="22.05" customHeight="1" x14ac:dyDescent="0.4">
      <c r="B13" s="103"/>
      <c r="C13" s="83" t="s">
        <v>322</v>
      </c>
      <c r="D13" s="30" t="s">
        <v>323</v>
      </c>
      <c r="E13" s="26">
        <v>10</v>
      </c>
      <c r="F13" s="104">
        <f>IFERROR(INDEX(기초자료입력!$D$44:$D$53,I3),"")</f>
        <v>0</v>
      </c>
      <c r="G13" s="27"/>
    </row>
    <row r="14" spans="1:9" ht="22.05" customHeight="1" x14ac:dyDescent="0.4">
      <c r="B14" s="103"/>
      <c r="C14" s="83"/>
      <c r="D14" s="30" t="s">
        <v>324</v>
      </c>
      <c r="E14" s="26">
        <v>8</v>
      </c>
      <c r="F14" s="104"/>
      <c r="G14" s="27"/>
    </row>
    <row r="15" spans="1:9" ht="22.05" customHeight="1" x14ac:dyDescent="0.4">
      <c r="B15" s="103"/>
      <c r="C15" s="83"/>
      <c r="D15" s="30" t="s">
        <v>325</v>
      </c>
      <c r="E15" s="26">
        <v>5</v>
      </c>
      <c r="F15" s="104"/>
      <c r="G15" s="27"/>
    </row>
    <row r="16" spans="1:9" ht="22.05" customHeight="1" x14ac:dyDescent="0.4">
      <c r="B16" s="103"/>
      <c r="C16" s="83" t="s">
        <v>326</v>
      </c>
      <c r="D16" s="30" t="s">
        <v>327</v>
      </c>
      <c r="E16" s="26">
        <v>15</v>
      </c>
      <c r="F16" s="104">
        <f>IFERROR(INDEX(기초자료입력!$E$44:$E$53,I3),"")</f>
        <v>0</v>
      </c>
      <c r="G16" s="27"/>
    </row>
    <row r="17" spans="2:7" ht="22.05" customHeight="1" x14ac:dyDescent="0.4">
      <c r="B17" s="103"/>
      <c r="C17" s="83"/>
      <c r="D17" s="30" t="s">
        <v>328</v>
      </c>
      <c r="E17" s="26">
        <v>12</v>
      </c>
      <c r="F17" s="104"/>
      <c r="G17" s="27"/>
    </row>
    <row r="18" spans="2:7" ht="22.05" customHeight="1" x14ac:dyDescent="0.4">
      <c r="B18" s="103"/>
      <c r="C18" s="83"/>
      <c r="D18" s="30" t="s">
        <v>329</v>
      </c>
      <c r="E18" s="26">
        <v>9</v>
      </c>
      <c r="F18" s="104"/>
      <c r="G18" s="27"/>
    </row>
    <row r="19" spans="2:7" ht="22.05" customHeight="1" x14ac:dyDescent="0.4">
      <c r="B19" s="103"/>
      <c r="C19" s="83"/>
      <c r="D19" s="30" t="s">
        <v>330</v>
      </c>
      <c r="E19" s="26">
        <v>5</v>
      </c>
      <c r="F19" s="104"/>
      <c r="G19" s="27"/>
    </row>
    <row r="20" spans="2:7" ht="22.05" customHeight="1" x14ac:dyDescent="0.4">
      <c r="B20" s="103"/>
      <c r="C20" s="83" t="s">
        <v>331</v>
      </c>
      <c r="D20" s="30" t="s">
        <v>332</v>
      </c>
      <c r="E20" s="26">
        <v>15</v>
      </c>
      <c r="F20" s="104">
        <f>IFERROR(INDEX(기초자료입력!$F$44:$F$53,I3),"")</f>
        <v>0</v>
      </c>
      <c r="G20" s="27"/>
    </row>
    <row r="21" spans="2:7" ht="22.05" customHeight="1" x14ac:dyDescent="0.4">
      <c r="B21" s="103"/>
      <c r="C21" s="83"/>
      <c r="D21" s="30" t="s">
        <v>333</v>
      </c>
      <c r="E21" s="26">
        <v>0</v>
      </c>
      <c r="F21" s="104"/>
      <c r="G21" s="27"/>
    </row>
    <row r="22" spans="2:7" x14ac:dyDescent="0.4">
      <c r="B22" s="84" t="s">
        <v>268</v>
      </c>
      <c r="C22" s="109"/>
      <c r="D22" s="109" t="s">
        <v>334</v>
      </c>
      <c r="E22" s="84"/>
      <c r="F22" s="29">
        <f>IF(OR(F9="",F13="",F16="",F20=""),"",F9+F13+F16+F20)</f>
        <v>0</v>
      </c>
      <c r="G22" s="27"/>
    </row>
    <row r="23" spans="2:7" x14ac:dyDescent="0.4">
      <c r="B23" s="35"/>
      <c r="C23" s="35"/>
      <c r="D23" s="35"/>
      <c r="E23" s="35"/>
      <c r="F23" s="35"/>
      <c r="G23" s="35"/>
    </row>
    <row r="24" spans="2:7" ht="30" customHeight="1" x14ac:dyDescent="0.4">
      <c r="B24" s="64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2026학년도 검증초등학교 교복 학교주관 교복 구매업체 선정을 위한 제시된 항목에 따라 객관적이고 공정하게 심사할 것을 약속합니다.</v>
      </c>
      <c r="C24" s="64"/>
      <c r="D24" s="64"/>
      <c r="E24" s="64"/>
      <c r="F24" s="64"/>
      <c r="G24" s="64"/>
    </row>
    <row r="25" spans="2:7" x14ac:dyDescent="0.4">
      <c r="B25" s="107" t="s">
        <v>293</v>
      </c>
      <c r="C25" s="107"/>
      <c r="D25" s="107"/>
      <c r="E25" s="107"/>
      <c r="F25" s="107"/>
      <c r="G25" s="107"/>
    </row>
    <row r="26" spans="2:7" x14ac:dyDescent="0.4">
      <c r="B26" s="107" t="s">
        <v>335</v>
      </c>
      <c r="C26" s="107"/>
      <c r="D26" s="107"/>
      <c r="E26" s="107"/>
      <c r="F26" s="107"/>
      <c r="G26" s="107"/>
    </row>
  </sheetData>
  <mergeCells count="17">
    <mergeCell ref="B26:G26"/>
    <mergeCell ref="C20:C21"/>
    <mergeCell ref="F20:F21"/>
    <mergeCell ref="B22:C22"/>
    <mergeCell ref="D22:E22"/>
    <mergeCell ref="B24:G24"/>
    <mergeCell ref="B25:G25"/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0CB3E-2E0A-4031-86B0-3B20422B610B}">
  <sheetPr codeName="Sheet24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295</v>
      </c>
    </row>
    <row r="3" spans="1:7" x14ac:dyDescent="0.4">
      <c r="B3" s="106" t="s">
        <v>296</v>
      </c>
      <c r="C3" s="107"/>
      <c r="D3" s="107"/>
      <c r="E3" s="107"/>
      <c r="F3" s="107"/>
      <c r="G3" s="107"/>
    </row>
    <row r="4" spans="1:7" x14ac:dyDescent="0.4">
      <c r="B4" s="107" t="s">
        <v>297</v>
      </c>
      <c r="C4" s="107"/>
      <c r="D4" s="107"/>
      <c r="E4" s="107"/>
      <c r="F4" s="107"/>
      <c r="G4" s="107"/>
    </row>
    <row r="5" spans="1:7" x14ac:dyDescent="0.4">
      <c r="B5" s="26" t="s">
        <v>87</v>
      </c>
      <c r="C5" s="27" t="str">
        <f>IF(기초자료입력!C4&lt;&gt;"",기초자료입력!C4,"")</f>
        <v>검증초등학교</v>
      </c>
      <c r="D5" s="27" t="s">
        <v>88</v>
      </c>
      <c r="E5" s="27">
        <f>IF(기초자료입력!C5&lt;&gt;"",기초자료입력!C5,"")</f>
        <v>2026</v>
      </c>
      <c r="F5" s="27" t="s">
        <v>298</v>
      </c>
      <c r="G5" s="26" t="str">
        <f>IF(COUNTA(기초자료입력!B72:B81)&gt;0,기초자료입력!D82,"")</f>
        <v/>
      </c>
    </row>
    <row r="6" spans="1:7" x14ac:dyDescent="0.4">
      <c r="B6" s="112" t="str">
        <f>IF(기초자료입력!C22&lt;&gt;"",기초자료입력!C22,"제안서 평가항목 및 배점기준")</f>
        <v>2026학년도 동복 구매 낙찰자 결정</v>
      </c>
      <c r="C6" s="105"/>
      <c r="D6" s="105"/>
      <c r="E6" s="105"/>
      <c r="F6" s="105"/>
      <c r="G6" s="105"/>
    </row>
    <row r="7" spans="1:7" ht="30" customHeight="1" x14ac:dyDescent="0.4">
      <c r="B7" s="64" t="s">
        <v>299</v>
      </c>
      <c r="C7" s="64"/>
      <c r="D7" s="64"/>
      <c r="E7" s="64"/>
      <c r="F7" s="64"/>
      <c r="G7" s="64"/>
    </row>
    <row r="8" spans="1:7" x14ac:dyDescent="0.4">
      <c r="B8" s="28"/>
      <c r="C8" s="28"/>
      <c r="D8" s="28"/>
      <c r="E8" s="28"/>
      <c r="F8" s="28"/>
      <c r="G8" s="28"/>
    </row>
    <row r="9" spans="1:7" x14ac:dyDescent="0.4">
      <c r="B9" s="29" t="s">
        <v>300</v>
      </c>
      <c r="C9" s="29" t="s">
        <v>81</v>
      </c>
      <c r="D9" s="29" t="s">
        <v>301</v>
      </c>
      <c r="E9" s="29" t="s">
        <v>82</v>
      </c>
      <c r="F9" s="29" t="s">
        <v>302</v>
      </c>
      <c r="G9" s="29" t="s">
        <v>289</v>
      </c>
    </row>
    <row r="10" spans="1:7" ht="24" customHeight="1" x14ac:dyDescent="0.4">
      <c r="B10" s="26" t="str">
        <f>IF(기초자료입력!B72&lt;&gt;"","평가","")</f>
        <v/>
      </c>
      <c r="C10" s="30" t="str">
        <f>IF(기초자료입력!B72&lt;&gt;"",기초자료입력!B72,"")</f>
        <v/>
      </c>
      <c r="D10" s="27" t="s">
        <v>303</v>
      </c>
      <c r="E10" s="31" t="str">
        <f>IF(기초자료입력!C72&lt;&gt;"",기초자료입력!C72,"")</f>
        <v/>
      </c>
      <c r="F10" s="31" t="str">
        <f>IF(기초자료입력!D72&lt;&gt;"",기초자료입력!D72,"")</f>
        <v/>
      </c>
      <c r="G10" s="26" t="str">
        <f>IF(AND(기초자료입력!B72&lt;&gt;"",기초자료입력!D72&lt;=기초자료입력!C72),"정상","")</f>
        <v/>
      </c>
    </row>
    <row r="11" spans="1:7" ht="24" customHeight="1" x14ac:dyDescent="0.4">
      <c r="B11" s="26" t="str">
        <f>IF(기초자료입력!B73&lt;&gt;"","평가","")</f>
        <v/>
      </c>
      <c r="C11" s="30" t="str">
        <f>IF(기초자료입력!B73&lt;&gt;"",기초자료입력!B73,"")</f>
        <v/>
      </c>
      <c r="D11" s="27" t="s">
        <v>303</v>
      </c>
      <c r="E11" s="31" t="str">
        <f>IF(기초자료입력!C73&lt;&gt;"",기초자료입력!C73,"")</f>
        <v/>
      </c>
      <c r="F11" s="31" t="str">
        <f>IF(기초자료입력!D73&lt;&gt;"",기초자료입력!D73,"")</f>
        <v/>
      </c>
      <c r="G11" s="26" t="str">
        <f>IF(AND(기초자료입력!B73&lt;&gt;"",기초자료입력!D73&lt;=기초자료입력!C73),"정상","")</f>
        <v/>
      </c>
    </row>
    <row r="12" spans="1:7" ht="24" customHeight="1" x14ac:dyDescent="0.4">
      <c r="B12" s="26" t="str">
        <f>IF(기초자료입력!B74&lt;&gt;"","평가","")</f>
        <v/>
      </c>
      <c r="C12" s="30" t="str">
        <f>IF(기초자료입력!B74&lt;&gt;"",기초자료입력!B74,"")</f>
        <v/>
      </c>
      <c r="D12" s="27" t="s">
        <v>303</v>
      </c>
      <c r="E12" s="31" t="str">
        <f>IF(기초자료입력!C74&lt;&gt;"",기초자료입력!C74,"")</f>
        <v/>
      </c>
      <c r="F12" s="31" t="str">
        <f>IF(기초자료입력!D74&lt;&gt;"",기초자료입력!D74,"")</f>
        <v/>
      </c>
      <c r="G12" s="26" t="str">
        <f>IF(AND(기초자료입력!B74&lt;&gt;"",기초자료입력!D74&lt;=기초자료입력!C74),"정상","")</f>
        <v/>
      </c>
    </row>
    <row r="13" spans="1:7" ht="24" customHeight="1" x14ac:dyDescent="0.4">
      <c r="B13" s="26" t="str">
        <f>IF(기초자료입력!B75&lt;&gt;"","평가","")</f>
        <v/>
      </c>
      <c r="C13" s="30" t="str">
        <f>IF(기초자료입력!B75&lt;&gt;"",기초자료입력!B75,"")</f>
        <v/>
      </c>
      <c r="D13" s="27" t="s">
        <v>303</v>
      </c>
      <c r="E13" s="31" t="str">
        <f>IF(기초자료입력!C75&lt;&gt;"",기초자료입력!C75,"")</f>
        <v/>
      </c>
      <c r="F13" s="31" t="str">
        <f>IF(기초자료입력!D75&lt;&gt;"",기초자료입력!D75,"")</f>
        <v/>
      </c>
      <c r="G13" s="26" t="str">
        <f>IF(AND(기초자료입력!B75&lt;&gt;"",기초자료입력!D75&lt;=기초자료입력!C75),"정상","")</f>
        <v/>
      </c>
    </row>
    <row r="14" spans="1:7" ht="24" customHeight="1" x14ac:dyDescent="0.4">
      <c r="B14" s="26" t="str">
        <f>IF(기초자료입력!B76&lt;&gt;"","평가","")</f>
        <v/>
      </c>
      <c r="C14" s="30" t="str">
        <f>IF(기초자료입력!B76&lt;&gt;"",기초자료입력!B76,"")</f>
        <v/>
      </c>
      <c r="D14" s="27" t="s">
        <v>303</v>
      </c>
      <c r="E14" s="31" t="str">
        <f>IF(기초자료입력!C76&lt;&gt;"",기초자료입력!C76,"")</f>
        <v/>
      </c>
      <c r="F14" s="31" t="str">
        <f>IF(기초자료입력!D76&lt;&gt;"",기초자료입력!D76,"")</f>
        <v/>
      </c>
      <c r="G14" s="26" t="str">
        <f>IF(AND(기초자료입력!B76&lt;&gt;"",기초자료입력!D76&lt;=기초자료입력!C76),"정상","")</f>
        <v/>
      </c>
    </row>
    <row r="15" spans="1:7" ht="24" customHeight="1" x14ac:dyDescent="0.4">
      <c r="B15" s="26" t="str">
        <f>IF(기초자료입력!B77&lt;&gt;"","평가","")</f>
        <v/>
      </c>
      <c r="C15" s="30" t="str">
        <f>IF(기초자료입력!B77&lt;&gt;"",기초자료입력!B77,"")</f>
        <v/>
      </c>
      <c r="D15" s="27" t="s">
        <v>303</v>
      </c>
      <c r="E15" s="31" t="str">
        <f>IF(기초자료입력!C77&lt;&gt;"",기초자료입력!C77,"")</f>
        <v/>
      </c>
      <c r="F15" s="31" t="str">
        <f>IF(기초자료입력!D77&lt;&gt;"",기초자료입력!D77,"")</f>
        <v/>
      </c>
      <c r="G15" s="26" t="str">
        <f>IF(AND(기초자료입력!B77&lt;&gt;"",기초자료입력!D77&lt;=기초자료입력!C77),"정상","")</f>
        <v/>
      </c>
    </row>
    <row r="16" spans="1:7" ht="24" customHeight="1" x14ac:dyDescent="0.4">
      <c r="B16" s="26" t="str">
        <f>IF(기초자료입력!B78&lt;&gt;"","평가","")</f>
        <v/>
      </c>
      <c r="C16" s="30" t="str">
        <f>IF(기초자료입력!B78&lt;&gt;"",기초자료입력!B78,"")</f>
        <v/>
      </c>
      <c r="D16" s="27" t="s">
        <v>303</v>
      </c>
      <c r="E16" s="31" t="str">
        <f>IF(기초자료입력!C78&lt;&gt;"",기초자료입력!C78,"")</f>
        <v/>
      </c>
      <c r="F16" s="31" t="str">
        <f>IF(기초자료입력!D78&lt;&gt;"",기초자료입력!D78,"")</f>
        <v/>
      </c>
      <c r="G16" s="26" t="str">
        <f>IF(AND(기초자료입력!B78&lt;&gt;"",기초자료입력!D78&lt;=기초자료입력!C78),"정상","")</f>
        <v/>
      </c>
    </row>
    <row r="17" spans="2:7" ht="24" customHeight="1" x14ac:dyDescent="0.4">
      <c r="B17" s="26" t="str">
        <f>IF(기초자료입력!B79&lt;&gt;"","평가","")</f>
        <v/>
      </c>
      <c r="C17" s="30" t="str">
        <f>IF(기초자료입력!B79&lt;&gt;"",기초자료입력!B79,"")</f>
        <v/>
      </c>
      <c r="D17" s="27" t="s">
        <v>303</v>
      </c>
      <c r="E17" s="31" t="str">
        <f>IF(기초자료입력!C79&lt;&gt;"",기초자료입력!C79,"")</f>
        <v/>
      </c>
      <c r="F17" s="31" t="str">
        <f>IF(기초자료입력!D79&lt;&gt;"",기초자료입력!D79,"")</f>
        <v/>
      </c>
      <c r="G17" s="26" t="str">
        <f>IF(AND(기초자료입력!B79&lt;&gt;"",기초자료입력!D79&lt;=기초자료입력!C79),"정상","")</f>
        <v/>
      </c>
    </row>
    <row r="18" spans="2:7" ht="24" customHeight="1" x14ac:dyDescent="0.4">
      <c r="B18" s="26" t="str">
        <f>IF(기초자료입력!B80&lt;&gt;"","평가","")</f>
        <v/>
      </c>
      <c r="C18" s="30" t="str">
        <f>IF(기초자료입력!B80&lt;&gt;"",기초자료입력!B80,"")</f>
        <v/>
      </c>
      <c r="D18" s="27" t="s">
        <v>303</v>
      </c>
      <c r="E18" s="31" t="str">
        <f>IF(기초자료입력!C80&lt;&gt;"",기초자료입력!C80,"")</f>
        <v/>
      </c>
      <c r="F18" s="31" t="str">
        <f>IF(기초자료입력!D80&lt;&gt;"",기초자료입력!D80,"")</f>
        <v/>
      </c>
      <c r="G18" s="26" t="str">
        <f>IF(AND(기초자료입력!B80&lt;&gt;"",기초자료입력!D80&lt;=기초자료입력!C80),"정상","")</f>
        <v/>
      </c>
    </row>
    <row r="19" spans="2:7" ht="24" customHeight="1" x14ac:dyDescent="0.4">
      <c r="B19" s="26" t="str">
        <f>IF(기초자료입력!B81&lt;&gt;"","평가","")</f>
        <v/>
      </c>
      <c r="C19" s="30" t="str">
        <f>IF(기초자료입력!B81&lt;&gt;"",기초자료입력!B81,"")</f>
        <v/>
      </c>
      <c r="D19" s="27" t="s">
        <v>303</v>
      </c>
      <c r="E19" s="31" t="str">
        <f>IF(기초자료입력!C81&lt;&gt;"",기초자료입력!C81,"")</f>
        <v/>
      </c>
      <c r="F19" s="31" t="str">
        <f>IF(기초자료입력!D81&lt;&gt;"",기초자료입력!D81,"")</f>
        <v/>
      </c>
      <c r="G19" s="26" t="str">
        <f>IF(AND(기초자료입력!B81&lt;&gt;"",기초자료입력!D81&lt;=기초자료입력!C81),"정상","")</f>
        <v/>
      </c>
    </row>
    <row r="20" spans="2:7" x14ac:dyDescent="0.4">
      <c r="B20" s="84" t="s">
        <v>304</v>
      </c>
      <c r="C20" s="109"/>
      <c r="D20" s="109"/>
      <c r="E20" s="32">
        <f>SUM(E10:E19)</f>
        <v>0</v>
      </c>
      <c r="F20" s="32">
        <f>기초자료입력!D82</f>
        <v>0</v>
      </c>
      <c r="G20" s="29" t="s">
        <v>305</v>
      </c>
    </row>
    <row r="21" spans="2:7" x14ac:dyDescent="0.4">
      <c r="B21" s="28"/>
      <c r="C21" s="28"/>
      <c r="D21" s="28"/>
      <c r="E21" s="28"/>
      <c r="F21" s="28"/>
      <c r="G21" s="28"/>
    </row>
    <row r="22" spans="2:7" x14ac:dyDescent="0.4">
      <c r="B22" s="72" t="s">
        <v>306</v>
      </c>
      <c r="C22" s="64"/>
      <c r="D22" s="64"/>
      <c r="E22" s="64"/>
      <c r="F22" s="64"/>
      <c r="G22" s="64"/>
    </row>
    <row r="23" spans="2:7" ht="30" customHeight="1" x14ac:dyDescent="0.4">
      <c r="B23" s="64" t="s">
        <v>307</v>
      </c>
      <c r="C23" s="64"/>
      <c r="D23" s="64"/>
      <c r="E23" s="64"/>
      <c r="F23" s="64"/>
      <c r="G23" s="64"/>
    </row>
    <row r="24" spans="2:7" ht="30" customHeight="1" x14ac:dyDescent="0.4">
      <c r="B24" s="64" t="s">
        <v>308</v>
      </c>
      <c r="C24" s="64"/>
      <c r="D24" s="64"/>
      <c r="E24" s="64"/>
      <c r="F24" s="64"/>
      <c r="G24" s="64"/>
    </row>
    <row r="25" spans="2:7" ht="30" customHeight="1" x14ac:dyDescent="0.4">
      <c r="B25" s="64" t="s">
        <v>309</v>
      </c>
      <c r="C25" s="64"/>
      <c r="D25" s="64"/>
      <c r="E25" s="64"/>
      <c r="F25" s="64"/>
      <c r="G25" s="64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D72B1-8CE0-436D-8059-F88DD1468F0F}">
  <sheetPr codeName="Sheet25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269</v>
      </c>
    </row>
    <row r="3" spans="1:7" ht="30" customHeight="1" x14ac:dyDescent="0.4">
      <c r="B3" s="75" t="s">
        <v>285</v>
      </c>
      <c r="C3" s="76"/>
      <c r="D3" s="76"/>
      <c r="E3" s="76"/>
      <c r="F3" s="76"/>
      <c r="G3" s="76"/>
    </row>
    <row r="4" spans="1:7" x14ac:dyDescent="0.4">
      <c r="B4" s="76" t="s">
        <v>286</v>
      </c>
      <c r="C4" s="76"/>
      <c r="D4" s="76"/>
      <c r="E4" s="76"/>
      <c r="F4" s="76"/>
      <c r="G4" s="76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>검증초등학교</v>
      </c>
      <c r="D6" s="22" t="s">
        <v>88</v>
      </c>
      <c r="E6" s="22">
        <f>IF(기초자료입력!C5&lt;&gt;"",기초자료입력!C5,"")</f>
        <v>2026</v>
      </c>
      <c r="F6" s="22" t="s">
        <v>91</v>
      </c>
      <c r="G6" s="22" t="str">
        <f>IF(기초자료입력!C12&lt;&gt;"",기초자료입력!C12,"")</f>
        <v>2026학년도 동복 구매</v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80" t="s">
        <v>287</v>
      </c>
      <c r="C8" s="80"/>
      <c r="D8" s="25" t="s">
        <v>55</v>
      </c>
      <c r="E8" s="25" t="s">
        <v>288</v>
      </c>
      <c r="F8" s="80" t="s">
        <v>289</v>
      </c>
      <c r="G8" s="80"/>
    </row>
    <row r="9" spans="1:7" x14ac:dyDescent="0.4">
      <c r="B9" s="77" t="s">
        <v>290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92" t="s">
        <v>292</v>
      </c>
      <c r="G9" s="92"/>
    </row>
    <row r="10" spans="1:7" x14ac:dyDescent="0.4">
      <c r="B10" s="77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92"/>
      <c r="G10" s="92"/>
    </row>
    <row r="11" spans="1:7" x14ac:dyDescent="0.4">
      <c r="B11" s="77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92"/>
      <c r="G11" s="92"/>
    </row>
    <row r="12" spans="1:7" x14ac:dyDescent="0.4">
      <c r="B12" s="77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92"/>
      <c r="G12" s="92"/>
    </row>
    <row r="13" spans="1:7" x14ac:dyDescent="0.4">
      <c r="B13" s="77" t="s">
        <v>291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92"/>
      <c r="G13" s="92"/>
    </row>
    <row r="14" spans="1:7" x14ac:dyDescent="0.4">
      <c r="B14" s="77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92"/>
      <c r="G14" s="92"/>
    </row>
    <row r="15" spans="1:7" x14ac:dyDescent="0.4">
      <c r="B15" s="81" t="s">
        <v>268</v>
      </c>
      <c r="C15" s="81"/>
      <c r="D15" s="24">
        <f>SUM(D9:D14)</f>
        <v>6</v>
      </c>
      <c r="E15" s="24" t="str">
        <f>"100%"</f>
        <v>100%</v>
      </c>
      <c r="F15" s="81"/>
      <c r="G15" s="81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74" t="s">
        <v>293</v>
      </c>
      <c r="C17" s="74"/>
      <c r="D17" s="74"/>
      <c r="E17" s="74"/>
      <c r="F17" s="74"/>
      <c r="G17" s="74"/>
    </row>
    <row r="18" spans="2:7" x14ac:dyDescent="0.4">
      <c r="B18" s="74" t="s">
        <v>294</v>
      </c>
      <c r="C18" s="74"/>
      <c r="D18" s="74"/>
      <c r="E18" s="74"/>
      <c r="F18" s="74"/>
      <c r="G18" s="74"/>
    </row>
    <row r="19" spans="2:7" x14ac:dyDescent="0.4">
      <c r="B19" s="74" t="str">
        <f>IF(기초자료입력!C4&lt;&gt;"",기초자료입력!C4,"○○○○학교")&amp;"장 귀하"</f>
        <v>검증초등학교장 귀하</v>
      </c>
      <c r="C19" s="74"/>
      <c r="D19" s="74"/>
      <c r="E19" s="74"/>
      <c r="F19" s="74"/>
      <c r="G19" s="74"/>
    </row>
  </sheetData>
  <mergeCells count="12">
    <mergeCell ref="B15:C15"/>
    <mergeCell ref="F15:G15"/>
    <mergeCell ref="B17:G17"/>
    <mergeCell ref="B18:G18"/>
    <mergeCell ref="B19:G19"/>
    <mergeCell ref="B13:B14"/>
    <mergeCell ref="F9:G14"/>
    <mergeCell ref="B3:G3"/>
    <mergeCell ref="B4:G4"/>
    <mergeCell ref="B8:C8"/>
    <mergeCell ref="F8:G8"/>
    <mergeCell ref="B9:B1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03EB8-8426-4B8A-B2D8-BD30D0538C7F}">
  <sheetPr codeName="Sheet26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269</v>
      </c>
    </row>
    <row r="3" spans="1:8" ht="30" customHeight="1" x14ac:dyDescent="0.4">
      <c r="B3" s="113" t="s">
        <v>261</v>
      </c>
      <c r="C3" s="66"/>
      <c r="D3" s="66"/>
      <c r="E3" s="66"/>
      <c r="F3" s="66"/>
      <c r="G3" s="66"/>
      <c r="H3" s="66"/>
    </row>
    <row r="5" spans="1:8" x14ac:dyDescent="0.4">
      <c r="B5" s="24" t="s">
        <v>25</v>
      </c>
      <c r="C5" s="22" t="str">
        <f>IF(기초자료입력!C9&lt;&gt;"",기초자료입력!C9,"")</f>
        <v/>
      </c>
      <c r="D5" s="22"/>
      <c r="E5" s="24" t="s">
        <v>262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4" t="s">
        <v>263</v>
      </c>
      <c r="C7" s="77" t="str">
        <f>IF(기초자료입력!C21&lt;&gt;"",기초자료입력!C21,"내부결재")</f>
        <v>내부결재</v>
      </c>
      <c r="D7" s="77"/>
      <c r="E7" s="77"/>
      <c r="F7" s="77"/>
      <c r="G7" s="77"/>
      <c r="H7" s="77"/>
    </row>
    <row r="8" spans="1:8" x14ac:dyDescent="0.4">
      <c r="B8" s="24" t="s">
        <v>270</v>
      </c>
      <c r="C8" s="77"/>
      <c r="D8" s="77"/>
      <c r="E8" s="77"/>
      <c r="F8" s="77"/>
      <c r="G8" s="77"/>
      <c r="H8" s="77"/>
    </row>
    <row r="9" spans="1:8" x14ac:dyDescent="0.4">
      <c r="B9" s="24" t="s">
        <v>264</v>
      </c>
      <c r="C9" s="81" t="str">
        <f>IF(기초자료입력!C22&lt;&gt;"",기초자료입력!C22,기초자료입력!C5&amp;"학년도 "&amp;기초자료입력!C12&amp;" 구매 요청")</f>
        <v>2026학년도 동복 구매 낙찰자 결정</v>
      </c>
      <c r="D9" s="77"/>
      <c r="E9" s="77"/>
      <c r="F9" s="77"/>
      <c r="G9" s="77"/>
      <c r="H9" s="77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4" t="s">
        <v>271</v>
      </c>
      <c r="C11" s="77" t="str">
        <f>IF(기초자료입력!C23&lt;&gt;"",기초자료입력!C23,"")</f>
        <v/>
      </c>
      <c r="D11" s="77"/>
      <c r="E11" s="77"/>
      <c r="F11" s="77"/>
      <c r="G11" s="77"/>
      <c r="H11" s="77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92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2026학년도 2026학년도 동복 구매를 위하여 교복 구매 계획에 대한 학교운영위원회 심의가 완료되어, 아래와 같이 구매 요청을 하고자 합니다.</v>
      </c>
      <c r="C13" s="92"/>
      <c r="D13" s="92"/>
      <c r="E13" s="92"/>
      <c r="F13" s="92"/>
      <c r="G13" s="92"/>
      <c r="H13" s="92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4" t="s">
        <v>272</v>
      </c>
      <c r="C15" s="22" t="str">
        <f>기초자료입력!C5&amp;"학년도 신입생 중 학교주관구매 참여자 "&amp;IF(기초자료입력!C16&lt;&gt;"",기초자료입력!C16,"○○")&amp;"명"</f>
        <v>2026학년도 신입생 중 학교주관구매 참여자 100명</v>
      </c>
      <c r="D15" s="22"/>
      <c r="E15" s="22"/>
      <c r="F15" s="22"/>
      <c r="G15" s="22"/>
      <c r="H15" s="22"/>
    </row>
    <row r="16" spans="1:8" x14ac:dyDescent="0.4">
      <c r="B16" s="24" t="s">
        <v>273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4" t="s">
        <v>274</v>
      </c>
      <c r="C17" s="22" t="s">
        <v>276</v>
      </c>
      <c r="D17" s="22"/>
      <c r="E17" s="22"/>
      <c r="F17" s="22"/>
      <c r="G17" s="22"/>
      <c r="H17" s="22"/>
    </row>
    <row r="18" spans="2:8" x14ac:dyDescent="0.4">
      <c r="B18" s="24" t="s">
        <v>275</v>
      </c>
      <c r="C18" s="22" t="str">
        <f>IF(기초자료입력!C17&lt;&gt;"",IFERROR(TEXT(기초자료입력!C17,"yyyy-mm-dd"),기초자료입력!C17),"")</f>
        <v>2026-03-01</v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4" t="s">
        <v>265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266</v>
      </c>
      <c r="G23" s="22" t="s">
        <v>277</v>
      </c>
      <c r="H23" s="22" t="s">
        <v>267</v>
      </c>
    </row>
    <row r="24" spans="2:8" x14ac:dyDescent="0.4">
      <c r="B24" s="24" t="s">
        <v>278</v>
      </c>
      <c r="C24" s="77" t="str">
        <f>IF(기초자료입력!C9&lt;&gt;"",기초자료입력!C9,"")</f>
        <v/>
      </c>
      <c r="D24" s="77"/>
      <c r="E24" s="77"/>
      <c r="F24" s="24" t="s">
        <v>279</v>
      </c>
      <c r="G24" s="77"/>
      <c r="H24" s="77"/>
    </row>
    <row r="25" spans="2:8" x14ac:dyDescent="0.4">
      <c r="B25" s="24" t="s">
        <v>280</v>
      </c>
      <c r="C25" s="22"/>
      <c r="D25" s="24" t="s">
        <v>281</v>
      </c>
      <c r="E25" s="77"/>
      <c r="F25" s="77"/>
      <c r="G25" s="77"/>
      <c r="H25" s="77"/>
    </row>
    <row r="26" spans="2:8" x14ac:dyDescent="0.4">
      <c r="B26" s="24" t="s">
        <v>282</v>
      </c>
      <c r="C26" s="22"/>
      <c r="D26" s="24" t="s">
        <v>283</v>
      </c>
      <c r="E26" s="22"/>
      <c r="F26" s="24" t="s">
        <v>284</v>
      </c>
      <c r="G26" s="77"/>
      <c r="H26" s="77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6C870-4C2D-4382-804A-65F9248CFBFE}">
  <sheetPr codeName="Sheet27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 t="s">
        <v>130</v>
      </c>
    </row>
    <row r="6" spans="1:6" x14ac:dyDescent="0.4">
      <c r="A6" s="19" t="b">
        <v>0</v>
      </c>
      <c r="B6" s="18" t="s">
        <v>131</v>
      </c>
      <c r="C6" s="18" t="s">
        <v>132</v>
      </c>
      <c r="D6" s="18" t="s">
        <v>128</v>
      </c>
      <c r="E6" s="18" t="s">
        <v>129</v>
      </c>
      <c r="F6" s="18" t="s">
        <v>133</v>
      </c>
    </row>
    <row r="7" spans="1:6" x14ac:dyDescent="0.4">
      <c r="A7" s="19" t="b">
        <v>0</v>
      </c>
      <c r="B7" s="18" t="s">
        <v>134</v>
      </c>
      <c r="C7" s="18" t="s">
        <v>135</v>
      </c>
      <c r="D7" s="18" t="s">
        <v>128</v>
      </c>
      <c r="E7" s="18" t="s">
        <v>129</v>
      </c>
      <c r="F7" s="18" t="s">
        <v>136</v>
      </c>
    </row>
    <row r="8" spans="1:6" x14ac:dyDescent="0.4">
      <c r="A8" s="19" t="b">
        <v>0</v>
      </c>
      <c r="B8" s="18" t="s">
        <v>137</v>
      </c>
      <c r="C8" s="18" t="s">
        <v>138</v>
      </c>
      <c r="D8" s="18" t="s">
        <v>128</v>
      </c>
      <c r="E8" s="18" t="s">
        <v>129</v>
      </c>
      <c r="F8" s="18" t="s">
        <v>139</v>
      </c>
    </row>
    <row r="9" spans="1:6" x14ac:dyDescent="0.4">
      <c r="A9" s="19" t="b">
        <v>0</v>
      </c>
      <c r="B9" s="18" t="s">
        <v>140</v>
      </c>
      <c r="C9" s="18" t="s">
        <v>141</v>
      </c>
      <c r="D9" s="18" t="s">
        <v>128</v>
      </c>
      <c r="E9" s="18" t="s">
        <v>129</v>
      </c>
      <c r="F9" s="18" t="s">
        <v>142</v>
      </c>
    </row>
    <row r="10" spans="1:6" x14ac:dyDescent="0.4">
      <c r="A10" s="19" t="b">
        <v>0</v>
      </c>
      <c r="B10" s="18" t="s">
        <v>143</v>
      </c>
      <c r="C10" s="18" t="s">
        <v>144</v>
      </c>
      <c r="D10" s="18" t="s">
        <v>128</v>
      </c>
      <c r="E10" s="18" t="s">
        <v>129</v>
      </c>
      <c r="F10" s="18" t="s">
        <v>145</v>
      </c>
    </row>
    <row r="11" spans="1:6" x14ac:dyDescent="0.4">
      <c r="A11" s="19" t="b">
        <v>0</v>
      </c>
      <c r="B11" s="18" t="s">
        <v>146</v>
      </c>
      <c r="C11" s="18" t="s">
        <v>147</v>
      </c>
      <c r="D11" s="18" t="s">
        <v>148</v>
      </c>
      <c r="E11" s="18" t="s">
        <v>129</v>
      </c>
      <c r="F11" s="18" t="s">
        <v>149</v>
      </c>
    </row>
    <row r="12" spans="1:6" x14ac:dyDescent="0.4">
      <c r="A12" s="19" t="b">
        <v>0</v>
      </c>
      <c r="B12" s="18" t="s">
        <v>150</v>
      </c>
      <c r="C12" s="18" t="s">
        <v>151</v>
      </c>
      <c r="D12" s="18" t="s">
        <v>148</v>
      </c>
      <c r="E12" s="18" t="s">
        <v>152</v>
      </c>
      <c r="F12" s="18"/>
    </row>
    <row r="13" spans="1:6" x14ac:dyDescent="0.4">
      <c r="A13" s="19" t="b">
        <v>0</v>
      </c>
      <c r="B13" s="18" t="s">
        <v>153</v>
      </c>
      <c r="C13" s="18" t="s">
        <v>154</v>
      </c>
      <c r="D13" s="18" t="s">
        <v>148</v>
      </c>
      <c r="E13" s="18" t="s">
        <v>152</v>
      </c>
      <c r="F13" s="18"/>
    </row>
    <row r="14" spans="1:6" x14ac:dyDescent="0.4">
      <c r="A14" s="19" t="b">
        <v>0</v>
      </c>
      <c r="B14" s="18" t="s">
        <v>155</v>
      </c>
      <c r="C14" s="18" t="s">
        <v>156</v>
      </c>
      <c r="D14" s="18" t="s">
        <v>148</v>
      </c>
      <c r="E14" s="18" t="s">
        <v>152</v>
      </c>
      <c r="F14" s="18"/>
    </row>
    <row r="15" spans="1:6" x14ac:dyDescent="0.4">
      <c r="A15" s="19" t="b">
        <v>0</v>
      </c>
      <c r="B15" s="18" t="s">
        <v>157</v>
      </c>
      <c r="C15" s="18" t="s">
        <v>158</v>
      </c>
      <c r="D15" s="18" t="s">
        <v>148</v>
      </c>
      <c r="E15" s="18" t="s">
        <v>152</v>
      </c>
      <c r="F15" s="18"/>
    </row>
    <row r="16" spans="1:6" x14ac:dyDescent="0.4">
      <c r="A16" s="19" t="b">
        <v>0</v>
      </c>
      <c r="B16" s="18" t="s">
        <v>159</v>
      </c>
      <c r="C16" s="18" t="s">
        <v>160</v>
      </c>
      <c r="D16" s="18" t="s">
        <v>148</v>
      </c>
      <c r="E16" s="18" t="s">
        <v>152</v>
      </c>
      <c r="F16" s="18"/>
    </row>
    <row r="17" spans="1:6" x14ac:dyDescent="0.4">
      <c r="A17" s="19" t="b">
        <v>0</v>
      </c>
      <c r="B17" s="18" t="s">
        <v>161</v>
      </c>
      <c r="C17" s="18" t="s">
        <v>162</v>
      </c>
      <c r="D17" s="18" t="s">
        <v>148</v>
      </c>
      <c r="E17" s="18" t="s">
        <v>163</v>
      </c>
      <c r="F17" s="18" t="s">
        <v>164</v>
      </c>
    </row>
    <row r="18" spans="1:6" x14ac:dyDescent="0.4">
      <c r="A18" s="19" t="b">
        <v>0</v>
      </c>
      <c r="B18" s="18" t="s">
        <v>165</v>
      </c>
      <c r="C18" s="18" t="s">
        <v>166</v>
      </c>
      <c r="D18" s="18" t="s">
        <v>167</v>
      </c>
      <c r="E18" s="18" t="s">
        <v>129</v>
      </c>
      <c r="F18" s="18" t="s">
        <v>168</v>
      </c>
    </row>
    <row r="19" spans="1:6" x14ac:dyDescent="0.4">
      <c r="A19" s="19" t="b">
        <v>0</v>
      </c>
      <c r="B19" s="18" t="s">
        <v>169</v>
      </c>
      <c r="C19" s="18" t="s">
        <v>170</v>
      </c>
      <c r="D19" s="18" t="s">
        <v>167</v>
      </c>
      <c r="E19" s="18" t="s">
        <v>129</v>
      </c>
      <c r="F19" s="18" t="s">
        <v>171</v>
      </c>
    </row>
    <row r="20" spans="1:6" x14ac:dyDescent="0.4">
      <c r="A20" s="19" t="b">
        <v>0</v>
      </c>
      <c r="B20" s="18" t="s">
        <v>172</v>
      </c>
      <c r="C20" s="18" t="s">
        <v>173</v>
      </c>
      <c r="D20" s="18" t="s">
        <v>167</v>
      </c>
      <c r="E20" s="18" t="s">
        <v>129</v>
      </c>
      <c r="F20" s="18" t="s">
        <v>174</v>
      </c>
    </row>
    <row r="21" spans="1:6" x14ac:dyDescent="0.4">
      <c r="A21" s="19" t="b">
        <v>0</v>
      </c>
      <c r="B21" s="18" t="s">
        <v>175</v>
      </c>
      <c r="C21" s="18" t="s">
        <v>176</v>
      </c>
      <c r="D21" s="18" t="s">
        <v>148</v>
      </c>
      <c r="E21" s="18" t="s">
        <v>129</v>
      </c>
      <c r="F21" s="18" t="s">
        <v>177</v>
      </c>
    </row>
    <row r="22" spans="1:6" x14ac:dyDescent="0.4">
      <c r="A22" s="19" t="b">
        <v>0</v>
      </c>
      <c r="B22" s="18" t="s">
        <v>178</v>
      </c>
      <c r="C22" s="18" t="s">
        <v>179</v>
      </c>
      <c r="D22" s="18" t="s">
        <v>148</v>
      </c>
      <c r="E22" s="18" t="s">
        <v>129</v>
      </c>
      <c r="F22" s="18" t="s">
        <v>180</v>
      </c>
    </row>
    <row r="23" spans="1:6" x14ac:dyDescent="0.4">
      <c r="A23" s="19" t="b">
        <v>0</v>
      </c>
      <c r="B23" s="18" t="s">
        <v>181</v>
      </c>
      <c r="C23" s="18" t="s">
        <v>182</v>
      </c>
      <c r="D23" s="18" t="s">
        <v>148</v>
      </c>
      <c r="E23" s="18" t="s">
        <v>129</v>
      </c>
      <c r="F23" s="18" t="s">
        <v>183</v>
      </c>
    </row>
    <row r="24" spans="1:6" x14ac:dyDescent="0.4">
      <c r="A24" s="19" t="b">
        <v>0</v>
      </c>
      <c r="B24" s="18" t="s">
        <v>184</v>
      </c>
      <c r="C24" s="18" t="s">
        <v>185</v>
      </c>
      <c r="D24" s="18" t="s">
        <v>148</v>
      </c>
      <c r="E24" s="18" t="s">
        <v>129</v>
      </c>
      <c r="F24" s="18" t="s">
        <v>186</v>
      </c>
    </row>
    <row r="25" spans="1:6" x14ac:dyDescent="0.4">
      <c r="A25" s="19" t="b">
        <v>0</v>
      </c>
      <c r="B25" s="18" t="s">
        <v>187</v>
      </c>
      <c r="C25" s="18" t="s">
        <v>188</v>
      </c>
      <c r="D25" s="18" t="s">
        <v>148</v>
      </c>
      <c r="E25" s="18" t="s">
        <v>129</v>
      </c>
      <c r="F25" s="18" t="s">
        <v>189</v>
      </c>
    </row>
    <row r="26" spans="1:6" x14ac:dyDescent="0.4">
      <c r="A26" s="19" t="b">
        <v>0</v>
      </c>
      <c r="B26" s="18" t="s">
        <v>190</v>
      </c>
      <c r="C26" s="18" t="s">
        <v>191</v>
      </c>
      <c r="D26" s="18" t="s">
        <v>148</v>
      </c>
      <c r="E26" s="18" t="s">
        <v>129</v>
      </c>
      <c r="F26" s="18" t="s">
        <v>192</v>
      </c>
    </row>
    <row r="27" spans="1:6" x14ac:dyDescent="0.4">
      <c r="A27" s="19" t="b">
        <v>0</v>
      </c>
      <c r="B27" s="18" t="s">
        <v>193</v>
      </c>
      <c r="C27" s="18" t="s">
        <v>194</v>
      </c>
      <c r="D27" s="18" t="s">
        <v>148</v>
      </c>
      <c r="E27" s="18" t="s">
        <v>129</v>
      </c>
      <c r="F27" s="18" t="s">
        <v>195</v>
      </c>
    </row>
    <row r="28" spans="1:6" x14ac:dyDescent="0.4">
      <c r="A28" s="19" t="b">
        <v>0</v>
      </c>
      <c r="B28" s="18" t="s">
        <v>196</v>
      </c>
      <c r="C28" s="18" t="s">
        <v>197</v>
      </c>
      <c r="D28" s="18" t="s">
        <v>148</v>
      </c>
      <c r="E28" s="18" t="s">
        <v>129</v>
      </c>
      <c r="F28" s="18" t="s">
        <v>198</v>
      </c>
    </row>
    <row r="29" spans="1:6" x14ac:dyDescent="0.4">
      <c r="A29" s="19" t="b">
        <v>0</v>
      </c>
      <c r="B29" s="18" t="s">
        <v>199</v>
      </c>
      <c r="C29" s="18" t="s">
        <v>200</v>
      </c>
      <c r="D29" s="18" t="s">
        <v>148</v>
      </c>
      <c r="E29" s="18" t="s">
        <v>129</v>
      </c>
      <c r="F29" s="18" t="s">
        <v>201</v>
      </c>
    </row>
    <row r="30" spans="1:6" x14ac:dyDescent="0.4">
      <c r="A30" s="19" t="b">
        <v>0</v>
      </c>
      <c r="B30" s="18" t="s">
        <v>202</v>
      </c>
      <c r="C30" s="18" t="s">
        <v>203</v>
      </c>
      <c r="D30" s="18" t="s">
        <v>148</v>
      </c>
      <c r="E30" s="18" t="s">
        <v>152</v>
      </c>
      <c r="F30" s="18"/>
    </row>
    <row r="31" spans="1:6" x14ac:dyDescent="0.4">
      <c r="A31" s="19" t="b">
        <v>0</v>
      </c>
      <c r="B31" s="18" t="s">
        <v>204</v>
      </c>
      <c r="C31" s="18" t="s">
        <v>205</v>
      </c>
      <c r="D31" s="18" t="s">
        <v>148</v>
      </c>
      <c r="E31" s="18" t="s">
        <v>152</v>
      </c>
      <c r="F31" s="18"/>
    </row>
    <row r="32" spans="1:6" x14ac:dyDescent="0.4">
      <c r="A32" s="19" t="b">
        <v>0</v>
      </c>
      <c r="B32" s="18" t="s">
        <v>206</v>
      </c>
      <c r="C32" s="18" t="s">
        <v>207</v>
      </c>
      <c r="D32" s="18" t="s">
        <v>148</v>
      </c>
      <c r="E32" s="18" t="s">
        <v>152</v>
      </c>
      <c r="F32" s="18"/>
    </row>
    <row r="33" spans="1:6" x14ac:dyDescent="0.4">
      <c r="A33" s="19" t="b">
        <v>0</v>
      </c>
      <c r="B33" s="18" t="s">
        <v>208</v>
      </c>
      <c r="C33" s="18" t="s">
        <v>209</v>
      </c>
      <c r="D33" s="18" t="s">
        <v>148</v>
      </c>
      <c r="E33" s="18" t="s">
        <v>152</v>
      </c>
      <c r="F33" s="18"/>
    </row>
    <row r="34" spans="1:6" x14ac:dyDescent="0.4">
      <c r="A34" s="19" t="b">
        <v>0</v>
      </c>
      <c r="B34" s="18" t="s">
        <v>210</v>
      </c>
      <c r="C34" s="18" t="s">
        <v>211</v>
      </c>
      <c r="D34" s="18" t="s">
        <v>148</v>
      </c>
      <c r="E34" s="18" t="s">
        <v>152</v>
      </c>
      <c r="F34" s="18"/>
    </row>
    <row r="35" spans="1:6" x14ac:dyDescent="0.4">
      <c r="A35" s="19" t="b">
        <v>0</v>
      </c>
      <c r="B35" s="18" t="s">
        <v>212</v>
      </c>
      <c r="C35" s="18" t="s">
        <v>213</v>
      </c>
      <c r="D35" s="18" t="s">
        <v>148</v>
      </c>
      <c r="E35" s="18" t="s">
        <v>152</v>
      </c>
      <c r="F35" s="18"/>
    </row>
    <row r="36" spans="1:6" x14ac:dyDescent="0.4">
      <c r="A36" s="19" t="b">
        <v>0</v>
      </c>
      <c r="B36" s="18" t="s">
        <v>214</v>
      </c>
      <c r="C36" s="18" t="s">
        <v>215</v>
      </c>
      <c r="D36" s="18" t="s">
        <v>167</v>
      </c>
      <c r="E36" s="18" t="s">
        <v>152</v>
      </c>
      <c r="F36" s="18"/>
    </row>
    <row r="37" spans="1:6" x14ac:dyDescent="0.4">
      <c r="A37" s="19" t="b">
        <v>0</v>
      </c>
      <c r="B37" s="18" t="s">
        <v>216</v>
      </c>
      <c r="C37" s="18" t="s">
        <v>217</v>
      </c>
      <c r="D37" s="18" t="s">
        <v>167</v>
      </c>
      <c r="E37" s="18" t="s">
        <v>152</v>
      </c>
      <c r="F37" s="18"/>
    </row>
    <row r="38" spans="1:6" x14ac:dyDescent="0.4">
      <c r="A38" s="19" t="b">
        <v>0</v>
      </c>
      <c r="B38" s="18" t="s">
        <v>218</v>
      </c>
      <c r="C38" s="18" t="s">
        <v>219</v>
      </c>
      <c r="D38" s="18" t="s">
        <v>167</v>
      </c>
      <c r="E38" s="18" t="s">
        <v>152</v>
      </c>
      <c r="F38" s="18"/>
    </row>
    <row r="39" spans="1:6" x14ac:dyDescent="0.4">
      <c r="A39" s="19" t="b">
        <v>0</v>
      </c>
      <c r="B39" s="18" t="s">
        <v>220</v>
      </c>
      <c r="C39" s="18" t="s">
        <v>221</v>
      </c>
      <c r="D39" s="18" t="s">
        <v>167</v>
      </c>
      <c r="E39" s="18" t="s">
        <v>152</v>
      </c>
      <c r="F39" s="18"/>
    </row>
    <row r="40" spans="1:6" x14ac:dyDescent="0.4">
      <c r="A40" s="19" t="b">
        <v>0</v>
      </c>
      <c r="B40" s="18" t="s">
        <v>222</v>
      </c>
      <c r="C40" s="18" t="s">
        <v>223</v>
      </c>
      <c r="D40" s="18" t="s">
        <v>167</v>
      </c>
      <c r="E40" s="18" t="s">
        <v>152</v>
      </c>
      <c r="F40" s="18"/>
    </row>
    <row r="41" spans="1:6" x14ac:dyDescent="0.4">
      <c r="A41" s="19" t="b">
        <v>0</v>
      </c>
      <c r="B41" s="18" t="s">
        <v>224</v>
      </c>
      <c r="C41" s="18" t="s">
        <v>225</v>
      </c>
      <c r="D41" s="18" t="s">
        <v>167</v>
      </c>
      <c r="E41" s="18" t="s">
        <v>152</v>
      </c>
      <c r="F41" s="18"/>
    </row>
    <row r="42" spans="1:6" x14ac:dyDescent="0.4">
      <c r="A42" s="19" t="b">
        <v>0</v>
      </c>
      <c r="B42" s="18" t="s">
        <v>226</v>
      </c>
      <c r="C42" s="18" t="s">
        <v>227</v>
      </c>
      <c r="D42" s="18" t="s">
        <v>167</v>
      </c>
      <c r="E42" s="18" t="s">
        <v>152</v>
      </c>
      <c r="F42" s="18"/>
    </row>
    <row r="43" spans="1:6" x14ac:dyDescent="0.4">
      <c r="A43" s="19" t="b">
        <v>0</v>
      </c>
      <c r="B43" s="18" t="s">
        <v>228</v>
      </c>
      <c r="C43" s="18" t="s">
        <v>229</v>
      </c>
      <c r="D43" s="18" t="s">
        <v>167</v>
      </c>
      <c r="E43" s="18" t="s">
        <v>152</v>
      </c>
      <c r="F43" s="18"/>
    </row>
    <row r="44" spans="1:6" x14ac:dyDescent="0.4">
      <c r="A44" s="19" t="b">
        <v>0</v>
      </c>
      <c r="B44" s="18" t="s">
        <v>230</v>
      </c>
      <c r="C44" s="18" t="s">
        <v>135</v>
      </c>
      <c r="D44" s="18" t="s">
        <v>167</v>
      </c>
      <c r="E44" s="18" t="s">
        <v>152</v>
      </c>
      <c r="F44" s="18"/>
    </row>
    <row r="45" spans="1:6" x14ac:dyDescent="0.4">
      <c r="A45" s="19" t="b">
        <v>1</v>
      </c>
      <c r="B45" s="18" t="s">
        <v>231</v>
      </c>
      <c r="C45" s="18" t="s">
        <v>232</v>
      </c>
      <c r="D45" s="18" t="s">
        <v>233</v>
      </c>
      <c r="E45" s="18" t="s">
        <v>129</v>
      </c>
      <c r="F45" s="18" t="s">
        <v>234</v>
      </c>
    </row>
    <row r="46" spans="1:6" x14ac:dyDescent="0.4">
      <c r="A46" s="19" t="b">
        <v>1</v>
      </c>
      <c r="B46" s="18" t="s">
        <v>235</v>
      </c>
      <c r="C46" s="18" t="s">
        <v>236</v>
      </c>
      <c r="D46" s="18" t="s">
        <v>233</v>
      </c>
      <c r="E46" s="18" t="s">
        <v>129</v>
      </c>
      <c r="F46" s="18" t="s">
        <v>237</v>
      </c>
    </row>
    <row r="47" spans="1:6" x14ac:dyDescent="0.4">
      <c r="A47" s="19" t="b">
        <v>1</v>
      </c>
      <c r="B47" s="18" t="s">
        <v>238</v>
      </c>
      <c r="C47" s="18" t="s">
        <v>239</v>
      </c>
      <c r="D47" s="18" t="s">
        <v>233</v>
      </c>
      <c r="E47" s="18" t="s">
        <v>129</v>
      </c>
      <c r="F47" s="18" t="s">
        <v>240</v>
      </c>
    </row>
    <row r="48" spans="1:6" x14ac:dyDescent="0.4">
      <c r="A48" s="19" t="b">
        <v>0</v>
      </c>
      <c r="B48" s="18" t="s">
        <v>241</v>
      </c>
      <c r="C48" s="18" t="s">
        <v>242</v>
      </c>
      <c r="D48" s="18" t="s">
        <v>243</v>
      </c>
      <c r="E48" s="18" t="s">
        <v>152</v>
      </c>
      <c r="F48" s="18"/>
    </row>
    <row r="49" spans="1:6" x14ac:dyDescent="0.4">
      <c r="A49" s="19" t="b">
        <v>0</v>
      </c>
      <c r="B49" s="18" t="s">
        <v>244</v>
      </c>
      <c r="C49" s="18" t="s">
        <v>245</v>
      </c>
      <c r="D49" s="18" t="s">
        <v>243</v>
      </c>
      <c r="E49" s="18" t="s">
        <v>152</v>
      </c>
      <c r="F49" s="18"/>
    </row>
    <row r="50" spans="1:6" x14ac:dyDescent="0.4">
      <c r="A50" s="19" t="b">
        <v>0</v>
      </c>
      <c r="B50" s="18" t="s">
        <v>246</v>
      </c>
      <c r="C50" s="18" t="s">
        <v>247</v>
      </c>
      <c r="D50" s="18" t="s">
        <v>243</v>
      </c>
      <c r="E50" s="18" t="s">
        <v>152</v>
      </c>
      <c r="F50" s="18"/>
    </row>
    <row r="51" spans="1:6" x14ac:dyDescent="0.4">
      <c r="A51" s="19" t="b">
        <v>0</v>
      </c>
      <c r="B51" s="18" t="s">
        <v>248</v>
      </c>
      <c r="C51" s="18" t="s">
        <v>249</v>
      </c>
      <c r="D51" s="18" t="s">
        <v>243</v>
      </c>
      <c r="E51" s="18" t="s">
        <v>152</v>
      </c>
      <c r="F51" s="18"/>
    </row>
    <row r="52" spans="1:6" x14ac:dyDescent="0.4">
      <c r="A52" s="19" t="b">
        <v>0</v>
      </c>
      <c r="B52" s="18" t="s">
        <v>250</v>
      </c>
      <c r="C52" s="18" t="s">
        <v>251</v>
      </c>
      <c r="D52" s="18" t="s">
        <v>243</v>
      </c>
      <c r="E52" s="18" t="s">
        <v>152</v>
      </c>
      <c r="F52" s="18"/>
    </row>
    <row r="53" spans="1:6" x14ac:dyDescent="0.4">
      <c r="A53" s="19" t="b">
        <v>0</v>
      </c>
      <c r="B53" s="18" t="s">
        <v>252</v>
      </c>
      <c r="C53" s="18" t="s">
        <v>253</v>
      </c>
      <c r="D53" s="18" t="s">
        <v>254</v>
      </c>
      <c r="E53" s="18" t="s">
        <v>152</v>
      </c>
      <c r="F53" s="18"/>
    </row>
    <row r="54" spans="1:6" x14ac:dyDescent="0.4">
      <c r="A54" s="19" t="b">
        <v>0</v>
      </c>
      <c r="B54" s="18" t="s">
        <v>255</v>
      </c>
      <c r="C54" s="18" t="s">
        <v>256</v>
      </c>
      <c r="D54" s="18" t="s">
        <v>254</v>
      </c>
      <c r="E54" s="18" t="s">
        <v>152</v>
      </c>
      <c r="F54" s="18"/>
    </row>
    <row r="55" spans="1:6" x14ac:dyDescent="0.4">
      <c r="A55" s="19" t="b">
        <v>0</v>
      </c>
      <c r="B55" s="18" t="s">
        <v>257</v>
      </c>
      <c r="C55" s="18" t="s">
        <v>258</v>
      </c>
      <c r="D55" s="18" t="s">
        <v>254</v>
      </c>
      <c r="E55" s="18" t="s">
        <v>152</v>
      </c>
      <c r="F55" s="18"/>
    </row>
    <row r="56" spans="1:6" x14ac:dyDescent="0.4">
      <c r="A56" s="19" t="b">
        <v>0</v>
      </c>
      <c r="B56" s="18" t="s">
        <v>259</v>
      </c>
      <c r="C56" s="18" t="s">
        <v>260</v>
      </c>
      <c r="D56" s="18" t="s">
        <v>254</v>
      </c>
      <c r="E56" s="18" t="s">
        <v>152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F999B-D9C4-44D9-9B0A-9ACC19173ED1}">
  <sheetPr codeName="Sheet28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3F2F999B-D9C4-44D9-9B0A-9ACC19173ED1}"/>
  <phoneticPr fontId="6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B10F3-89BD-4DE5-AA9B-26A5DEEE671A}">
  <sheetPr codeName="Sheet29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0F2B10F3-89BD-4DE5-AA9B-26A5DEEE671A}"/>
  <phoneticPr fontId="6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DBF93-A8A0-4809-AF2E-47BF48E9431C}">
  <sheetPr codeName="Sheet30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D23DBF93-A8A0-4809-AF2E-47BF48E9431C}"/>
  <phoneticPr fontId="6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9BE03-F2B1-48A3-BECA-951FA574073E}">
  <sheetPr codeName="Sheet31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92B9BE03-F2B1-48A3-BECA-951FA574073E}"/>
  <phoneticPr fontId="6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5A29F-2116-4311-9DBB-1DACEA789973}">
  <sheetPr codeName="Sheet32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0095A29F-2116-4311-9DBB-1DACEA789973}"/>
  <phoneticPr fontId="6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6D4EA-A2EF-49F2-B466-79DA229C8C18}">
  <sheetPr codeName="Sheet33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2A46D4EA-A2EF-49F2-B466-79DA229C8C18}"/>
  <phoneticPr fontId="6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3EBA7-50C8-45FA-9397-E113902019DE}">
  <sheetPr codeName="Sheet34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6E53EBA7-50C8-45FA-9397-E113902019DE}"/>
  <phoneticPr fontId="6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9029E-8AB2-4A76-975D-29EB9D8EEA83}">
  <sheetPr codeName="Sheet35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37F9029E-8AB2-4A76-975D-29EB9D8EEA83}"/>
  <phoneticPr fontId="6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710AA-AE08-43C8-850F-A48D2FC61EDD}">
  <sheetPr codeName="Sheet36"/>
  <dimension ref="A1:R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114" t="s">
        <v>13</v>
      </c>
      <c r="B1" s="115"/>
      <c r="C1" s="115"/>
      <c r="D1" s="115"/>
      <c r="E1" s="115"/>
      <c r="F1" s="115"/>
      <c r="G1" s="4" t="s">
        <v>1048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 t="s">
        <v>1049</v>
      </c>
    </row>
    <row r="5" spans="1:7" x14ac:dyDescent="0.4">
      <c r="A5" s="5" t="s">
        <v>18</v>
      </c>
      <c r="B5" t="s">
        <v>17</v>
      </c>
      <c r="C5" s="10">
        <v>2026</v>
      </c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 t="s">
        <v>1050</v>
      </c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>
        <v>5000000</v>
      </c>
    </row>
    <row r="16" spans="1:7" x14ac:dyDescent="0.4">
      <c r="A16" s="5" t="s">
        <v>37</v>
      </c>
      <c r="B16" t="s">
        <v>36</v>
      </c>
      <c r="C16" s="10">
        <v>100</v>
      </c>
    </row>
    <row r="17" spans="1:6" x14ac:dyDescent="0.4">
      <c r="A17" s="5" t="s">
        <v>39</v>
      </c>
      <c r="B17" t="s">
        <v>38</v>
      </c>
      <c r="C17" s="13">
        <f>DATE(2026,3,1)</f>
        <v>46082</v>
      </c>
    </row>
    <row r="18" spans="1:6" x14ac:dyDescent="0.4">
      <c r="A18" s="5" t="s">
        <v>41</v>
      </c>
      <c r="B18" t="s">
        <v>40</v>
      </c>
      <c r="C18" s="15">
        <f>DATE(2026,2,20)+18/24</f>
        <v>46073.75</v>
      </c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 t="s">
        <v>1051</v>
      </c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116"/>
      <c r="D25" s="117"/>
      <c r="E25" s="117"/>
      <c r="F25" s="117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 t="s">
        <v>1052</v>
      </c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>점수 확인</v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>점수 확인</v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>점수 확인</v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98785-BFB2-49CE-9DC5-D68ED40AF99F}">
  <sheetPr codeName="Sheet37"/>
  <dimension ref="A1:A14"/>
  <sheetViews>
    <sheetView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30</vt:i4>
      </vt:variant>
      <vt:variant>
        <vt:lpstr>이름 지정된 범위</vt:lpstr>
      </vt:variant>
      <vt:variant>
        <vt:i4>22</vt:i4>
      </vt:variant>
    </vt:vector>
  </HeadingPairs>
  <TitlesOfParts>
    <vt:vector size="52" baseType="lpstr">
      <vt:lpstr>계약방법안내</vt:lpstr>
      <vt:lpstr>절차안내</vt:lpstr>
      <vt:lpstr>학교검색</vt:lpstr>
      <vt:lpstr>학교정보</vt:lpstr>
      <vt:lpstr>F-043_계약체결</vt:lpstr>
      <vt:lpstr>F-042_낙찰자결정통보</vt:lpstr>
      <vt:lpstr>F-041_낙찰자결정</vt:lpstr>
      <vt:lpstr>F-006_운영위원회심의안</vt:lpstr>
      <vt:lpstr>F-005_구매추진계획안</vt:lpstr>
      <vt:lpstr>F-004_구매추진계획수립기안문</vt:lpstr>
      <vt:lpstr>F-003_위원청렴보안서약서</vt:lpstr>
      <vt:lpstr>F-002_위원수락확인서</vt:lpstr>
      <vt:lpstr>F-001_위원회구성기안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'F-001_위원회구성기안'!Print_Area</vt:lpstr>
      <vt:lpstr>'F-002_위원수락확인서'!Print_Area</vt:lpstr>
      <vt:lpstr>'F-003_위원청렴보안서약서'!Print_Area</vt:lpstr>
      <vt:lpstr>'F-004_구매추진계획수립기안문'!Print_Area</vt:lpstr>
      <vt:lpstr>'F-005_구매추진계획안'!Print_Area</vt:lpstr>
      <vt:lpstr>'F-006_운영위원회심의안'!Print_Area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  <vt:lpstr>'F-041_낙찰자결정'!Print_Area</vt:lpstr>
      <vt:lpstr>'F-042_낙찰자결정통보'!Print_Area</vt:lpstr>
      <vt:lpstr>'F-043_계약체결'!Print_Area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cp:lastPrinted>2026-09-18T16:40:13Z</cp:lastPrinted>
  <dcterms:created xsi:type="dcterms:W3CDTF">2026-09-18T16:37:22Z</dcterms:created>
  <dcterms:modified xsi:type="dcterms:W3CDTF">2026-09-18T16:40:14Z</dcterms:modified>
</cp:coreProperties>
</file>