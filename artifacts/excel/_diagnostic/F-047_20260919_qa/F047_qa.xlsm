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1D742F04-C048-4BE6-92F8-96C4575A4AA6}" xr6:coauthVersionLast="47" xr6:coauthVersionMax="47" xr10:uidLastSave="{00000000-0000-0000-0000-000000000000}"/>
  <bookViews>
    <workbookView xWindow="-108" yWindow="-108" windowWidth="23256" windowHeight="12576" firstSheet="37" activeTab="50" xr2:uid="{E3A05AD2-A347-465A-8931-81562B03B4F4}"/>
  </bookViews>
  <sheets>
    <sheet name="계약방법안내" sheetId="51" r:id="rId1"/>
    <sheet name="절차안내" sheetId="50" r:id="rId2"/>
    <sheet name="학교검색" sheetId="49" r:id="rId3"/>
    <sheet name="학교정보" sheetId="48" r:id="rId4"/>
    <sheet name="F-040_위원청렴보안서약서" sheetId="47" r:id="rId5"/>
    <sheet name="F-039_업체별제안서평가표" sheetId="46" r:id="rId6"/>
    <sheet name="F-038_업체참가등록부" sheetId="45" r:id="rId7"/>
    <sheet name="F-037_평가위원회참석등록부" sheetId="44" r:id="rId8"/>
    <sheet name="F-036_제안서평가결과" sheetId="43" r:id="rId9"/>
    <sheet name="F-035_정량평가결과" sheetId="42" r:id="rId10"/>
    <sheet name="F-034_평가위원회개최" sheetId="41" r:id="rId11"/>
    <sheet name="F-033_제안서접수대장" sheetId="40" r:id="rId12"/>
    <sheet name="F-032_제안서접수결과" sheetId="39" r:id="rId13"/>
    <sheet name="F-047_수요조사가정통신문" sheetId="38" r:id="rId14"/>
    <sheet name="F-048_교복구매안내신청수량파악" sheetId="37" r:id="rId15"/>
    <sheet name="F-046_수요조사가정통신문안내" sheetId="36" r:id="rId16"/>
    <sheet name="F-045_사전안내가정통신문" sheetId="35" r:id="rId17"/>
    <sheet name="F-044_사전안내가정통신문안내" sheetId="34" r:id="rId18"/>
    <sheet name="F-043_계약체결" sheetId="33" r:id="rId19"/>
    <sheet name="F-042_낙찰자결정통보" sheetId="32" r:id="rId20"/>
    <sheet name="F-041_낙찰자결정" sheetId="31" r:id="rId21"/>
    <sheet name="F-006_운영위원회심의안" sheetId="30" r:id="rId22"/>
    <sheet name="F-005_구매추진계획안" sheetId="29" r:id="rId23"/>
    <sheet name="F-004_구매추진계획수립기안문" sheetId="28" r:id="rId24"/>
    <sheet name="F-003_위원청렴보안서약서" sheetId="27" r:id="rId25"/>
    <sheet name="F-002_위원수락확인서" sheetId="26" r:id="rId26"/>
    <sheet name="F-001_위원회구성기안" sheetId="25" r:id="rId27"/>
    <sheet name="F-025_교복AS계획서" sheetId="24" r:id="rId28"/>
    <sheet name="F-023_교복제조사양서" sheetId="23" r:id="rId29"/>
    <sheet name="F-022_교복납품실적표" sheetId="22" r:id="rId30"/>
    <sheet name="F-021_교복납품제안서" sheetId="21" r:id="rId31"/>
    <sheet name="F-020_입찰참가신고서" sheetId="20" r:id="rId32"/>
    <sheet name="F-019_입찰참가신청서" sheetId="19" r:id="rId33"/>
    <sheet name="F-018_정량적평가자기평점표" sheetId="18" r:id="rId34"/>
    <sheet name="F-017_제출서류자기확인서" sheetId="17" r:id="rId35"/>
    <sheet name="F-016_정성적평가" sheetId="16" r:id="rId36"/>
    <sheet name="F-015_정량적평가" sheetId="15" r:id="rId37"/>
    <sheet name="F-014_평가항목배점기준" sheetId="14" r:id="rId38"/>
    <sheet name="F-024_단가비율표" sheetId="13" r:id="rId39"/>
    <sheet name="F-007_구매요청기안문" sheetId="12" r:id="rId40"/>
    <sheet name="서식선택_출력" sheetId="11" r:id="rId41"/>
    <sheet name="DB_자기평점" sheetId="10" state="veryHidden" r:id="rId42"/>
    <sheet name="DB_정성평가" sheetId="9" state="veryHidden" r:id="rId43"/>
    <sheet name="DB_정량평가" sheetId="8" state="veryHidden" r:id="rId44"/>
    <sheet name="DB_평가" sheetId="7" state="veryHidden" r:id="rId45"/>
    <sheet name="DB_위원" sheetId="6" state="veryHidden" r:id="rId46"/>
    <sheet name="DB_업체" sheetId="5" state="veryHidden" r:id="rId47"/>
    <sheet name="DB_품목" sheetId="4" state="veryHidden" r:id="rId48"/>
    <sheet name="DB" sheetId="3" state="hidden" r:id="rId49"/>
    <sheet name="기초자료입력" sheetId="2" r:id="rId50"/>
    <sheet name="사용설명서" sheetId="1" r:id="rId51"/>
  </sheets>
  <functionGroups builtInGroupCount="19"/>
  <definedNames>
    <definedName name="_xlnm._FilterDatabase" localSheetId="48" hidden="1">DB!$A$1:$T$1</definedName>
    <definedName name="_xlnm._FilterDatabase" localSheetId="46" hidden="1">DB_업체!$A$1:$C$1</definedName>
    <definedName name="_xlnm._FilterDatabase" localSheetId="45" hidden="1">DB_위원!$A$1:$D$1</definedName>
    <definedName name="_xlnm._FilterDatabase" localSheetId="41" hidden="1">DB_자기평점!$A$1:$F$1</definedName>
    <definedName name="_xlnm._FilterDatabase" localSheetId="43" hidden="1">DB_정량평가!$A$1:$F$1</definedName>
    <definedName name="_xlnm._FilterDatabase" localSheetId="42" hidden="1">DB_정성평가!$A$1:$G$1</definedName>
    <definedName name="_xlnm._FilterDatabase" localSheetId="44" hidden="1">DB_평가!$A$1:$E$1</definedName>
    <definedName name="_xlnm._FilterDatabase" localSheetId="47" hidden="1">DB_품목!$A$1:$F$1</definedName>
    <definedName name="_xlnm.Print_Area" localSheetId="26">'F-001_위원회구성기안'!$A$1:$H$43</definedName>
    <definedName name="_xlnm.Print_Area" localSheetId="25">'F-002_위원수락확인서'!$A$1:$E$21</definedName>
    <definedName name="_xlnm.Print_Area" localSheetId="24">'F-003_위원청렴보안서약서'!$A$1:$E$20</definedName>
    <definedName name="_xlnm.Print_Area" localSheetId="23">'F-004_구매추진계획수립기안문'!$A$1:$H$20</definedName>
    <definedName name="_xlnm.Print_Area" localSheetId="22">'F-005_구매추진계획안'!$A$1:$G$90</definedName>
    <definedName name="_xlnm.Print_Area" localSheetId="21">'F-006_운영위원회심의안'!$A$1:$H$40</definedName>
    <definedName name="_xlnm.Print_Area" localSheetId="39">'F-007_구매요청기안문'!$A$1:$H$26</definedName>
    <definedName name="_xlnm.Print_Area" localSheetId="37">'F-014_평가항목배점기준'!$A$1:$G$25</definedName>
    <definedName name="_xlnm.Print_Area" localSheetId="36">'F-015_정량적평가'!$B$1:$G$26</definedName>
    <definedName name="_xlnm.Print_Area" localSheetId="35">'F-016_정성적평가'!$B$1:$F$18</definedName>
    <definedName name="_xlnm.Print_Area" localSheetId="34">'F-017_제출서류자기확인서'!$B$1:$E$30</definedName>
    <definedName name="_xlnm.Print_Area" localSheetId="33">'F-018_정량적평가자기평점표'!$B$1:$F$25</definedName>
    <definedName name="_xlnm.Print_Area" localSheetId="32">'F-019_입찰참가신청서'!$B$1:$L$25</definedName>
    <definedName name="_xlnm.Print_Area" localSheetId="31">'F-020_입찰참가신고서'!$B$1:$E$20</definedName>
    <definedName name="_xlnm.Print_Area" localSheetId="30">'F-021_교복납품제안서'!$B$1:$E$31</definedName>
    <definedName name="_xlnm.Print_Area" localSheetId="29">'F-022_교복납품실적표'!$B$1:$G$25</definedName>
    <definedName name="_xlnm.Print_Area" localSheetId="28">'F-023_교복제조사양서'!$B$1:$E$21</definedName>
    <definedName name="_xlnm.Print_Area" localSheetId="38">'F-024_단가비율표'!$A$1:$G$19</definedName>
    <definedName name="_xlnm.Print_Area" localSheetId="27">'F-025_교복AS계획서'!$B$1:$E$31</definedName>
    <definedName name="_xlnm.Print_Area" localSheetId="12">'F-032_제안서접수결과'!$A$1:$H$36</definedName>
    <definedName name="_xlnm.Print_Area" localSheetId="11">'F-033_제안서접수대장'!$A$1:$L$21</definedName>
    <definedName name="_xlnm.Print_Area" localSheetId="10">'F-034_평가위원회개최'!$A$1:$H$38</definedName>
    <definedName name="_xlnm.Print_Area" localSheetId="9">'F-035_정량평가결과'!$A$1:$H$36</definedName>
    <definedName name="_xlnm.Print_Area" localSheetId="8">'F-036_제안서평가결과'!$A$1:$G$38</definedName>
    <definedName name="_xlnm.Print_Area" localSheetId="7">'F-037_평가위원회참석등록부'!$A$1:$H$21</definedName>
    <definedName name="_xlnm.Print_Area" localSheetId="6">'F-038_업체참가등록부'!$A$1:$I$23</definedName>
    <definedName name="_xlnm.Print_Area" localSheetId="5">'F-039_업체별제안서평가표'!$A$1:$J$19</definedName>
    <definedName name="_xlnm.Print_Area" localSheetId="4">'F-040_위원청렴보안서약서'!$A$1:$H$25</definedName>
    <definedName name="_xlnm.Print_Area" localSheetId="20">'F-041_낙찰자결정'!$A$1:$H$29</definedName>
    <definedName name="_xlnm.Print_Area" localSheetId="19">'F-042_낙찰자결정통보'!$A$1:$H$29</definedName>
    <definedName name="_xlnm.Print_Area" localSheetId="18">'F-043_계약체결'!$A$1:$H$37</definedName>
    <definedName name="_xlnm.Print_Area" localSheetId="17">'F-044_사전안내가정통신문안내'!$A$1:$H$25</definedName>
    <definedName name="_xlnm.Print_Area" localSheetId="16">'F-045_사전안내가정통신문'!$A$1:$H$22</definedName>
    <definedName name="_xlnm.Print_Area" localSheetId="15">'F-046_수요조사가정통신문안내'!$A$1:$H$25</definedName>
    <definedName name="_xlnm.Print_Area" localSheetId="13">'F-047_수요조사가정통신문'!$A$1:$H$41</definedName>
    <definedName name="_xlnm.Print_Area" localSheetId="14">'F-048_교복구매안내신청수량파악'!$A$1:$I$45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51" l="1"/>
  <c r="B25" i="47"/>
  <c r="B21" i="47"/>
  <c r="B10" i="47"/>
  <c r="B7" i="47"/>
  <c r="B5" i="47"/>
  <c r="I17" i="46"/>
  <c r="I16" i="46"/>
  <c r="H17" i="46"/>
  <c r="H16" i="46"/>
  <c r="G17" i="46"/>
  <c r="G16" i="46"/>
  <c r="F17" i="46"/>
  <c r="F16" i="46"/>
  <c r="E17" i="46"/>
  <c r="E16" i="46"/>
  <c r="I15" i="46"/>
  <c r="I14" i="46"/>
  <c r="I13" i="46"/>
  <c r="I12" i="46"/>
  <c r="I11" i="46"/>
  <c r="I10" i="46"/>
  <c r="I9" i="46"/>
  <c r="I8" i="46"/>
  <c r="C8" i="46"/>
  <c r="B8" i="46"/>
  <c r="G5" i="46"/>
  <c r="E5" i="46"/>
  <c r="C5" i="46"/>
  <c r="B3" i="46"/>
  <c r="B18" i="45"/>
  <c r="B17" i="45"/>
  <c r="B16" i="45"/>
  <c r="B15" i="45"/>
  <c r="B14" i="45"/>
  <c r="B13" i="45"/>
  <c r="B12" i="45"/>
  <c r="B11" i="45"/>
  <c r="B10" i="45"/>
  <c r="B9" i="45"/>
  <c r="B5" i="45"/>
  <c r="C21" i="44"/>
  <c r="C20" i="44"/>
  <c r="C19" i="44"/>
  <c r="C18" i="44"/>
  <c r="C17" i="44"/>
  <c r="C16" i="44"/>
  <c r="C15" i="44"/>
  <c r="C14" i="44"/>
  <c r="C13" i="44"/>
  <c r="C12" i="44"/>
  <c r="B5" i="44"/>
  <c r="B3" i="44"/>
  <c r="C38" i="43"/>
  <c r="G28" i="43"/>
  <c r="F28" i="43"/>
  <c r="E28" i="43"/>
  <c r="D28" i="43"/>
  <c r="C28" i="43"/>
  <c r="B28" i="43"/>
  <c r="G27" i="43"/>
  <c r="F27" i="43"/>
  <c r="E27" i="43"/>
  <c r="D27" i="43"/>
  <c r="C27" i="43"/>
  <c r="B27" i="43"/>
  <c r="G26" i="43"/>
  <c r="F26" i="43"/>
  <c r="E26" i="43"/>
  <c r="D26" i="43"/>
  <c r="C26" i="43"/>
  <c r="B26" i="43"/>
  <c r="G25" i="43"/>
  <c r="F25" i="43"/>
  <c r="E25" i="43"/>
  <c r="D25" i="43"/>
  <c r="C25" i="43"/>
  <c r="B25" i="43"/>
  <c r="G24" i="43"/>
  <c r="F24" i="43"/>
  <c r="E24" i="43"/>
  <c r="D24" i="43"/>
  <c r="C24" i="43"/>
  <c r="B24" i="43"/>
  <c r="G23" i="43"/>
  <c r="F23" i="43"/>
  <c r="E23" i="43"/>
  <c r="D23" i="43"/>
  <c r="C23" i="43"/>
  <c r="B23" i="43"/>
  <c r="G22" i="43"/>
  <c r="F22" i="43"/>
  <c r="E22" i="43"/>
  <c r="D22" i="43"/>
  <c r="C22" i="43"/>
  <c r="B22" i="43"/>
  <c r="G21" i="43"/>
  <c r="F21" i="43"/>
  <c r="E21" i="43"/>
  <c r="D21" i="43"/>
  <c r="C21" i="43"/>
  <c r="B21" i="43"/>
  <c r="G20" i="43"/>
  <c r="F20" i="43"/>
  <c r="E20" i="43"/>
  <c r="D20" i="43"/>
  <c r="C20" i="43"/>
  <c r="B20" i="43"/>
  <c r="G19" i="43"/>
  <c r="F19" i="43"/>
  <c r="E19" i="43"/>
  <c r="D19" i="43"/>
  <c r="C19" i="43"/>
  <c r="B19" i="43"/>
  <c r="B13" i="43"/>
  <c r="B11" i="43"/>
  <c r="C9" i="43"/>
  <c r="F5" i="43"/>
  <c r="C5" i="43"/>
  <c r="B3" i="43"/>
  <c r="C34" i="42"/>
  <c r="H28" i="42"/>
  <c r="G28" i="42"/>
  <c r="F28" i="42"/>
  <c r="E28" i="42"/>
  <c r="D28" i="42"/>
  <c r="C28" i="42"/>
  <c r="B28" i="42"/>
  <c r="H27" i="42"/>
  <c r="G27" i="42"/>
  <c r="F27" i="42"/>
  <c r="E27" i="42"/>
  <c r="D27" i="42"/>
  <c r="C27" i="42"/>
  <c r="B27" i="42"/>
  <c r="H26" i="42"/>
  <c r="G26" i="42"/>
  <c r="F26" i="42"/>
  <c r="E26" i="42"/>
  <c r="D26" i="42"/>
  <c r="C26" i="42"/>
  <c r="B26" i="42"/>
  <c r="H25" i="42"/>
  <c r="G25" i="42"/>
  <c r="F25" i="42"/>
  <c r="E25" i="42"/>
  <c r="D25" i="42"/>
  <c r="C25" i="42"/>
  <c r="B25" i="42"/>
  <c r="H24" i="42"/>
  <c r="G24" i="42"/>
  <c r="F24" i="42"/>
  <c r="E24" i="42"/>
  <c r="D24" i="42"/>
  <c r="C24" i="42"/>
  <c r="B24" i="42"/>
  <c r="H23" i="42"/>
  <c r="G23" i="42"/>
  <c r="F23" i="42"/>
  <c r="E23" i="42"/>
  <c r="D23" i="42"/>
  <c r="C23" i="42"/>
  <c r="B23" i="42"/>
  <c r="H22" i="42"/>
  <c r="G22" i="42"/>
  <c r="F22" i="42"/>
  <c r="E22" i="42"/>
  <c r="D22" i="42"/>
  <c r="C22" i="42"/>
  <c r="B22" i="42"/>
  <c r="H21" i="42"/>
  <c r="G21" i="42"/>
  <c r="F21" i="42"/>
  <c r="E21" i="42"/>
  <c r="D21" i="42"/>
  <c r="C21" i="42"/>
  <c r="B21" i="42"/>
  <c r="H20" i="42"/>
  <c r="G20" i="42"/>
  <c r="F20" i="42"/>
  <c r="E20" i="42"/>
  <c r="D20" i="42"/>
  <c r="C20" i="42"/>
  <c r="B20" i="42"/>
  <c r="H19" i="42"/>
  <c r="G19" i="42"/>
  <c r="F19" i="42"/>
  <c r="E19" i="42"/>
  <c r="D19" i="42"/>
  <c r="C19" i="42"/>
  <c r="B19" i="42"/>
  <c r="B13" i="42"/>
  <c r="B11" i="42"/>
  <c r="C9" i="42"/>
  <c r="F5" i="42"/>
  <c r="C5" i="42"/>
  <c r="B3" i="42"/>
  <c r="C36" i="41"/>
  <c r="D30" i="41"/>
  <c r="C30" i="41"/>
  <c r="B30" i="41"/>
  <c r="D29" i="41"/>
  <c r="C29" i="41"/>
  <c r="B29" i="41"/>
  <c r="D28" i="41"/>
  <c r="C28" i="41"/>
  <c r="B28" i="41"/>
  <c r="D27" i="41"/>
  <c r="C27" i="41"/>
  <c r="B27" i="41"/>
  <c r="D26" i="41"/>
  <c r="C26" i="41"/>
  <c r="B26" i="41"/>
  <c r="D25" i="41"/>
  <c r="C25" i="41"/>
  <c r="B25" i="41"/>
  <c r="D24" i="41"/>
  <c r="C24" i="41"/>
  <c r="B24" i="41"/>
  <c r="D23" i="41"/>
  <c r="C23" i="41"/>
  <c r="B23" i="41"/>
  <c r="D22" i="41"/>
  <c r="C22" i="41"/>
  <c r="B22" i="41"/>
  <c r="D21" i="41"/>
  <c r="C21" i="41"/>
  <c r="B21" i="41"/>
  <c r="C18" i="41"/>
  <c r="B13" i="41"/>
  <c r="B11" i="41"/>
  <c r="C9" i="41"/>
  <c r="F5" i="41"/>
  <c r="C5" i="41"/>
  <c r="B3" i="41"/>
  <c r="D17" i="40"/>
  <c r="C17" i="40"/>
  <c r="D16" i="40"/>
  <c r="C16" i="40"/>
  <c r="D15" i="40"/>
  <c r="C15" i="40"/>
  <c r="D14" i="40"/>
  <c r="C14" i="40"/>
  <c r="D13" i="40"/>
  <c r="C13" i="40"/>
  <c r="D12" i="40"/>
  <c r="C12" i="40"/>
  <c r="D11" i="40"/>
  <c r="C11" i="40"/>
  <c r="D10" i="40"/>
  <c r="C10" i="40"/>
  <c r="D9" i="40"/>
  <c r="C9" i="40"/>
  <c r="D8" i="40"/>
  <c r="C8" i="40"/>
  <c r="B4" i="40"/>
  <c r="B3" i="40"/>
  <c r="C34" i="39"/>
  <c r="B30" i="39"/>
  <c r="D28" i="39"/>
  <c r="B28" i="39"/>
  <c r="D27" i="39"/>
  <c r="B27" i="39"/>
  <c r="D26" i="39"/>
  <c r="B26" i="39"/>
  <c r="D25" i="39"/>
  <c r="B25" i="39"/>
  <c r="D24" i="39"/>
  <c r="B24" i="39"/>
  <c r="D23" i="39"/>
  <c r="B23" i="39"/>
  <c r="D22" i="39"/>
  <c r="B22" i="39"/>
  <c r="D21" i="39"/>
  <c r="B21" i="39"/>
  <c r="D20" i="39"/>
  <c r="B20" i="39"/>
  <c r="D19" i="39"/>
  <c r="B19" i="39"/>
  <c r="B13" i="39"/>
  <c r="B11" i="39"/>
  <c r="C9" i="39"/>
  <c r="F5" i="39"/>
  <c r="C5" i="39"/>
  <c r="B3" i="39"/>
  <c r="B27" i="38"/>
  <c r="B26" i="38"/>
  <c r="B17" i="38"/>
  <c r="B14" i="38"/>
  <c r="B6" i="38"/>
  <c r="B3" i="38"/>
  <c r="B45" i="37"/>
  <c r="B28" i="37"/>
  <c r="B24" i="37"/>
  <c r="B23" i="37"/>
  <c r="B17" i="37"/>
  <c r="B11" i="37"/>
  <c r="B6" i="37"/>
  <c r="B3" i="37"/>
  <c r="C23" i="36"/>
  <c r="C16" i="36"/>
  <c r="C15" i="36"/>
  <c r="C9" i="36"/>
  <c r="F5" i="36"/>
  <c r="C5" i="36"/>
  <c r="G2" i="36"/>
  <c r="B22" i="35"/>
  <c r="B21" i="35"/>
  <c r="B8" i="35"/>
  <c r="B3" i="35"/>
  <c r="C23" i="34"/>
  <c r="C16" i="34"/>
  <c r="C15" i="34"/>
  <c r="C9" i="34"/>
  <c r="F5" i="34"/>
  <c r="C5" i="34"/>
  <c r="G2" i="34"/>
  <c r="C35" i="33"/>
  <c r="B25" i="33"/>
  <c r="B22" i="33"/>
  <c r="C17" i="33"/>
  <c r="C15" i="33"/>
  <c r="B13" i="33"/>
  <c r="C11" i="33"/>
  <c r="C9" i="33"/>
  <c r="F5" i="33"/>
  <c r="C5" i="33"/>
  <c r="C27" i="32"/>
  <c r="E17" i="32"/>
  <c r="B17" i="32"/>
  <c r="B13" i="32"/>
  <c r="C9" i="32"/>
  <c r="C7" i="32"/>
  <c r="F5" i="32"/>
  <c r="C5" i="32"/>
  <c r="C27" i="31"/>
  <c r="C21" i="31"/>
  <c r="C16" i="31"/>
  <c r="C15" i="31"/>
  <c r="B13" i="31"/>
  <c r="C11" i="31"/>
  <c r="C9" i="31"/>
  <c r="F5" i="31"/>
  <c r="C5" i="31"/>
  <c r="B38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B22" i="30"/>
  <c r="B13" i="30"/>
  <c r="B3" i="30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<sst xmlns="http://schemas.openxmlformats.org/spreadsheetml/2006/main" count="2053" uniqueCount="1182">
  <si>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</si>
  <si>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</si>
  <si>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</si>
  <si>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</si>
  <si>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</si>
  <si>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</si>
  <si>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</si>
  <si>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</si>
  <si>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</si>
  <si>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</si>
  <si>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</si>
  <si>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</si>
  <si>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</si>
  <si>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</si>
  <si>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</si>
  <si>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</si>
  <si>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</si>
  <si>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</si>
  <si>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</si>
  <si>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</si>
  <si>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</si>
  <si>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</si>
  <si>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</si>
  <si>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</si>
  <si>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</si>
  <si>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</si>
  <si>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</si>
  <si>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</si>
  <si>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</si>
  <si>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</si>
  <si>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</si>
  <si>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</si>
  <si>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</si>
  <si>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</si>
  <si>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</si>
  <si>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</si>
  <si>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</si>
  <si>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</si>
  <si>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</si>
  <si>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</si>
  <si>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</si>
  <si>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</si>
  <si>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</si>
  <si>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</si>
  <si>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</si>
  <si>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</si>
  <si>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</si>
  <si>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</si>
  <si>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</si>
  <si>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</si>
  <si>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</si>
  <si>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</si>
  <si>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</si>
  <si>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</si>
  <si>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</si>
  <si>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</si>
  <si>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</si>
  <si>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</si>
  <si>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</si>
  <si>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</si>
  <si>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</si>
  <si>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</si>
  <si>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</si>
  <si>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</si>
  <si>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</si>
  <si>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</si>
  <si>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</si>
  <si>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</si>
  <si>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</si>
  <si>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</si>
  <si>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</si>
  <si>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</si>
  <si>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</si>
  <si>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</si>
  <si>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</si>
  <si>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</si>
  <si>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</si>
  <si>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</si>
  <si>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</si>
  <si>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</si>
  <si>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</si>
  <si>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</si>
  <si>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</si>
  <si>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</si>
  <si>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</si>
  <si>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</si>
  <si>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</si>
  <si>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</si>
  <si>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</si>
  <si>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</si>
  <si>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</si>
  <si>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</si>
  <si>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</si>
  <si>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</si>
  <si>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</si>
  <si>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</si>
  <si>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</si>
  <si>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</si>
  <si>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</si>
  <si>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</si>
  <si>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</si>
  <si>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</si>
  <si>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</si>
  <si>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</si>
  <si>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</si>
  <si>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</si>
  <si>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</si>
  <si>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</si>
  <si>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</si>
  <si>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</si>
  <si>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</si>
  <si>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</si>
  <si>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</si>
  <si>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</si>
  <si>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</si>
  <si>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</si>
  <si>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</si>
  <si>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</si>
  <si>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</si>
  <si>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</si>
  <si>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</si>
  <si>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</si>
  <si>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</si>
  <si>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</si>
  <si>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</si>
  <si>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</si>
  <si>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</si>
  <si>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</si>
  <si>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</si>
  <si>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</si>
  <si>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</si>
  <si>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</si>
  <si>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</si>
  <si>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</si>
  <si>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</si>
  <si>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</si>
  <si>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</si>
  <si>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</si>
  <si>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</si>
  <si>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</si>
  <si>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</si>
  <si>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</si>
  <si>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</si>
  <si>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</si>
  <si>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</si>
  <si>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F-006_운영위원회심의안</t>
  </si>
  <si>
    <t>F-007</t>
  </si>
  <si>
    <t>교복구매 구매 요청</t>
  </si>
  <si>
    <t>입찰</t>
  </si>
  <si>
    <t>F-007_구매요청기안문</t>
  </si>
  <si>
    <t>F-008</t>
  </si>
  <si>
    <t>교복 사양서</t>
  </si>
  <si>
    <t>N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</si>
  <si>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</si>
  <si>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</si>
  <si>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</si>
  <si>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</si>
  <si>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</si>
  <si>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</si>
  <si>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</si>
  <si>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</si>
  <si>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</si>
  <si>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</si>
  <si>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</si>
  <si>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</si>
  <si>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</si>
  <si>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</si>
  <si>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</si>
  <si>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</si>
  <si>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</si>
  <si>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</si>
  <si>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</si>
  <si>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</si>
  <si>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</si>
  <si>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</si>
  <si>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</si>
  <si>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</si>
  <si>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</si>
  <si>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</si>
  <si>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</si>
  <si>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</si>
  <si>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</si>
  <si>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</si>
  <si>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</si>
  <si>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</si>
  <si>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</si>
  <si>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</si>
  <si>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</si>
  <si>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</si>
  <si>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</si>
  <si>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</si>
  <si>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</si>
  <si>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</si>
  <si>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</si>
  <si>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</si>
  <si>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</si>
  <si>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</si>
  <si>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</si>
  <si>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</si>
  <si>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</si>
  <si>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</si>
  <si>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</si>
  <si>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</si>
  <si>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</si>
  <si>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</si>
  <si>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</si>
  <si>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</si>
  <si>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</si>
  <si>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</si>
  <si>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</si>
  <si>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</si>
  <si>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</si>
  <si>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</si>
  <si>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</si>
  <si>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</si>
  <si>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</si>
  <si>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F-032_제안서접수결과</t>
  </si>
  <si>
    <t>F-033</t>
  </si>
  <si>
    <t>제안서 접수대장</t>
  </si>
  <si>
    <t>F-033_제안서접수대장</t>
  </si>
  <si>
    <t>F-034</t>
  </si>
  <si>
    <t>제안서 평가위원회 개최</t>
  </si>
  <si>
    <t>F-034_평가위원회개최</t>
  </si>
  <si>
    <t>F-035</t>
  </si>
  <si>
    <t>제안서 정량평가 결과</t>
  </si>
  <si>
    <t>F-035_정량평가결과</t>
  </si>
  <si>
    <t>F-036</t>
  </si>
  <si>
    <t>제안서 평가 결과</t>
  </si>
  <si>
    <t>F-036_제안서평가결과</t>
  </si>
  <si>
    <t>F-037</t>
  </si>
  <si>
    <t>평가위원회 참석 등록부</t>
  </si>
  <si>
    <t>F-037_평가위원회참석등록부</t>
  </si>
  <si>
    <t>F-038</t>
  </si>
  <si>
    <t>업체 참가 등록부</t>
  </si>
  <si>
    <t>F-038_업체참가등록부</t>
  </si>
  <si>
    <t>F-039</t>
  </si>
  <si>
    <t>업체별 제안서 평가표</t>
  </si>
  <si>
    <t>F-039_업체별제안서평가표</t>
  </si>
  <si>
    <t>F-040</t>
  </si>
  <si>
    <t>F-040_위원청렴보안서약서</t>
  </si>
  <si>
    <t>F-041</t>
  </si>
  <si>
    <t>낙찰자 결정</t>
  </si>
  <si>
    <t>계약</t>
  </si>
  <si>
    <t>F-041_낙찰자결정</t>
  </si>
  <si>
    <t>F-042</t>
  </si>
  <si>
    <t>낙찰자 결정 통보</t>
  </si>
  <si>
    <t>F-042_낙찰자결정통보</t>
  </si>
  <si>
    <t>F-043</t>
  </si>
  <si>
    <t>계약체결</t>
  </si>
  <si>
    <t>F-043_계약체결</t>
  </si>
  <si>
    <t>F-044</t>
  </si>
  <si>
    <t>사전 안내 가정통신문 안내</t>
  </si>
  <si>
    <t>구매</t>
  </si>
  <si>
    <t>F-044_사전안내가정통신문안내</t>
  </si>
  <si>
    <t>F-045</t>
  </si>
  <si>
    <t>교복구매 사전 안내 가정통신문</t>
  </si>
  <si>
    <t>F-045_사전안내가정통신문</t>
  </si>
  <si>
    <t>F-046</t>
  </si>
  <si>
    <t>수요조사 가정통신문 안내</t>
  </si>
  <si>
    <t>F-046_수요조사가정통신문안내</t>
  </si>
  <si>
    <t>F-047</t>
  </si>
  <si>
    <t>교복구매 수요조사 가정통신문</t>
  </si>
  <si>
    <t>F-047_수요조사가정통신문</t>
  </si>
  <si>
    <t>F-048</t>
  </si>
  <si>
    <t>교복 구매 안내(신청 수량 파악)</t>
  </si>
  <si>
    <t>F-048_교복구매안내신청수량파악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</si>
  <si>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</si>
  <si>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</si>
  <si>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</si>
  <si>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</si>
  <si>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</si>
  <si>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</si>
  <si>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</si>
  <si>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</si>
  <si>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</si>
  <si>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</si>
  <si>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</si>
  <si>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</si>
  <si>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</si>
  <si>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</si>
  <si>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</si>
  <si>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</si>
  <si>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</si>
  <si>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</si>
  <si>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</si>
  <si>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</si>
  <si>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</si>
  <si>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</si>
  <si>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</si>
  <si>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</si>
  <si>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</si>
  <si>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</si>
  <si>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</si>
  <si>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</si>
  <si>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</si>
  <si>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</si>
  <si>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</si>
  <si>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</si>
  <si>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</si>
  <si>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</si>
  <si>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</si>
  <si>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</si>
  <si>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</si>
  <si>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</si>
  <si>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</si>
  <si>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</si>
  <si>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</si>
  <si>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</si>
  <si>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</si>
  <si>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</si>
  <si>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</si>
  <si>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</si>
  <si>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</si>
  <si>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</si>
  <si>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</si>
  <si>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</si>
  <si>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</si>
  <si>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</si>
  <si>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</si>
  <si>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</si>
  <si>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</si>
  <si>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</si>
  <si>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</si>
  <si>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</si>
  <si>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</si>
  <si>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</si>
  <si>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</si>
  <si>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</si>
  <si>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</si>
  <si>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</si>
  <si>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</si>
  <si>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</si>
  <si>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</si>
  <si>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</si>
  <si>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</si>
  <si>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</si>
  <si>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</si>
  <si>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</si>
  <si>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</si>
  <si>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</si>
  <si>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</si>
  <si>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</si>
  <si>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</si>
  <si>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</si>
  <si>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</si>
  <si>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</si>
  <si>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</si>
  <si>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</si>
  <si>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</si>
  <si>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</si>
  <si>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</si>
  <si>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</si>
  <si>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</si>
  <si>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</si>
  <si>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</si>
  <si>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</si>
  <si>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</si>
  <si>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</si>
  <si>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</si>
  <si>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</si>
  <si>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</si>
  <si>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</si>
  <si>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</si>
  <si>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</si>
  <si>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</si>
  <si>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</si>
  <si>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</si>
  <si>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</si>
  <si>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</si>
  <si>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</si>
  <si>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</si>
  <si>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</si>
  <si>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</si>
  <si>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</si>
  <si>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</si>
  <si>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</si>
  <si>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</si>
  <si>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</si>
  <si>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</si>
  <si>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</si>
  <si>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</si>
  <si>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</si>
  <si>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</si>
  <si>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</si>
  <si>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</si>
  <si>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</si>
  <si>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</si>
  <si>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</si>
  <si>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</si>
  <si>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</si>
  <si>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</si>
  <si>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</si>
  <si>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</si>
  <si>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</si>
  <si>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</si>
  <si>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</si>
  <si>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</si>
  <si>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</si>
  <si>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</si>
  <si>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</si>
  <si>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</si>
  <si>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</si>
  <si>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</si>
  <si>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</si>
  <si>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</si>
  <si>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</si>
  <si>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</si>
  <si>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</si>
  <si>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</si>
  <si>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</si>
  <si>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</si>
  <si>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</si>
  <si>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</si>
  <si>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</si>
  <si>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</si>
  <si>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</si>
  <si>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</si>
  <si>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</si>
  <si>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</si>
  <si>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</si>
  <si>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</si>
  <si>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</si>
  <si>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</si>
  <si>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</si>
  <si>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</si>
  <si>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</si>
  <si>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</si>
  <si>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</si>
  <si>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</si>
  <si>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</si>
  <si>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</si>
  <si>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</si>
  <si>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</si>
  <si>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</si>
  <si>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</si>
  <si>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</si>
  <si>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</si>
  <si>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</si>
  <si>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</si>
  <si>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</si>
  <si>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</si>
  <si>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</si>
  <si>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</si>
  <si>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</si>
  <si>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</si>
  <si>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</si>
  <si>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</si>
  <si>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</si>
  <si>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</si>
  <si>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</si>
  <si>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</si>
  <si>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</si>
  <si>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</si>
  <si>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</si>
  <si>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</si>
  <si>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</si>
  <si>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</si>
  <si>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</si>
  <si>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</si>
  <si>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</si>
  <si>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</si>
  <si>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</si>
  <si>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</si>
  <si>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</si>
  <si>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</si>
  <si>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</si>
  <si>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</si>
  <si>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</si>
  <si>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</si>
  <si>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</si>
  <si>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</si>
  <si>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</si>
  <si>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</si>
  <si>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</si>
  <si>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</si>
  <si>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</si>
  <si>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</si>
  <si>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</si>
  <si>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</si>
  <si>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</si>
  <si>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</si>
  <si>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</si>
  <si>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</si>
  <si>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</si>
  <si>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</si>
  <si>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</si>
  <si>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</si>
  <si>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</si>
  <si>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</si>
  <si>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</si>
  <si>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</si>
  <si>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</si>
  <si>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</si>
  <si>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</si>
  <si>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</si>
  <si>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</si>
  <si>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</si>
  <si>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</si>
  <si>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</si>
  <si>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</si>
  <si>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</si>
  <si>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</si>
  <si>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</si>
  <si>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</si>
  <si>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</si>
  <si>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</si>
  <si>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</si>
  <si>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</si>
  <si>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</si>
  <si>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</si>
  <si>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</si>
  <si>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</si>
  <si>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</si>
  <si>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</si>
  <si>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</si>
  <si>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</si>
  <si>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</si>
  <si>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</si>
  <si>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</si>
  <si>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</si>
  <si>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</si>
  <si>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</si>
  <si>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</si>
  <si>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</si>
  <si>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</si>
  <si>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</si>
  <si>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</si>
  <si>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</si>
  <si>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</si>
  <si>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</si>
  <si>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</si>
  <si>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</si>
  <si>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</si>
  <si>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</si>
  <si>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</si>
  <si>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</si>
  <si>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</si>
  <si>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</si>
  <si>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</si>
  <si>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</si>
  <si>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</si>
  <si>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</si>
  <si>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</si>
  <si>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</si>
  <si>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</si>
  <si>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</si>
  <si>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</si>
  <si>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</si>
  <si>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</si>
  <si>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</si>
  <si>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</si>
  <si>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</si>
  <si>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</si>
  <si>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</si>
  <si>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</si>
  <si>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</si>
  <si>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</si>
  <si>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</si>
  <si>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</si>
  <si>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</si>
  <si>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</si>
  <si>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</si>
  <si>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</si>
  <si>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</si>
  <si>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</si>
  <si>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</si>
  <si>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</si>
  <si>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</si>
  <si>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</si>
  <si>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</si>
  <si>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</si>
  <si>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</si>
  <si>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</si>
  <si>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</si>
  <si>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</si>
  <si>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</si>
  <si>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</si>
  <si>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</si>
  <si>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</si>
  <si>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</si>
  <si>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</si>
  <si>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</si>
  <si>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</si>
  <si>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</si>
  <si>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</si>
  <si>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</si>
  <si>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</si>
  <si>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</si>
  <si>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</si>
  <si>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</si>
  <si>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</si>
  <si>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[검토중 — 담당자 최종 확인 후 사용] 원본 HWPX 13쪽 [3] 대조. 참고 서식이며 학교운영위원회 자체 서식 사용을 권장함(원문 안내문 그대로 반영)</t>
  </si>
  <si>
    <t>안건번호</t>
  </si>
  <si>
    <t>제출일자</t>
  </si>
  <si>
    <t>제 안 자</t>
  </si>
  <si>
    <t>제안설명자</t>
  </si>
  <si>
    <t>1. 제안 이유</t>
  </si>
  <si>
    <t>❍ 근 거：「초·중등교육법」 제30조의2, 제32조 제1항</t>
  </si>
  <si>
    <t>2. 주요 내용</t>
  </si>
  <si>
    <t>가. 목적</t>
  </si>
  <si>
    <t>❍ 투명하고 공정한 선정 절차로 우수한 품질과 가격 경쟁력 확보</t>
  </si>
  <si>
    <t>❍ 학부모 교육비 부담을 경감하여 교복 가격 안정화 도모</t>
  </si>
  <si>
    <t>나. 교복 납품 사업자 선정 방법</t>
  </si>
  <si>
    <t>❍ 교복선정위원회를 구성하여 교복에 대한 2단계 경쟁(품질 → 가격)을 심사</t>
  </si>
  <si>
    <t>다. 교복구매 상한가격</t>
  </si>
  <si>
    <t>라. 협의사항</t>
  </si>
  <si>
    <t>❍ 교복선정위원회 구성</t>
  </si>
  <si>
    <t>직위</t>
  </si>
  <si>
    <t>❍ 기타 의견 수렴</t>
  </si>
  <si>
    <t>※ 참고 서식이니 해당학교의 학교운영위원회 서식을 사용할 것</t>
  </si>
  <si>
    <t>[검토중 — 담당자 최종 확인 후 사용] 원본 HWPX 70쪽 [14] 대조. 낙찰 업체는 I3 순번으로 1곳만 선택 반영하며 대표자·비고(주소)는 수기 작성함</t>
  </si>
  <si>
    <t>낙찰 업체 선택 순번(자동, 인쇄 전용)</t>
  </si>
  <si>
    <t>교복 학교주관구매 낙찰자 결정(안)</t>
  </si>
  <si>
    <t>가. 건  명：</t>
  </si>
  <si>
    <t>나. 기초금액：</t>
  </si>
  <si>
    <t>다. 예정가격：</t>
  </si>
  <si>
    <t>라. 낙찰자</t>
  </si>
  <si>
    <t>순위</t>
  </si>
  <si>
    <t>투찰금액(원)</t>
  </si>
  <si>
    <t>낙찰률(%)</t>
  </si>
  <si>
    <t>비고(주소)</t>
  </si>
  <si>
    <t>마. 근거：「지방자치단체를 당사자로 하는 계약에 관한 법률 시행령」 제42조.  끝.</t>
  </si>
  <si>
    <t>[검토중 — 담당자 최종 확인 후 사용] 원본 HWPX 71쪽 [15] 대조. 수신·업체명은 I3 순번으로 선택한 낙찰 업체를 반영하며 대표자·비고는 수기 작성함</t>
  </si>
  <si>
    <t>교복 학교주관구매 낙찰자 결정 통보</t>
  </si>
  <si>
    <t>1. 귀사의 무궁한 발전을 기원합니다.</t>
  </si>
  <si>
    <t>가. 낙찰자</t>
  </si>
  <si>
    <t>계약체결금액(원)</t>
  </si>
  <si>
    <t>나. 제출서류</t>
  </si>
  <si>
    <t>1) 품목별 산출내역서 1부.</t>
  </si>
  <si>
    <t>2) 원단 의류 시험성적서 1부.</t>
  </si>
  <si>
    <t>3) 사용인장계(조달등록 인장 아닌 경우) 1부.</t>
  </si>
  <si>
    <t>4) 법인 등기사항증명서(법인) 또는 주민등록등본(개인) 1부.  끝.</t>
  </si>
  <si>
    <t>[검토중 — 담당자 최종 확인 후 사용] 원본 HWPX 72쪽 [16] 대조. 계약상대자 업체명은 I3 순번으로 선택 반영하며 소재지·대표자·전화번호는 수기 작성함. 납품기한은 기초자료입력의 단일 값만 반영(원문 동복/하복 구분 한계)</t>
  </si>
  <si>
    <t>계약상대자 선택 순번(자동, 인쇄 전용)</t>
  </si>
  <si>
    <t>교복 학교주관구매 계약 체결(안)</t>
  </si>
  <si>
    <t>가. 계약명：</t>
  </si>
  <si>
    <t>단가(원) 입력：</t>
  </si>
  <si>
    <t>(담당자가 계약 단가를 직접 입력함 — 기초자료입력 미연동, K-01)</t>
  </si>
  <si>
    <t>나. 계약금액：</t>
  </si>
  <si>
    <t>※ 최종구매수량은 희망 학생 수에 따라 증감될 수 있음.</t>
  </si>
  <si>
    <t>3. 계약상대자</t>
  </si>
  <si>
    <t>소재지</t>
  </si>
  <si>
    <t>4. 계약보증금：교복단가에 예정 수량을 곱한 금액의 10%(보증서 전자 접수)</t>
  </si>
  <si>
    <t>6. 계약방법：나라장터(G2B)를 통한 전자계약</t>
  </si>
  <si>
    <t>붙임 1. 계약서(초안) 1부.</t>
  </si>
  <si>
    <t xml:space="preserve">      2. 교복 사양서 1부.</t>
  </si>
  <si>
    <t xml:space="preserve">      3. 교복 구매계약 특수조건 1부.</t>
  </si>
  <si>
    <t xml:space="preserve">      4. 입찰가격산출내역서(품목별 단가표) 1부.</t>
  </si>
  <si>
    <t xml:space="preserve">      5. 기타서류(별첨).  끝.</t>
  </si>
  <si>
    <t>[검토중 — 담당자 최종 확인 후 사용] 원본 HWPX 73쪽 [17] 대조. 학교·학년도 공통값만 반영하며 학생·학부모 개인정보는 입력·저장·출력하지 않음</t>
  </si>
  <si>
    <t>신입생 교복구매 사전 안내 가정통신문 발송</t>
  </si>
  <si>
    <t>내부결재(사업부서)</t>
  </si>
  <si>
    <t>1. 관련: 전북특별자치도교육청 학교안전과-0000(20○○.) 학교주관공동구매 요령</t>
  </si>
  <si>
    <t>2. 상급학교 진학 이전에 교복 구매에 대한 사전 안내를 실시하기 위하여 붙임과 같이 가정통신문을 발송하고자 합니다.</t>
  </si>
  <si>
    <t>가. 대상:</t>
  </si>
  <si>
    <t>나. 내용:</t>
  </si>
  <si>
    <t>붙임 교복구매 사전 안내 가정통신문 1부. 끝.</t>
  </si>
  <si>
    <t>[검토중 — 담당자 최종 확인 후 사용] 원본 HWPX 74쪽 [17-1] 대조. 학생·학부모 개인정보와 개별 신청값은 입력·저장·출력하지 않음</t>
  </si>
  <si>
    <t>안녕하십니까? 졸업과 함께 상급학교로 진학함을 축하드립니다.</t>
  </si>
  <si>
    <t>정부의「교복 가격 안정화 방안」(2013.7.9)에 따라, 학교는 ‘학교주관구매’를 실시하고 있으며, 전북 도내 교복을 착용하는 대부분의 중·고등학교는 ‘교복 학교주관구매 제도’를 실시하고 있습니다.</t>
  </si>
  <si>
    <t>교복은 ‘학교주관구매’의 권고 상한가인 동복 000원, 하복 000원 이하로 지원하게 됩니다. 학교별 자체 구매계획에 따라 업체를 선정하며, 학생들은 진학하는 중학교(고등학교)에서 교복을 현물로 지원 받습니다.</t>
  </si>
  <si>
    <t>기타 교복 착용 여부와 구매 일정, 착용 시기 등 세부사항은 신입생 배정 발표 이후에 해당 학교의 안내를 통해 반드시 확인하시고, 학교의 안내 없이 교복을 개별적으로 구매하여 착오가 생기는 일이 없도록 유의하시기 바랍니다.</t>
  </si>
  <si>
    <t>감사합니다.</t>
  </si>
  <si>
    <t>[검토중 — 담당자 최종 확인 후 사용] 원본 HWPX 75쪽 [18] 대조. 학교·학년도·구매명 공통값만 반영하며 학생·학부모 개인정보는 입력·저장·출력하지 않음</t>
  </si>
  <si>
    <t>신입생 예비소집일 교복구매 수요조사 가정통신문 발송</t>
  </si>
  <si>
    <t>2. 정확한 교복 물량 파악을 위한 학교주관구매 수요조사를 위해 붙임과 같이 가정통신문을 발송하고자 합니다.</t>
  </si>
  <si>
    <t>붙임 교복구매 수요조사 가정통신문 1부. 끝.</t>
  </si>
  <si>
    <t>[검토중 — 담당자 최종 확인 후 사용] 원본 HWPX 77쪽 [18-3] 대조. 업체명·연락처·치수측정기간·단가는 예시 빈칸(○·0) 그대로 유지, 이름·보호자 성명·전화번호·신청 수량은 입력·저장·자동 출력하지 않음</t>
  </si>
  <si>
    <t>우리 학교는 정부의 교복 가격 안정화 방안과 우리교육청의 교복구매비 지원 사업에 따라 교복에 대한 「학교주관구매」를 통한 교복지원을 하고 있습니다.</t>
  </si>
  <si>
    <t>※ 참고: 2026학년도 충북교육청 교복 학교주관구매 권고 상한가는 동복(4pcs 기준) 245,400원, 하복(2pcs 기준) 99,170원임</t>
  </si>
  <si>
    <t>아울러, 추가 구매를 희망하는 경우(신품 또는 할인된 이월품 선택 가능) 학교에 사전 신청하여 주시기 바랍니다.(교복 물려입기를 할 경우 서식 변경해서 안내)</t>
  </si>
  <si>
    <t>--------------------------------------- 절 취 선 ---------------------------------------</t>
  </si>
  <si>
    <t>년   월   일</t>
  </si>
  <si>
    <t>(※신입생 배정 번호 또는 학년 반을 기재) 이름 (　　　　　)</t>
  </si>
  <si>
    <t>보호자 성명 (　　　　　) 전화번호 (　　　　　)</t>
  </si>
  <si>
    <t>【예시】교복 신청 수량(품목별)</t>
  </si>
  <si>
    <t>품목: 교복(동복)</t>
  </si>
  <si>
    <t>품목(남학생)</t>
  </si>
  <si>
    <t>신청 수량</t>
  </si>
  <si>
    <t>구매가격(원)</t>
  </si>
  <si>
    <t>품목(여학생)</t>
  </si>
  <si>
    <t>자켓</t>
  </si>
  <si>
    <t>셔츠</t>
  </si>
  <si>
    <t>블라우스</t>
  </si>
  <si>
    <t>·</t>
  </si>
  <si>
    <t>※ 교복 품목: 「학칙(학생생활규정)」에서 규정한 단체복 품목</t>
  </si>
  <si>
    <t>[검토중 — 담당자 최종 확인 후 사용, 개인정보 보안검토 대상] 원본 HWPX 76쪽 [18-2] 대조. 참여/미참여 응답란과 이름·보호자 성명·전화번호는 입력·저장·자동 출력하지 않음(완전 공란)</t>
  </si>
  <si>
    <t>우리 학교는 정부의 교복 가격 안정화 방안(2013.7.)에 따라 교복을 학교에서 구매하는 「교복 학교주관구매」를 실시하고 있습니다.</t>
  </si>
  <si>
    <t>학교주관구매로 학부모가 부담하는 교복(상의, 하의, ○○○, ○○)의 가격은 000원이며, 학생들은 ○○년 ○월 ○일부터 교복을 착용하게 됩니다.</t>
  </si>
  <si>
    <t>※ 「교복 물려 입기(중고교복 활용)」 등의 사유로 「학교주관구매」에 참여를 희망하지 않는 경우에도 아래 교복 구매 신청서의 해당란에 표시하여 제출하여 주시되, 학교의 안내 없이 교복을 개별적으로 구매하여 착오가 생기는 일이 없도록 유의하시기 바랍니다.</t>
  </si>
  <si>
    <t>*교복 자율화로 인해 교복 구입여부가 선택사항 인 경우, 반드시 학부모에게 안내</t>
  </si>
  <si>
    <t>---------------------------- 절 취 선 ----------------------------</t>
  </si>
  <si>
    <t>&lt; 교복 구매 신청서 &gt;</t>
  </si>
  <si>
    <t>※ 아래 희망하는 곳의 ( )에 「○」표 하시기 바랍니다.</t>
  </si>
  <si>
    <t>「학교주관 교복구매」에 참여
(학교에서 교복 구매)</t>
  </si>
  <si>
    <t>「학교주관 교복구매」에 미참여
[학교, 구청 등에서 실시하는 중고교복 활용사업(행사)에서 교복을 구함]</t>
  </si>
  <si>
    <t>「교복물려입기」를 통해 교복을 구하고자 함[학교 등]</t>
  </si>
  <si>
    <t>「중고교복나눔장터」에서 교복을 구하고자 함[구청 등]</t>
  </si>
  <si>
    <t>[검토중 — 담당자 최종 확인 후 사용] 원본 HWPX 61쪽 [10] 대조. 업체명만 자동 반영하며 접수일자·대표자는 수기 작성함</t>
  </si>
  <si>
    <t>□ 제안서 접수 결과 □</t>
  </si>
  <si>
    <t>접수번호</t>
  </si>
  <si>
    <t>접수일자</t>
  </si>
  <si>
    <t>업체현황</t>
  </si>
  <si>
    <t>[검토중 — 담당자 최종 확인 후 사용] 원본 HWPX 62쪽 [10-1] 대조. 업체명 외 대표자·연락처·대리인·수령인은 수기 공란임</t>
  </si>
  <si>
    <t>접수_x000D_
일자</t>
  </si>
  <si>
    <t>접수_x000D_
번호</t>
  </si>
  <si>
    <t>회사현황</t>
  </si>
  <si>
    <t>접수인(대리인)현황</t>
  </si>
  <si>
    <t>샘플 반환</t>
  </si>
  <si>
    <t xml:space="preserve">_x000D_
</t>
  </si>
  <si>
    <t>번호</t>
  </si>
  <si>
    <t>접수인</t>
  </si>
  <si>
    <t>일자</t>
  </si>
  <si>
    <t>수령인</t>
  </si>
  <si>
    <t>※ 샘플은 낙찰업체를 제외하고, 낙찰자 결정 이후 7일 이내 업체에서 수거</t>
  </si>
  <si>
    <t>(탈락업체에서 샘플 미수거 시 폐기처분 할 수 있음)</t>
  </si>
  <si>
    <t>[검토중 — 담당자 최종 확인 후 사용] 원본 HWPX 63쪽 [11] 대조. 위원 성명은 마스킹 식별표시만 반영하며 일시·장소는 수기 작성함</t>
  </si>
  <si>
    <t>가. 일시：</t>
  </si>
  <si>
    <t>나. 장소：</t>
  </si>
  <si>
    <t>다. 대상：</t>
  </si>
  <si>
    <t>라. 안내방법：개별통지. 끝.</t>
  </si>
  <si>
    <t>[검토중 — 담당자 최종 확인 후 사용] 원본 HWPX 64쪽 [12] 대조. 업체별 점수는 F-015 학교 정량평가 입력값(기초자료입력 C:F열)을 재조회함</t>
  </si>
  <si>
    <t>□ 정량평가 □</t>
  </si>
  <si>
    <t>수행경험</t>
  </si>
  <si>
    <t>품질인증</t>
  </si>
  <si>
    <t>접근성</t>
  </si>
  <si>
    <t>상한가격</t>
  </si>
  <si>
    <t>붙임  1. 정량 평가표 각 1부.  2. 업체별 실적, 품질 인증, 상한 가격 자료(별첨) 각 1부.  끝.</t>
  </si>
  <si>
    <t>[검토중 — 담당자 최종 확인 후 사용] 원본 HWPX 65쪽 [13] 대조. 원문 표 헤더가 "성 명"이나 실제 값은 적격/부적격 판정이라 "적부 판정"으로 표시함(매핑표 미수정, 기록만)</t>
  </si>
  <si>
    <t>규격 평가(제안서 평가)</t>
  </si>
  <si>
    <t>정량평가</t>
  </si>
  <si>
    <t>정성평가</t>
  </si>
  <si>
    <t>적부 판정</t>
  </si>
  <si>
    <t>비 고</t>
  </si>
  <si>
    <t>※ 적격 여부 판정 점수：합계 80점 이상</t>
  </si>
  <si>
    <t>붙임  1. 제안서 평가위원 등록부 1부.  2. 제안서 설명 업체 참가자 등록부 1부.  3. 제안서 평가의결서 및 집계표 각 1부.  4. 업체별 평가표 00부.  5. 평가위원 청렴 및 보안각서 각 1부.  끝.</t>
  </si>
  <si>
    <t>[검토중 — 담당자 최종 확인 후 사용] 원본 HWPX 66쪽 [13-1] 대조. 참석자 성명·서명은 자필 작성 공란임</t>
  </si>
  <si>
    <t>1. 일시：</t>
  </si>
  <si>
    <t>2. 장소：</t>
  </si>
  <si>
    <t>회의실</t>
  </si>
  <si>
    <t>3. 참석자 현황</t>
  </si>
  <si>
    <t>서명</t>
  </si>
  <si>
    <t>[검토중 — 담당자 최종 확인 후 사용] 원본 HWPX 67쪽 [13-2] 대조. 업체명 외 개인정보·연락처·대리인 정보는 수기 공란임</t>
  </si>
  <si>
    <t>제안서 설명 업체 참가 등록부</t>
  </si>
  <si>
    <t>회사</t>
  </si>
  <si>
    <t>제안자</t>
  </si>
  <si>
    <t>제안심사_x000D_
관리번호</t>
  </si>
  <si>
    <t>※ 제안 심사 관리 번호</t>
  </si>
  <si>
    <t>○ 제안서 블라인드 평가를 위한 관리번호</t>
  </si>
  <si>
    <t>○ 접수 완료 후 제안평가 심사 실시(30분 이상 확보) 전 추첨하여 관리번호 부여</t>
  </si>
  <si>
    <t>- 관리번호는 교복 샘플과 평가위원용 제안서에 표기하여 관리한다.</t>
  </si>
  <si>
    <t>[검토중 — 담당자 최종 확인 후 사용] 원본 HWPX 68쪽 [13-3] 대조. 위원명은 자필 공란이며 옷감·완성도·A/S·하자 점수만 입력함(이 문서 전용 입력칸)</t>
  </si>
  <si>
    <t>위원명</t>
  </si>
  <si>
    <t>옷감의재질
(15점)</t>
  </si>
  <si>
    <t>교복의완성도
(10점)</t>
  </si>
  <si>
    <t>A/S
(15점)</t>
  </si>
  <si>
    <t>하자
(10점)</t>
  </si>
  <si>
    <t>점수합계
(50점)</t>
  </si>
  <si>
    <t>위원별 평가 점수 중
최고점 및 최저점을 제외</t>
  </si>
  <si>
    <t>총계</t>
  </si>
  <si>
    <t>평균</t>
  </si>
  <si>
    <t>※ 학교의 제안서 평가항목에 맞게 변경 가능</t>
  </si>
  <si>
    <t>[검토중 — 담당자 최종 확인 후 사용] 원본 HWPX 69쪽 [13-4] 대조. 서약자 성명·서명은 자필 작성 공란임</t>
  </si>
  <si>
    <t>교복선정위원회 위원 청렴 및 보안 서약서</t>
  </si>
  <si>
    <t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t>
  </si>
  <si>
    <t>3. 업무상 취득한 비밀을 준수하고 보안관계 규정 및 지침을 성실히 수행하겠습니다.</t>
  </si>
  <si>
    <t>4. 평가와 관련하여 알게 된 업무상 비밀을 타인에게 누설하지 않겠으며, 업무상 취득한 비밀을 누설할 때에는 관계법규에 따라 처벌을 받는 것에 이의를 제기하지 않겠습니다.</t>
  </si>
  <si>
    <t>20 년 월 일</t>
  </si>
  <si>
    <t>서 약 자  성 명 :                         (인)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</si>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</sst>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.mm\.dd\."/>
    <numFmt numFmtId="177" formatCode="yyyy\.mm\.dd\.\ hh:mm"/>
    <numFmt numFmtId="178" formatCode="0.0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2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3" fontId="13" fillId="2" borderId="1" xfId="0" applyNumberFormat="1" applyFont="1" applyFill="1" applyBorder="1">
      <alignment vertical="center"/>
    </xf>
    <xf numFmtId="2" fontId="13" fillId="2" borderId="1" xfId="0" applyNumberFormat="1" applyFont="1" applyFill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78" fontId="13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1" xfId="0" applyFont="1" applyBorder="1">
      <alignment vertical="center"/>
    </xf>
    <xf numFmtId="0" fontId="0" fillId="0" borderId="0" xfId="0">
      <alignment vertical="center"/>
    </xf>
    <xf numFmtId="0" fontId="12" fillId="0" borderId="1" xfId="0" applyFont="1" applyBorder="1">
      <alignment vertical="center"/>
    </xf>
    <xf numFmtId="0" fontId="13" fillId="2" borderId="0" xfId="0" applyFont="1" applyFill="1">
      <alignment vertical="center"/>
    </xf>
    <xf numFmtId="0" fontId="9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6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12" fillId="0" borderId="0" xfId="0" applyFont="1" applyAlignment="1">
      <alignment vertical="center" wrapText="1"/>
    </xf>
    <xf numFmtId="3" fontId="13" fillId="2" borderId="0" xfId="0" applyNumberFormat="1" applyFont="1" applyFill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2" fillId="0" borderId="2" xfId="0" applyFont="1" applyBorder="1">
      <alignment vertical="center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>
      <alignment vertical="center"/>
    </xf>
    <xf numFmtId="0" fontId="13" fillId="0" borderId="1" xfId="0" applyFont="1" applyBorder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2049" name="btn계약방법반영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60C1EA5-25B0-49D1-BB05-1ED2D92DEE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3073" name="btn관련FormID이동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A7CA81B3-3EF9-4561-A7D9-105952223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4097" name="btn학교검색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519F4FDA-5335-4EBE-BF07-F741E1885E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4098" name="btn선택학교반영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12AF34C8-A209-492B-BC9F-E74D643AD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43009" name="btn인쇄미리보기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D2086CF4-8104-4E03-9A93-0628FC267C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43010" name="btnPDF저장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D64DC974-F50F-4502-B6E3-498D4A100F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52225" name="btn초기화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F39792B1-26D9-4461-8420-A64D7B0FDA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52226" name="btn저장하기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BE780DAF-2BF5-4BF8-8FB7-68AA784017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52227" name="btn수정하기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CEA055CE-6218-4F8D-ACA0-7FFCF7CD64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52228" name="btn불러오기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C96AB04F-D827-4A34-8D02-1D4E3B5012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8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AE479-958D-472B-9B89-EB8E1058C026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1168</v>
      </c>
    </row>
    <row r="2" spans="1:5" ht="42" customHeight="1" x14ac:dyDescent="0.4">
      <c r="A2" s="71" t="s">
        <v>1169</v>
      </c>
      <c r="B2" s="71"/>
      <c r="C2" s="71"/>
      <c r="D2" s="71"/>
      <c r="E2" s="71"/>
    </row>
    <row r="4" spans="1:5" x14ac:dyDescent="0.4">
      <c r="A4" s="62" t="s">
        <v>1170</v>
      </c>
      <c r="B4" s="62" t="s">
        <v>1171</v>
      </c>
      <c r="C4" s="62" t="s">
        <v>1172</v>
      </c>
    </row>
    <row r="5" spans="1:5" x14ac:dyDescent="0.4">
      <c r="A5" s="68" t="s">
        <v>1173</v>
      </c>
      <c r="B5" s="70"/>
      <c r="C5" s="69" t="s">
        <v>1176</v>
      </c>
    </row>
    <row r="6" spans="1:5" x14ac:dyDescent="0.4">
      <c r="A6" s="68" t="s">
        <v>1174</v>
      </c>
      <c r="B6" s="70"/>
      <c r="C6" s="69" t="s">
        <v>1177</v>
      </c>
    </row>
    <row r="7" spans="1:5" x14ac:dyDescent="0.4">
      <c r="A7" s="68" t="s">
        <v>1175</v>
      </c>
      <c r="B7" s="68" t="str">
        <f>IF(AND(B5="예",B6="예"),"2단계 입찰(규격·가격 동시)","")</f>
        <v/>
      </c>
      <c r="C7" s="69" t="s">
        <v>1178</v>
      </c>
    </row>
    <row r="9" spans="1:5" x14ac:dyDescent="0.4">
      <c r="A9" s="3" t="s">
        <v>1179</v>
      </c>
    </row>
    <row r="10" spans="1:5" ht="36" customHeight="1" x14ac:dyDescent="0.4">
      <c r="A10" s="71" t="s">
        <v>1180</v>
      </c>
      <c r="B10" s="71"/>
      <c r="C10" s="71"/>
      <c r="D10" s="71"/>
      <c r="E10" s="71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6E73F6AD-A0A1-4E31-9866-855D73E1F923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CB319-FBDF-4F8B-AC5B-21181AB8F925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1137</v>
      </c>
    </row>
    <row r="2" spans="1:4" x14ac:dyDescent="0.4">
      <c r="A2" t="s">
        <v>1138</v>
      </c>
    </row>
    <row r="4" spans="1:4" x14ac:dyDescent="0.4">
      <c r="A4" s="17" t="s">
        <v>1139</v>
      </c>
      <c r="B4" s="17" t="s">
        <v>1140</v>
      </c>
      <c r="C4" s="17" t="s">
        <v>1141</v>
      </c>
      <c r="D4" s="17" t="s">
        <v>1142</v>
      </c>
    </row>
    <row r="5" spans="1:4" x14ac:dyDescent="0.4">
      <c r="A5" s="67" t="s">
        <v>1143</v>
      </c>
      <c r="B5" s="69" t="s">
        <v>1144</v>
      </c>
      <c r="C5" s="69" t="s">
        <v>1145</v>
      </c>
      <c r="D5" s="67" t="s">
        <v>126</v>
      </c>
    </row>
    <row r="6" spans="1:4" x14ac:dyDescent="0.4">
      <c r="A6" s="67" t="s">
        <v>1146</v>
      </c>
      <c r="B6" s="69" t="s">
        <v>1147</v>
      </c>
      <c r="C6" s="69" t="s">
        <v>143</v>
      </c>
      <c r="D6" s="67" t="s">
        <v>143</v>
      </c>
    </row>
    <row r="7" spans="1:4" x14ac:dyDescent="0.4">
      <c r="A7" s="67" t="s">
        <v>1148</v>
      </c>
      <c r="B7" s="69" t="s">
        <v>1149</v>
      </c>
      <c r="C7" s="69" t="s">
        <v>1150</v>
      </c>
      <c r="D7" s="67" t="s">
        <v>146</v>
      </c>
    </row>
    <row r="8" spans="1:4" x14ac:dyDescent="0.4">
      <c r="A8" s="67" t="s">
        <v>1151</v>
      </c>
      <c r="B8" s="69" t="s">
        <v>1152</v>
      </c>
      <c r="C8" s="69" t="s">
        <v>1153</v>
      </c>
      <c r="D8" s="67" t="s">
        <v>157</v>
      </c>
    </row>
    <row r="9" spans="1:4" x14ac:dyDescent="0.4">
      <c r="A9" s="67" t="s">
        <v>1154</v>
      </c>
      <c r="B9" s="69" t="s">
        <v>1155</v>
      </c>
      <c r="C9" s="69" t="s">
        <v>1156</v>
      </c>
      <c r="D9" s="67" t="s">
        <v>175</v>
      </c>
    </row>
    <row r="10" spans="1:4" x14ac:dyDescent="0.4">
      <c r="A10" s="67" t="s">
        <v>1157</v>
      </c>
      <c r="B10" s="69" t="s">
        <v>1158</v>
      </c>
      <c r="C10" s="69" t="s">
        <v>1159</v>
      </c>
      <c r="D10" s="67" t="s">
        <v>165</v>
      </c>
    </row>
    <row r="11" spans="1:4" x14ac:dyDescent="0.4">
      <c r="A11" s="67" t="s">
        <v>1160</v>
      </c>
      <c r="B11" s="69" t="s">
        <v>1161</v>
      </c>
      <c r="C11" s="69" t="s">
        <v>1162</v>
      </c>
      <c r="D11" s="67" t="s">
        <v>240</v>
      </c>
    </row>
    <row r="12" spans="1:4" x14ac:dyDescent="0.4">
      <c r="A12" s="67" t="s">
        <v>1163</v>
      </c>
      <c r="B12" s="69" t="s">
        <v>1164</v>
      </c>
      <c r="C12" s="69" t="s">
        <v>247</v>
      </c>
      <c r="D12" s="67" t="s">
        <v>247</v>
      </c>
    </row>
    <row r="13" spans="1:4" x14ac:dyDescent="0.4">
      <c r="A13" s="67" t="s">
        <v>1165</v>
      </c>
      <c r="B13" s="69" t="s">
        <v>1166</v>
      </c>
      <c r="C13" s="69" t="s">
        <v>1167</v>
      </c>
      <c r="D13" s="67" t="s">
        <v>250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99C1A-B552-4514-B3CC-6D165ED29A4D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1135</v>
      </c>
    </row>
    <row r="2" spans="1:6" x14ac:dyDescent="0.4">
      <c r="A2" t="s">
        <v>1136</v>
      </c>
    </row>
    <row r="3" spans="1:6" x14ac:dyDescent="0.4">
      <c r="A3" t="s">
        <v>87</v>
      </c>
      <c r="B3" s="9"/>
      <c r="C3" t="s">
        <v>769</v>
      </c>
      <c r="D3" s="9"/>
      <c r="E3" t="s">
        <v>770</v>
      </c>
      <c r="F3" s="9"/>
    </row>
    <row r="6" spans="1:6" x14ac:dyDescent="0.4">
      <c r="A6" s="62" t="s">
        <v>710</v>
      </c>
      <c r="B6" s="62" t="s">
        <v>769</v>
      </c>
      <c r="C6" s="62" t="s">
        <v>770</v>
      </c>
      <c r="D6" s="62" t="s">
        <v>87</v>
      </c>
      <c r="E6" s="62" t="s">
        <v>295</v>
      </c>
      <c r="F6" s="62" t="s">
        <v>370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C5C7C-C3C9-4053-A74D-EA48241D69B8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710</v>
      </c>
      <c r="B1" s="3" t="s">
        <v>769</v>
      </c>
      <c r="C1" s="3" t="s">
        <v>770</v>
      </c>
      <c r="D1" s="3" t="s">
        <v>771</v>
      </c>
      <c r="E1" s="3" t="s">
        <v>87</v>
      </c>
      <c r="F1" s="3" t="s">
        <v>295</v>
      </c>
      <c r="G1" s="3" t="s">
        <v>370</v>
      </c>
    </row>
    <row r="2" spans="1:7" x14ac:dyDescent="0.4">
      <c r="A2">
        <v>808</v>
      </c>
      <c r="B2" t="s">
        <v>772</v>
      </c>
      <c r="C2" t="s">
        <v>773</v>
      </c>
      <c r="D2" t="s">
        <v>774</v>
      </c>
      <c r="E2" t="s">
        <v>775</v>
      </c>
      <c r="F2" t="s">
        <v>776</v>
      </c>
      <c r="G2" t="s">
        <v>777</v>
      </c>
    </row>
    <row r="3" spans="1:7" x14ac:dyDescent="0.4">
      <c r="A3">
        <v>807</v>
      </c>
      <c r="B3" t="s">
        <v>772</v>
      </c>
      <c r="C3" t="s">
        <v>778</v>
      </c>
      <c r="D3" t="s">
        <v>779</v>
      </c>
      <c r="E3" t="s">
        <v>780</v>
      </c>
      <c r="F3" t="s">
        <v>781</v>
      </c>
      <c r="G3" t="s">
        <v>782</v>
      </c>
    </row>
    <row r="4" spans="1:7" x14ac:dyDescent="0.4">
      <c r="A4">
        <v>806</v>
      </c>
      <c r="B4" t="s">
        <v>772</v>
      </c>
      <c r="C4" t="s">
        <v>773</v>
      </c>
      <c r="D4" t="s">
        <v>779</v>
      </c>
      <c r="E4" t="s">
        <v>783</v>
      </c>
      <c r="F4" t="s">
        <v>784</v>
      </c>
      <c r="G4" t="s">
        <v>785</v>
      </c>
    </row>
    <row r="5" spans="1:7" x14ac:dyDescent="0.4">
      <c r="A5">
        <v>805</v>
      </c>
      <c r="B5" t="s">
        <v>772</v>
      </c>
      <c r="C5" t="s">
        <v>773</v>
      </c>
      <c r="D5" t="s">
        <v>774</v>
      </c>
      <c r="E5" t="s">
        <v>786</v>
      </c>
      <c r="F5" t="s">
        <v>787</v>
      </c>
      <c r="G5" t="s">
        <v>788</v>
      </c>
    </row>
    <row r="6" spans="1:7" x14ac:dyDescent="0.4">
      <c r="A6">
        <v>804</v>
      </c>
      <c r="B6" t="s">
        <v>772</v>
      </c>
      <c r="C6" t="s">
        <v>773</v>
      </c>
      <c r="D6" t="s">
        <v>774</v>
      </c>
      <c r="E6" t="s">
        <v>789</v>
      </c>
      <c r="F6" t="s">
        <v>790</v>
      </c>
      <c r="G6" t="s">
        <v>791</v>
      </c>
    </row>
    <row r="7" spans="1:7" x14ac:dyDescent="0.4">
      <c r="A7">
        <v>803</v>
      </c>
      <c r="B7" t="s">
        <v>772</v>
      </c>
      <c r="C7" t="s">
        <v>778</v>
      </c>
      <c r="D7" t="s">
        <v>774</v>
      </c>
      <c r="E7" t="s">
        <v>792</v>
      </c>
      <c r="F7" t="s">
        <v>790</v>
      </c>
      <c r="G7" t="s">
        <v>793</v>
      </c>
    </row>
    <row r="8" spans="1:7" x14ac:dyDescent="0.4">
      <c r="A8">
        <v>802</v>
      </c>
      <c r="B8" t="s">
        <v>772</v>
      </c>
      <c r="C8" t="s">
        <v>773</v>
      </c>
      <c r="D8" t="s">
        <v>774</v>
      </c>
      <c r="E8" t="s">
        <v>794</v>
      </c>
      <c r="F8" t="s">
        <v>795</v>
      </c>
      <c r="G8" t="s">
        <v>796</v>
      </c>
    </row>
    <row r="9" spans="1:7" x14ac:dyDescent="0.4">
      <c r="A9">
        <v>801</v>
      </c>
      <c r="B9" t="s">
        <v>772</v>
      </c>
      <c r="C9" t="s">
        <v>773</v>
      </c>
      <c r="D9" t="s">
        <v>774</v>
      </c>
      <c r="E9" t="s">
        <v>797</v>
      </c>
      <c r="F9" t="s">
        <v>798</v>
      </c>
      <c r="G9" t="s">
        <v>799</v>
      </c>
    </row>
    <row r="10" spans="1:7" x14ac:dyDescent="0.4">
      <c r="A10">
        <v>800</v>
      </c>
      <c r="B10" t="s">
        <v>772</v>
      </c>
      <c r="C10" t="s">
        <v>773</v>
      </c>
      <c r="D10" t="s">
        <v>779</v>
      </c>
      <c r="E10" t="s">
        <v>800</v>
      </c>
      <c r="F10" t="s">
        <v>801</v>
      </c>
      <c r="G10" t="s">
        <v>802</v>
      </c>
    </row>
    <row r="11" spans="1:7" x14ac:dyDescent="0.4">
      <c r="A11">
        <v>799</v>
      </c>
      <c r="B11" t="s">
        <v>772</v>
      </c>
      <c r="C11" t="s">
        <v>778</v>
      </c>
      <c r="D11" t="s">
        <v>779</v>
      </c>
      <c r="E11" t="s">
        <v>803</v>
      </c>
      <c r="F11" t="s">
        <v>804</v>
      </c>
      <c r="G11" t="s">
        <v>805</v>
      </c>
    </row>
    <row r="12" spans="1:7" x14ac:dyDescent="0.4">
      <c r="A12">
        <v>798</v>
      </c>
      <c r="B12" t="s">
        <v>772</v>
      </c>
      <c r="C12" t="s">
        <v>773</v>
      </c>
      <c r="D12" t="s">
        <v>806</v>
      </c>
      <c r="E12" t="s">
        <v>807</v>
      </c>
      <c r="F12" t="s">
        <v>808</v>
      </c>
      <c r="G12" t="s">
        <v>809</v>
      </c>
    </row>
    <row r="13" spans="1:7" x14ac:dyDescent="0.4">
      <c r="A13">
        <v>797</v>
      </c>
      <c r="B13" t="s">
        <v>772</v>
      </c>
      <c r="C13" t="s">
        <v>773</v>
      </c>
      <c r="D13" t="s">
        <v>774</v>
      </c>
      <c r="E13" t="s">
        <v>810</v>
      </c>
      <c r="F13" t="s">
        <v>811</v>
      </c>
      <c r="G13" t="s">
        <v>812</v>
      </c>
    </row>
    <row r="14" spans="1:7" x14ac:dyDescent="0.4">
      <c r="A14">
        <v>796</v>
      </c>
      <c r="B14" t="s">
        <v>772</v>
      </c>
      <c r="C14" t="s">
        <v>778</v>
      </c>
      <c r="D14" t="s">
        <v>774</v>
      </c>
      <c r="E14" t="s">
        <v>813</v>
      </c>
      <c r="F14" t="s">
        <v>795</v>
      </c>
      <c r="G14" t="s">
        <v>814</v>
      </c>
    </row>
    <row r="15" spans="1:7" x14ac:dyDescent="0.4">
      <c r="A15">
        <v>795</v>
      </c>
      <c r="B15" t="s">
        <v>772</v>
      </c>
      <c r="C15" t="s">
        <v>773</v>
      </c>
      <c r="D15" t="s">
        <v>774</v>
      </c>
      <c r="E15" t="s">
        <v>815</v>
      </c>
      <c r="F15" t="s">
        <v>816</v>
      </c>
      <c r="G15" t="s">
        <v>817</v>
      </c>
    </row>
    <row r="16" spans="1:7" x14ac:dyDescent="0.4">
      <c r="A16">
        <v>794</v>
      </c>
      <c r="B16" t="s">
        <v>772</v>
      </c>
      <c r="C16" t="s">
        <v>778</v>
      </c>
      <c r="D16" t="s">
        <v>779</v>
      </c>
      <c r="E16" t="s">
        <v>818</v>
      </c>
      <c r="F16" t="s">
        <v>819</v>
      </c>
      <c r="G16" t="s">
        <v>820</v>
      </c>
    </row>
    <row r="17" spans="1:7" x14ac:dyDescent="0.4">
      <c r="A17">
        <v>793</v>
      </c>
      <c r="B17" t="s">
        <v>772</v>
      </c>
      <c r="C17" t="s">
        <v>773</v>
      </c>
      <c r="D17" t="s">
        <v>779</v>
      </c>
      <c r="E17" t="s">
        <v>821</v>
      </c>
      <c r="F17" t="s">
        <v>822</v>
      </c>
      <c r="G17" t="s">
        <v>823</v>
      </c>
    </row>
    <row r="18" spans="1:7" x14ac:dyDescent="0.4">
      <c r="A18">
        <v>792</v>
      </c>
      <c r="B18" t="s">
        <v>772</v>
      </c>
      <c r="C18" t="s">
        <v>778</v>
      </c>
      <c r="D18" t="s">
        <v>779</v>
      </c>
      <c r="E18" t="s">
        <v>824</v>
      </c>
      <c r="F18" t="s">
        <v>825</v>
      </c>
      <c r="G18" t="s">
        <v>826</v>
      </c>
    </row>
    <row r="19" spans="1:7" x14ac:dyDescent="0.4">
      <c r="A19">
        <v>791</v>
      </c>
      <c r="B19" t="s">
        <v>772</v>
      </c>
      <c r="C19" t="s">
        <v>773</v>
      </c>
      <c r="D19" t="s">
        <v>779</v>
      </c>
      <c r="E19" t="s">
        <v>827</v>
      </c>
      <c r="F19" t="s">
        <v>828</v>
      </c>
      <c r="G19" t="s">
        <v>829</v>
      </c>
    </row>
    <row r="20" spans="1:7" x14ac:dyDescent="0.4">
      <c r="A20">
        <v>790</v>
      </c>
      <c r="B20" t="s">
        <v>772</v>
      </c>
      <c r="C20" t="s">
        <v>830</v>
      </c>
      <c r="D20" t="s">
        <v>806</v>
      </c>
      <c r="E20" t="s">
        <v>831</v>
      </c>
      <c r="F20" t="s">
        <v>832</v>
      </c>
      <c r="G20" t="s">
        <v>833</v>
      </c>
    </row>
    <row r="21" spans="1:7" x14ac:dyDescent="0.4">
      <c r="A21">
        <v>789</v>
      </c>
      <c r="B21" t="s">
        <v>772</v>
      </c>
      <c r="C21" t="s">
        <v>773</v>
      </c>
      <c r="D21" t="s">
        <v>774</v>
      </c>
      <c r="E21" t="s">
        <v>834</v>
      </c>
      <c r="F21" t="s">
        <v>835</v>
      </c>
      <c r="G21" t="s">
        <v>836</v>
      </c>
    </row>
    <row r="22" spans="1:7" x14ac:dyDescent="0.4">
      <c r="A22">
        <v>788</v>
      </c>
      <c r="B22" t="s">
        <v>772</v>
      </c>
      <c r="C22" t="s">
        <v>778</v>
      </c>
      <c r="D22" t="s">
        <v>774</v>
      </c>
      <c r="E22" t="s">
        <v>837</v>
      </c>
      <c r="F22" t="s">
        <v>835</v>
      </c>
      <c r="G22" t="s">
        <v>838</v>
      </c>
    </row>
    <row r="23" spans="1:7" x14ac:dyDescent="0.4">
      <c r="A23">
        <v>787</v>
      </c>
      <c r="B23" t="s">
        <v>772</v>
      </c>
      <c r="C23" t="s">
        <v>830</v>
      </c>
      <c r="D23" t="s">
        <v>779</v>
      </c>
      <c r="E23" t="s">
        <v>839</v>
      </c>
      <c r="F23" t="s">
        <v>840</v>
      </c>
      <c r="G23" t="s">
        <v>841</v>
      </c>
    </row>
    <row r="24" spans="1:7" x14ac:dyDescent="0.4">
      <c r="A24">
        <v>786</v>
      </c>
      <c r="B24" t="s">
        <v>772</v>
      </c>
      <c r="C24" t="s">
        <v>830</v>
      </c>
      <c r="D24" t="s">
        <v>779</v>
      </c>
      <c r="E24" t="s">
        <v>842</v>
      </c>
      <c r="F24" t="s">
        <v>843</v>
      </c>
      <c r="G24" t="s">
        <v>844</v>
      </c>
    </row>
    <row r="25" spans="1:7" x14ac:dyDescent="0.4">
      <c r="A25">
        <v>785</v>
      </c>
      <c r="B25" t="s">
        <v>772</v>
      </c>
      <c r="C25" t="s">
        <v>778</v>
      </c>
      <c r="D25" t="s">
        <v>779</v>
      </c>
      <c r="E25" t="s">
        <v>845</v>
      </c>
      <c r="F25" t="s">
        <v>846</v>
      </c>
      <c r="G25" t="s">
        <v>847</v>
      </c>
    </row>
    <row r="26" spans="1:7" x14ac:dyDescent="0.4">
      <c r="A26">
        <v>784</v>
      </c>
      <c r="B26" t="s">
        <v>772</v>
      </c>
      <c r="C26" t="s">
        <v>830</v>
      </c>
      <c r="D26" t="s">
        <v>779</v>
      </c>
      <c r="E26" t="s">
        <v>848</v>
      </c>
      <c r="F26" t="s">
        <v>849</v>
      </c>
      <c r="G26" t="s">
        <v>850</v>
      </c>
    </row>
    <row r="27" spans="1:7" x14ac:dyDescent="0.4">
      <c r="A27">
        <v>783</v>
      </c>
      <c r="B27" t="s">
        <v>772</v>
      </c>
      <c r="C27" t="s">
        <v>773</v>
      </c>
      <c r="D27" t="s">
        <v>774</v>
      </c>
      <c r="E27" t="s">
        <v>851</v>
      </c>
      <c r="F27" t="s">
        <v>852</v>
      </c>
      <c r="G27" t="s">
        <v>853</v>
      </c>
    </row>
    <row r="28" spans="1:7" x14ac:dyDescent="0.4">
      <c r="A28">
        <v>782</v>
      </c>
      <c r="B28" t="s">
        <v>772</v>
      </c>
      <c r="C28" t="s">
        <v>778</v>
      </c>
      <c r="D28" t="s">
        <v>774</v>
      </c>
      <c r="E28" t="s">
        <v>854</v>
      </c>
      <c r="F28" t="s">
        <v>852</v>
      </c>
      <c r="G28" t="s">
        <v>855</v>
      </c>
    </row>
    <row r="29" spans="1:7" x14ac:dyDescent="0.4">
      <c r="A29">
        <v>781</v>
      </c>
      <c r="B29" t="s">
        <v>772</v>
      </c>
      <c r="C29" t="s">
        <v>778</v>
      </c>
      <c r="D29" t="s">
        <v>779</v>
      </c>
      <c r="E29" t="s">
        <v>856</v>
      </c>
      <c r="F29" t="s">
        <v>857</v>
      </c>
      <c r="G29" t="s">
        <v>858</v>
      </c>
    </row>
    <row r="30" spans="1:7" x14ac:dyDescent="0.4">
      <c r="A30">
        <v>780</v>
      </c>
      <c r="B30" t="s">
        <v>772</v>
      </c>
      <c r="C30" t="s">
        <v>830</v>
      </c>
      <c r="D30" t="s">
        <v>779</v>
      </c>
      <c r="E30" t="s">
        <v>859</v>
      </c>
      <c r="F30" t="s">
        <v>860</v>
      </c>
      <c r="G30" t="s">
        <v>861</v>
      </c>
    </row>
    <row r="31" spans="1:7" x14ac:dyDescent="0.4">
      <c r="A31">
        <v>779</v>
      </c>
      <c r="B31" t="s">
        <v>772</v>
      </c>
      <c r="C31" t="s">
        <v>830</v>
      </c>
      <c r="D31" t="s">
        <v>779</v>
      </c>
      <c r="E31" t="s">
        <v>862</v>
      </c>
      <c r="F31" t="s">
        <v>863</v>
      </c>
      <c r="G31" t="s">
        <v>864</v>
      </c>
    </row>
    <row r="32" spans="1:7" x14ac:dyDescent="0.4">
      <c r="A32">
        <v>778</v>
      </c>
      <c r="B32" t="s">
        <v>772</v>
      </c>
      <c r="C32" t="s">
        <v>830</v>
      </c>
      <c r="D32" t="s">
        <v>779</v>
      </c>
      <c r="E32" t="s">
        <v>865</v>
      </c>
      <c r="F32" t="s">
        <v>866</v>
      </c>
      <c r="G32" t="s">
        <v>867</v>
      </c>
    </row>
    <row r="33" spans="1:7" x14ac:dyDescent="0.4">
      <c r="A33">
        <v>777</v>
      </c>
      <c r="B33" t="s">
        <v>772</v>
      </c>
      <c r="C33" t="s">
        <v>773</v>
      </c>
      <c r="D33" t="s">
        <v>774</v>
      </c>
      <c r="E33" t="s">
        <v>868</v>
      </c>
      <c r="F33" t="s">
        <v>869</v>
      </c>
      <c r="G33" t="s">
        <v>870</v>
      </c>
    </row>
    <row r="34" spans="1:7" x14ac:dyDescent="0.4">
      <c r="A34">
        <v>776</v>
      </c>
      <c r="B34" t="s">
        <v>772</v>
      </c>
      <c r="C34" t="s">
        <v>778</v>
      </c>
      <c r="D34" t="s">
        <v>779</v>
      </c>
      <c r="E34" t="s">
        <v>871</v>
      </c>
      <c r="F34" t="s">
        <v>872</v>
      </c>
      <c r="G34" t="s">
        <v>873</v>
      </c>
    </row>
    <row r="35" spans="1:7" x14ac:dyDescent="0.4">
      <c r="A35">
        <v>775</v>
      </c>
      <c r="B35" t="s">
        <v>772</v>
      </c>
      <c r="C35" t="s">
        <v>830</v>
      </c>
      <c r="D35" t="s">
        <v>779</v>
      </c>
      <c r="E35" t="s">
        <v>874</v>
      </c>
      <c r="F35" t="s">
        <v>875</v>
      </c>
      <c r="G35" t="s">
        <v>876</v>
      </c>
    </row>
    <row r="36" spans="1:7" x14ac:dyDescent="0.4">
      <c r="A36">
        <v>774</v>
      </c>
      <c r="B36" t="s">
        <v>772</v>
      </c>
      <c r="C36" t="s">
        <v>778</v>
      </c>
      <c r="D36" t="s">
        <v>774</v>
      </c>
      <c r="E36" t="s">
        <v>877</v>
      </c>
      <c r="F36" t="s">
        <v>878</v>
      </c>
      <c r="G36" t="s">
        <v>879</v>
      </c>
    </row>
    <row r="37" spans="1:7" x14ac:dyDescent="0.4">
      <c r="A37">
        <v>773</v>
      </c>
      <c r="B37" t="s">
        <v>772</v>
      </c>
      <c r="C37" t="s">
        <v>830</v>
      </c>
      <c r="D37" t="s">
        <v>779</v>
      </c>
      <c r="E37" t="s">
        <v>880</v>
      </c>
      <c r="F37" t="s">
        <v>881</v>
      </c>
      <c r="G37" t="s">
        <v>882</v>
      </c>
    </row>
    <row r="38" spans="1:7" x14ac:dyDescent="0.4">
      <c r="A38">
        <v>772</v>
      </c>
      <c r="B38" t="s">
        <v>772</v>
      </c>
      <c r="C38" t="s">
        <v>830</v>
      </c>
      <c r="D38" t="s">
        <v>779</v>
      </c>
      <c r="E38" t="s">
        <v>883</v>
      </c>
      <c r="F38" t="s">
        <v>884</v>
      </c>
      <c r="G38" t="s">
        <v>885</v>
      </c>
    </row>
    <row r="39" spans="1:7" x14ac:dyDescent="0.4">
      <c r="A39">
        <v>771</v>
      </c>
      <c r="B39" t="s">
        <v>772</v>
      </c>
      <c r="C39" t="s">
        <v>830</v>
      </c>
      <c r="D39" t="s">
        <v>779</v>
      </c>
      <c r="E39" t="s">
        <v>886</v>
      </c>
      <c r="F39" t="s">
        <v>887</v>
      </c>
      <c r="G39" t="s">
        <v>888</v>
      </c>
    </row>
    <row r="40" spans="1:7" x14ac:dyDescent="0.4">
      <c r="A40">
        <v>770</v>
      </c>
      <c r="B40" t="s">
        <v>772</v>
      </c>
      <c r="C40" t="s">
        <v>778</v>
      </c>
      <c r="D40" t="s">
        <v>779</v>
      </c>
      <c r="E40" t="s">
        <v>889</v>
      </c>
      <c r="F40" t="s">
        <v>890</v>
      </c>
      <c r="G40" t="s">
        <v>891</v>
      </c>
    </row>
    <row r="41" spans="1:7" x14ac:dyDescent="0.4">
      <c r="A41">
        <v>769</v>
      </c>
      <c r="B41" t="s">
        <v>772</v>
      </c>
      <c r="C41" t="s">
        <v>830</v>
      </c>
      <c r="D41" t="s">
        <v>779</v>
      </c>
      <c r="E41" t="s">
        <v>892</v>
      </c>
      <c r="F41" t="s">
        <v>893</v>
      </c>
      <c r="G41" t="s">
        <v>894</v>
      </c>
    </row>
    <row r="42" spans="1:7" x14ac:dyDescent="0.4">
      <c r="A42">
        <v>768</v>
      </c>
      <c r="B42" t="s">
        <v>772</v>
      </c>
      <c r="C42" t="s">
        <v>778</v>
      </c>
      <c r="D42" t="s">
        <v>779</v>
      </c>
      <c r="E42" t="s">
        <v>895</v>
      </c>
      <c r="F42" t="s">
        <v>896</v>
      </c>
      <c r="G42" t="s">
        <v>897</v>
      </c>
    </row>
    <row r="43" spans="1:7" x14ac:dyDescent="0.4">
      <c r="A43">
        <v>767</v>
      </c>
      <c r="B43" t="s">
        <v>772</v>
      </c>
      <c r="C43" t="s">
        <v>830</v>
      </c>
      <c r="D43" t="s">
        <v>779</v>
      </c>
      <c r="E43" t="s">
        <v>898</v>
      </c>
      <c r="F43" t="s">
        <v>899</v>
      </c>
      <c r="G43" t="s">
        <v>900</v>
      </c>
    </row>
    <row r="44" spans="1:7" x14ac:dyDescent="0.4">
      <c r="A44">
        <v>766</v>
      </c>
      <c r="B44" t="s">
        <v>772</v>
      </c>
      <c r="C44" t="s">
        <v>830</v>
      </c>
      <c r="D44" t="s">
        <v>779</v>
      </c>
      <c r="E44" t="s">
        <v>901</v>
      </c>
      <c r="F44" t="s">
        <v>902</v>
      </c>
      <c r="G44" t="s">
        <v>903</v>
      </c>
    </row>
    <row r="45" spans="1:7" x14ac:dyDescent="0.4">
      <c r="A45">
        <v>765</v>
      </c>
      <c r="B45" t="s">
        <v>772</v>
      </c>
      <c r="C45" t="s">
        <v>830</v>
      </c>
      <c r="D45" t="s">
        <v>779</v>
      </c>
      <c r="E45" t="s">
        <v>904</v>
      </c>
      <c r="F45" t="s">
        <v>905</v>
      </c>
      <c r="G45" t="s">
        <v>906</v>
      </c>
    </row>
    <row r="46" spans="1:7" x14ac:dyDescent="0.4">
      <c r="A46">
        <v>764</v>
      </c>
      <c r="B46" t="s">
        <v>772</v>
      </c>
      <c r="C46" t="s">
        <v>830</v>
      </c>
      <c r="D46" t="s">
        <v>779</v>
      </c>
      <c r="E46" t="s">
        <v>907</v>
      </c>
      <c r="F46" t="s">
        <v>908</v>
      </c>
      <c r="G46" t="s">
        <v>909</v>
      </c>
    </row>
    <row r="47" spans="1:7" x14ac:dyDescent="0.4">
      <c r="A47">
        <v>763</v>
      </c>
      <c r="B47" t="s">
        <v>772</v>
      </c>
      <c r="C47" t="s">
        <v>830</v>
      </c>
      <c r="D47" t="s">
        <v>779</v>
      </c>
      <c r="E47" t="s">
        <v>910</v>
      </c>
      <c r="F47" t="s">
        <v>911</v>
      </c>
      <c r="G47" t="s">
        <v>912</v>
      </c>
    </row>
    <row r="48" spans="1:7" x14ac:dyDescent="0.4">
      <c r="A48">
        <v>762</v>
      </c>
      <c r="B48" t="s">
        <v>772</v>
      </c>
      <c r="C48" t="s">
        <v>830</v>
      </c>
      <c r="D48" t="s">
        <v>779</v>
      </c>
      <c r="E48" t="s">
        <v>913</v>
      </c>
      <c r="F48" t="s">
        <v>914</v>
      </c>
      <c r="G48" t="s">
        <v>915</v>
      </c>
    </row>
    <row r="49" spans="1:7" x14ac:dyDescent="0.4">
      <c r="A49">
        <v>761</v>
      </c>
      <c r="B49" t="s">
        <v>772</v>
      </c>
      <c r="C49" t="s">
        <v>830</v>
      </c>
      <c r="D49" t="s">
        <v>779</v>
      </c>
      <c r="E49" t="s">
        <v>916</v>
      </c>
      <c r="F49" t="s">
        <v>917</v>
      </c>
      <c r="G49" t="s">
        <v>918</v>
      </c>
    </row>
    <row r="50" spans="1:7" x14ac:dyDescent="0.4">
      <c r="A50">
        <v>760</v>
      </c>
      <c r="B50" t="s">
        <v>772</v>
      </c>
      <c r="C50" t="s">
        <v>830</v>
      </c>
      <c r="D50" t="s">
        <v>779</v>
      </c>
      <c r="E50" t="s">
        <v>919</v>
      </c>
      <c r="F50" t="s">
        <v>920</v>
      </c>
      <c r="G50" t="s">
        <v>921</v>
      </c>
    </row>
    <row r="51" spans="1:7" x14ac:dyDescent="0.4">
      <c r="A51">
        <v>759</v>
      </c>
      <c r="B51" t="s">
        <v>772</v>
      </c>
      <c r="C51" t="s">
        <v>830</v>
      </c>
      <c r="D51" t="s">
        <v>779</v>
      </c>
      <c r="E51" t="s">
        <v>922</v>
      </c>
      <c r="F51" t="s">
        <v>923</v>
      </c>
      <c r="G51" t="s">
        <v>924</v>
      </c>
    </row>
    <row r="52" spans="1:7" x14ac:dyDescent="0.4">
      <c r="A52">
        <v>758</v>
      </c>
      <c r="B52" t="s">
        <v>772</v>
      </c>
      <c r="C52" t="s">
        <v>830</v>
      </c>
      <c r="D52" t="s">
        <v>779</v>
      </c>
      <c r="E52" t="s">
        <v>925</v>
      </c>
      <c r="F52" t="s">
        <v>926</v>
      </c>
      <c r="G52" t="s">
        <v>927</v>
      </c>
    </row>
    <row r="53" spans="1:7" x14ac:dyDescent="0.4">
      <c r="A53">
        <v>757</v>
      </c>
      <c r="B53" t="s">
        <v>772</v>
      </c>
      <c r="C53" t="s">
        <v>773</v>
      </c>
      <c r="D53" t="s">
        <v>779</v>
      </c>
      <c r="E53" t="s">
        <v>928</v>
      </c>
      <c r="F53" t="s">
        <v>929</v>
      </c>
      <c r="G53" t="s">
        <v>930</v>
      </c>
    </row>
    <row r="54" spans="1:7" x14ac:dyDescent="0.4">
      <c r="A54">
        <v>756</v>
      </c>
      <c r="B54" t="s">
        <v>772</v>
      </c>
      <c r="C54" t="s">
        <v>931</v>
      </c>
      <c r="D54" t="s">
        <v>779</v>
      </c>
      <c r="E54" t="s">
        <v>932</v>
      </c>
      <c r="F54" t="s">
        <v>933</v>
      </c>
      <c r="G54" t="s">
        <v>934</v>
      </c>
    </row>
    <row r="55" spans="1:7" x14ac:dyDescent="0.4">
      <c r="A55">
        <v>755</v>
      </c>
      <c r="B55" t="s">
        <v>772</v>
      </c>
      <c r="C55" t="s">
        <v>931</v>
      </c>
      <c r="D55" t="s">
        <v>779</v>
      </c>
      <c r="E55" t="s">
        <v>935</v>
      </c>
      <c r="F55" t="s">
        <v>936</v>
      </c>
      <c r="G55" t="s">
        <v>937</v>
      </c>
    </row>
    <row r="56" spans="1:7" x14ac:dyDescent="0.4">
      <c r="A56">
        <v>754</v>
      </c>
      <c r="B56" t="s">
        <v>772</v>
      </c>
      <c r="C56" t="s">
        <v>830</v>
      </c>
      <c r="D56" t="s">
        <v>779</v>
      </c>
      <c r="E56" t="s">
        <v>938</v>
      </c>
      <c r="F56" t="s">
        <v>939</v>
      </c>
      <c r="G56" t="s">
        <v>940</v>
      </c>
    </row>
    <row r="57" spans="1:7" x14ac:dyDescent="0.4">
      <c r="A57">
        <v>753</v>
      </c>
      <c r="B57" t="s">
        <v>772</v>
      </c>
      <c r="C57" t="s">
        <v>773</v>
      </c>
      <c r="D57" t="s">
        <v>779</v>
      </c>
      <c r="E57" t="s">
        <v>941</v>
      </c>
      <c r="F57" t="s">
        <v>942</v>
      </c>
      <c r="G57" t="s">
        <v>943</v>
      </c>
    </row>
    <row r="58" spans="1:7" x14ac:dyDescent="0.4">
      <c r="A58">
        <v>752</v>
      </c>
      <c r="B58" t="s">
        <v>772</v>
      </c>
      <c r="C58" t="s">
        <v>778</v>
      </c>
      <c r="D58" t="s">
        <v>779</v>
      </c>
      <c r="E58" t="s">
        <v>944</v>
      </c>
      <c r="F58" t="s">
        <v>945</v>
      </c>
      <c r="G58" t="s">
        <v>946</v>
      </c>
    </row>
    <row r="59" spans="1:7" x14ac:dyDescent="0.4">
      <c r="A59">
        <v>751</v>
      </c>
      <c r="B59" t="s">
        <v>772</v>
      </c>
      <c r="C59" t="s">
        <v>830</v>
      </c>
      <c r="D59" t="s">
        <v>779</v>
      </c>
      <c r="E59" t="s">
        <v>947</v>
      </c>
      <c r="F59" t="s">
        <v>948</v>
      </c>
      <c r="G59" t="s">
        <v>949</v>
      </c>
    </row>
    <row r="60" spans="1:7" x14ac:dyDescent="0.4">
      <c r="A60">
        <v>750</v>
      </c>
      <c r="B60" t="s">
        <v>772</v>
      </c>
      <c r="C60" t="s">
        <v>830</v>
      </c>
      <c r="D60" t="s">
        <v>779</v>
      </c>
      <c r="E60" t="s">
        <v>950</v>
      </c>
      <c r="F60" t="s">
        <v>951</v>
      </c>
      <c r="G60" t="s">
        <v>952</v>
      </c>
    </row>
    <row r="61" spans="1:7" x14ac:dyDescent="0.4">
      <c r="A61">
        <v>749</v>
      </c>
      <c r="B61" t="s">
        <v>772</v>
      </c>
      <c r="C61" t="s">
        <v>778</v>
      </c>
      <c r="D61" t="s">
        <v>779</v>
      </c>
      <c r="E61" t="s">
        <v>953</v>
      </c>
      <c r="F61" t="s">
        <v>954</v>
      </c>
      <c r="G61" t="s">
        <v>955</v>
      </c>
    </row>
    <row r="62" spans="1:7" x14ac:dyDescent="0.4">
      <c r="A62">
        <v>748</v>
      </c>
      <c r="B62" t="s">
        <v>772</v>
      </c>
      <c r="C62" t="s">
        <v>830</v>
      </c>
      <c r="D62" t="s">
        <v>779</v>
      </c>
      <c r="E62" t="s">
        <v>956</v>
      </c>
      <c r="F62" t="s">
        <v>957</v>
      </c>
      <c r="G62" t="s">
        <v>958</v>
      </c>
    </row>
    <row r="63" spans="1:7" x14ac:dyDescent="0.4">
      <c r="A63">
        <v>747</v>
      </c>
      <c r="B63" t="s">
        <v>772</v>
      </c>
      <c r="C63" t="s">
        <v>830</v>
      </c>
      <c r="D63" t="s">
        <v>779</v>
      </c>
      <c r="E63" t="s">
        <v>959</v>
      </c>
      <c r="F63" t="s">
        <v>960</v>
      </c>
      <c r="G63" t="s">
        <v>961</v>
      </c>
    </row>
    <row r="64" spans="1:7" x14ac:dyDescent="0.4">
      <c r="A64">
        <v>746</v>
      </c>
      <c r="B64" t="s">
        <v>772</v>
      </c>
      <c r="C64" t="s">
        <v>830</v>
      </c>
      <c r="D64" t="s">
        <v>779</v>
      </c>
      <c r="E64" t="s">
        <v>962</v>
      </c>
      <c r="F64" t="s">
        <v>963</v>
      </c>
      <c r="G64" t="s">
        <v>964</v>
      </c>
    </row>
    <row r="65" spans="1:7" x14ac:dyDescent="0.4">
      <c r="A65">
        <v>745</v>
      </c>
      <c r="B65" t="s">
        <v>772</v>
      </c>
      <c r="C65" t="s">
        <v>778</v>
      </c>
      <c r="D65" t="s">
        <v>779</v>
      </c>
      <c r="E65" t="s">
        <v>965</v>
      </c>
      <c r="F65" t="s">
        <v>966</v>
      </c>
      <c r="G65" t="s">
        <v>967</v>
      </c>
    </row>
    <row r="66" spans="1:7" x14ac:dyDescent="0.4">
      <c r="A66">
        <v>744</v>
      </c>
      <c r="B66" t="s">
        <v>772</v>
      </c>
      <c r="C66" t="s">
        <v>830</v>
      </c>
      <c r="D66" t="s">
        <v>779</v>
      </c>
      <c r="E66" t="s">
        <v>968</v>
      </c>
      <c r="F66" t="s">
        <v>969</v>
      </c>
      <c r="G66" t="s">
        <v>970</v>
      </c>
    </row>
    <row r="67" spans="1:7" x14ac:dyDescent="0.4">
      <c r="A67">
        <v>743</v>
      </c>
      <c r="B67" t="s">
        <v>772</v>
      </c>
      <c r="C67" t="s">
        <v>971</v>
      </c>
      <c r="D67" t="s">
        <v>779</v>
      </c>
      <c r="E67" t="s">
        <v>972</v>
      </c>
      <c r="F67" t="s">
        <v>973</v>
      </c>
      <c r="G67" t="s">
        <v>974</v>
      </c>
    </row>
    <row r="68" spans="1:7" x14ac:dyDescent="0.4">
      <c r="A68">
        <v>742</v>
      </c>
      <c r="B68" t="s">
        <v>772</v>
      </c>
      <c r="C68" t="s">
        <v>773</v>
      </c>
      <c r="D68" t="s">
        <v>774</v>
      </c>
      <c r="E68" t="s">
        <v>975</v>
      </c>
      <c r="F68" t="s">
        <v>976</v>
      </c>
      <c r="G68" t="s">
        <v>977</v>
      </c>
    </row>
    <row r="69" spans="1:7" x14ac:dyDescent="0.4">
      <c r="A69">
        <v>741</v>
      </c>
      <c r="B69" t="s">
        <v>772</v>
      </c>
      <c r="C69" t="s">
        <v>778</v>
      </c>
      <c r="D69" t="s">
        <v>774</v>
      </c>
      <c r="E69" t="s">
        <v>978</v>
      </c>
      <c r="F69" t="s">
        <v>976</v>
      </c>
      <c r="G69" t="s">
        <v>979</v>
      </c>
    </row>
    <row r="70" spans="1:7" x14ac:dyDescent="0.4">
      <c r="A70">
        <v>740</v>
      </c>
      <c r="B70" t="s">
        <v>772</v>
      </c>
      <c r="C70" t="s">
        <v>931</v>
      </c>
      <c r="D70" t="s">
        <v>779</v>
      </c>
      <c r="E70" t="s">
        <v>980</v>
      </c>
      <c r="F70" t="s">
        <v>981</v>
      </c>
      <c r="G70" t="s">
        <v>982</v>
      </c>
    </row>
    <row r="71" spans="1:7" x14ac:dyDescent="0.4">
      <c r="A71">
        <v>739</v>
      </c>
      <c r="B71" t="s">
        <v>772</v>
      </c>
      <c r="C71" t="s">
        <v>773</v>
      </c>
      <c r="D71" t="s">
        <v>779</v>
      </c>
      <c r="E71" t="s">
        <v>983</v>
      </c>
      <c r="F71" t="s">
        <v>984</v>
      </c>
      <c r="G71" t="s">
        <v>985</v>
      </c>
    </row>
    <row r="72" spans="1:7" x14ac:dyDescent="0.4">
      <c r="A72">
        <v>738</v>
      </c>
      <c r="B72" t="s">
        <v>772</v>
      </c>
      <c r="C72" t="s">
        <v>778</v>
      </c>
      <c r="D72" t="s">
        <v>779</v>
      </c>
      <c r="E72" t="s">
        <v>986</v>
      </c>
      <c r="F72" t="s">
        <v>987</v>
      </c>
      <c r="G72" t="s">
        <v>988</v>
      </c>
    </row>
    <row r="73" spans="1:7" x14ac:dyDescent="0.4">
      <c r="A73">
        <v>737</v>
      </c>
      <c r="B73" t="s">
        <v>772</v>
      </c>
      <c r="C73" t="s">
        <v>830</v>
      </c>
      <c r="D73" t="s">
        <v>779</v>
      </c>
      <c r="E73" t="s">
        <v>989</v>
      </c>
      <c r="F73" t="s">
        <v>990</v>
      </c>
      <c r="G73" t="s">
        <v>991</v>
      </c>
    </row>
    <row r="74" spans="1:7" x14ac:dyDescent="0.4">
      <c r="A74">
        <v>736</v>
      </c>
      <c r="B74" t="s">
        <v>772</v>
      </c>
      <c r="C74" t="s">
        <v>830</v>
      </c>
      <c r="D74" t="s">
        <v>779</v>
      </c>
      <c r="E74" t="s">
        <v>992</v>
      </c>
      <c r="F74" t="s">
        <v>993</v>
      </c>
      <c r="G74" t="s">
        <v>994</v>
      </c>
    </row>
    <row r="75" spans="1:7" x14ac:dyDescent="0.4">
      <c r="A75">
        <v>735</v>
      </c>
      <c r="B75" t="s">
        <v>772</v>
      </c>
      <c r="C75" t="s">
        <v>830</v>
      </c>
      <c r="D75" t="s">
        <v>779</v>
      </c>
      <c r="E75" t="s">
        <v>995</v>
      </c>
      <c r="F75" t="s">
        <v>996</v>
      </c>
      <c r="G75" t="s">
        <v>997</v>
      </c>
    </row>
    <row r="76" spans="1:7" x14ac:dyDescent="0.4">
      <c r="A76">
        <v>734</v>
      </c>
      <c r="B76" t="s">
        <v>772</v>
      </c>
      <c r="C76" t="s">
        <v>830</v>
      </c>
      <c r="D76" t="s">
        <v>779</v>
      </c>
      <c r="E76" t="s">
        <v>998</v>
      </c>
      <c r="F76" t="s">
        <v>999</v>
      </c>
      <c r="G76" t="s">
        <v>1000</v>
      </c>
    </row>
    <row r="77" spans="1:7" x14ac:dyDescent="0.4">
      <c r="A77">
        <v>733</v>
      </c>
      <c r="B77" t="s">
        <v>772</v>
      </c>
      <c r="C77" t="s">
        <v>830</v>
      </c>
      <c r="D77" t="s">
        <v>779</v>
      </c>
      <c r="E77" t="s">
        <v>1001</v>
      </c>
      <c r="F77" t="s">
        <v>1002</v>
      </c>
      <c r="G77" t="s">
        <v>1003</v>
      </c>
    </row>
    <row r="78" spans="1:7" x14ac:dyDescent="0.4">
      <c r="A78">
        <v>732</v>
      </c>
      <c r="B78" t="s">
        <v>772</v>
      </c>
      <c r="C78" t="s">
        <v>778</v>
      </c>
      <c r="D78" t="s">
        <v>779</v>
      </c>
      <c r="E78" t="s">
        <v>1004</v>
      </c>
      <c r="F78" t="s">
        <v>1005</v>
      </c>
      <c r="G78" t="s">
        <v>1006</v>
      </c>
    </row>
    <row r="79" spans="1:7" x14ac:dyDescent="0.4">
      <c r="A79">
        <v>731</v>
      </c>
      <c r="B79" t="s">
        <v>772</v>
      </c>
      <c r="C79" t="s">
        <v>773</v>
      </c>
      <c r="D79" t="s">
        <v>774</v>
      </c>
      <c r="E79" t="s">
        <v>1007</v>
      </c>
      <c r="F79" t="s">
        <v>1008</v>
      </c>
      <c r="G79" t="s">
        <v>1009</v>
      </c>
    </row>
    <row r="80" spans="1:7" x14ac:dyDescent="0.4">
      <c r="A80">
        <v>730</v>
      </c>
      <c r="B80" t="s">
        <v>772</v>
      </c>
      <c r="C80" t="s">
        <v>778</v>
      </c>
      <c r="D80" t="s">
        <v>774</v>
      </c>
      <c r="E80" t="s">
        <v>1010</v>
      </c>
      <c r="F80" t="s">
        <v>1008</v>
      </c>
      <c r="G80" t="s">
        <v>1011</v>
      </c>
    </row>
    <row r="81" spans="1:7" x14ac:dyDescent="0.4">
      <c r="A81">
        <v>729</v>
      </c>
      <c r="B81" t="s">
        <v>772</v>
      </c>
      <c r="C81" t="s">
        <v>931</v>
      </c>
      <c r="D81" t="s">
        <v>779</v>
      </c>
      <c r="E81" t="s">
        <v>1012</v>
      </c>
      <c r="F81" t="s">
        <v>1013</v>
      </c>
      <c r="G81" t="s">
        <v>1014</v>
      </c>
    </row>
    <row r="82" spans="1:7" x14ac:dyDescent="0.4">
      <c r="A82">
        <v>728</v>
      </c>
      <c r="B82" t="s">
        <v>772</v>
      </c>
      <c r="C82" t="s">
        <v>778</v>
      </c>
      <c r="D82" t="s">
        <v>779</v>
      </c>
      <c r="E82" t="s">
        <v>1015</v>
      </c>
      <c r="F82" t="s">
        <v>1016</v>
      </c>
      <c r="G82" t="s">
        <v>1017</v>
      </c>
    </row>
    <row r="83" spans="1:7" x14ac:dyDescent="0.4">
      <c r="A83">
        <v>727</v>
      </c>
      <c r="B83" t="s">
        <v>772</v>
      </c>
      <c r="C83" t="s">
        <v>830</v>
      </c>
      <c r="D83" t="s">
        <v>779</v>
      </c>
      <c r="E83" t="s">
        <v>1018</v>
      </c>
      <c r="F83" t="s">
        <v>1019</v>
      </c>
      <c r="G83" t="s">
        <v>1020</v>
      </c>
    </row>
    <row r="84" spans="1:7" x14ac:dyDescent="0.4">
      <c r="A84">
        <v>726</v>
      </c>
      <c r="B84" t="s">
        <v>772</v>
      </c>
      <c r="C84" t="s">
        <v>778</v>
      </c>
      <c r="D84" t="s">
        <v>779</v>
      </c>
      <c r="E84" t="s">
        <v>1021</v>
      </c>
      <c r="F84" t="s">
        <v>1022</v>
      </c>
      <c r="G84" t="s">
        <v>1023</v>
      </c>
    </row>
    <row r="85" spans="1:7" x14ac:dyDescent="0.4">
      <c r="A85">
        <v>725</v>
      </c>
      <c r="B85" t="s">
        <v>772</v>
      </c>
      <c r="C85" t="s">
        <v>830</v>
      </c>
      <c r="D85" t="s">
        <v>779</v>
      </c>
      <c r="E85" t="s">
        <v>1024</v>
      </c>
      <c r="F85" t="s">
        <v>1025</v>
      </c>
      <c r="G85" t="s">
        <v>1026</v>
      </c>
    </row>
    <row r="86" spans="1:7" x14ac:dyDescent="0.4">
      <c r="A86">
        <v>724</v>
      </c>
      <c r="B86" t="s">
        <v>772</v>
      </c>
      <c r="C86" t="s">
        <v>778</v>
      </c>
      <c r="D86" t="s">
        <v>779</v>
      </c>
      <c r="E86" t="s">
        <v>1027</v>
      </c>
      <c r="F86" t="s">
        <v>1028</v>
      </c>
      <c r="G86" t="s">
        <v>1029</v>
      </c>
    </row>
    <row r="87" spans="1:7" x14ac:dyDescent="0.4">
      <c r="A87">
        <v>723</v>
      </c>
      <c r="B87" t="s">
        <v>772</v>
      </c>
      <c r="C87" t="s">
        <v>830</v>
      </c>
      <c r="D87" t="s">
        <v>779</v>
      </c>
      <c r="E87" t="s">
        <v>1030</v>
      </c>
      <c r="F87" t="s">
        <v>1031</v>
      </c>
      <c r="G87" t="s">
        <v>1032</v>
      </c>
    </row>
    <row r="88" spans="1:7" x14ac:dyDescent="0.4">
      <c r="A88">
        <v>722</v>
      </c>
      <c r="B88" t="s">
        <v>772</v>
      </c>
      <c r="C88" t="s">
        <v>830</v>
      </c>
      <c r="D88" t="s">
        <v>779</v>
      </c>
      <c r="E88" t="s">
        <v>1033</v>
      </c>
      <c r="F88" t="s">
        <v>1034</v>
      </c>
      <c r="G88" t="s">
        <v>1035</v>
      </c>
    </row>
    <row r="89" spans="1:7" x14ac:dyDescent="0.4">
      <c r="A89">
        <v>721</v>
      </c>
      <c r="B89" t="s">
        <v>772</v>
      </c>
      <c r="C89" t="s">
        <v>773</v>
      </c>
      <c r="D89" t="s">
        <v>779</v>
      </c>
      <c r="E89" t="s">
        <v>1036</v>
      </c>
      <c r="F89" t="s">
        <v>1037</v>
      </c>
      <c r="G89" t="s">
        <v>1038</v>
      </c>
    </row>
    <row r="90" spans="1:7" x14ac:dyDescent="0.4">
      <c r="A90">
        <v>720</v>
      </c>
      <c r="B90" t="s">
        <v>772</v>
      </c>
      <c r="C90" t="s">
        <v>773</v>
      </c>
      <c r="D90" t="s">
        <v>774</v>
      </c>
      <c r="E90" t="s">
        <v>1039</v>
      </c>
      <c r="F90" t="s">
        <v>1040</v>
      </c>
      <c r="G90" t="s">
        <v>1041</v>
      </c>
    </row>
    <row r="91" spans="1:7" x14ac:dyDescent="0.4">
      <c r="A91">
        <v>719</v>
      </c>
      <c r="B91" t="s">
        <v>772</v>
      </c>
      <c r="C91" t="s">
        <v>778</v>
      </c>
      <c r="D91" t="s">
        <v>779</v>
      </c>
      <c r="E91" t="s">
        <v>1042</v>
      </c>
      <c r="F91" t="s">
        <v>1043</v>
      </c>
      <c r="G91" t="s">
        <v>1044</v>
      </c>
    </row>
    <row r="92" spans="1:7" x14ac:dyDescent="0.4">
      <c r="A92">
        <v>718</v>
      </c>
      <c r="B92" t="s">
        <v>772</v>
      </c>
      <c r="C92" t="s">
        <v>830</v>
      </c>
      <c r="D92" t="s">
        <v>779</v>
      </c>
      <c r="E92" t="s">
        <v>1045</v>
      </c>
      <c r="F92" t="s">
        <v>1046</v>
      </c>
      <c r="G92" t="s">
        <v>1047</v>
      </c>
    </row>
    <row r="93" spans="1:7" x14ac:dyDescent="0.4">
      <c r="A93">
        <v>717</v>
      </c>
      <c r="B93" t="s">
        <v>772</v>
      </c>
      <c r="C93" t="s">
        <v>778</v>
      </c>
      <c r="D93" t="s">
        <v>779</v>
      </c>
      <c r="E93" t="s">
        <v>1048</v>
      </c>
      <c r="F93" t="s">
        <v>1049</v>
      </c>
      <c r="G93" t="s">
        <v>1050</v>
      </c>
    </row>
    <row r="94" spans="1:7" x14ac:dyDescent="0.4">
      <c r="A94">
        <v>716</v>
      </c>
      <c r="B94" t="s">
        <v>772</v>
      </c>
      <c r="C94" t="s">
        <v>778</v>
      </c>
      <c r="D94" t="s">
        <v>779</v>
      </c>
      <c r="E94" t="s">
        <v>1051</v>
      </c>
      <c r="F94" t="s">
        <v>1052</v>
      </c>
      <c r="G94" t="s">
        <v>1053</v>
      </c>
    </row>
    <row r="95" spans="1:7" x14ac:dyDescent="0.4">
      <c r="A95">
        <v>715</v>
      </c>
      <c r="B95" t="s">
        <v>772</v>
      </c>
      <c r="C95" t="s">
        <v>830</v>
      </c>
      <c r="D95" t="s">
        <v>779</v>
      </c>
      <c r="E95" t="s">
        <v>1054</v>
      </c>
      <c r="F95" t="s">
        <v>1055</v>
      </c>
      <c r="G95" t="s">
        <v>1056</v>
      </c>
    </row>
    <row r="96" spans="1:7" x14ac:dyDescent="0.4">
      <c r="A96">
        <v>714</v>
      </c>
      <c r="B96" t="s">
        <v>772</v>
      </c>
      <c r="C96" t="s">
        <v>931</v>
      </c>
      <c r="D96" t="s">
        <v>779</v>
      </c>
      <c r="E96" t="s">
        <v>1057</v>
      </c>
      <c r="F96" t="s">
        <v>1058</v>
      </c>
      <c r="G96" t="s">
        <v>1059</v>
      </c>
    </row>
    <row r="97" spans="1:7" x14ac:dyDescent="0.4">
      <c r="A97">
        <v>713</v>
      </c>
      <c r="B97" t="s">
        <v>772</v>
      </c>
      <c r="C97" t="s">
        <v>830</v>
      </c>
      <c r="D97" t="s">
        <v>779</v>
      </c>
      <c r="E97" t="s">
        <v>1060</v>
      </c>
      <c r="F97" t="s">
        <v>1061</v>
      </c>
      <c r="G97" t="s">
        <v>1062</v>
      </c>
    </row>
    <row r="98" spans="1:7" x14ac:dyDescent="0.4">
      <c r="A98">
        <v>712</v>
      </c>
      <c r="B98" t="s">
        <v>772</v>
      </c>
      <c r="C98" t="s">
        <v>830</v>
      </c>
      <c r="D98" t="s">
        <v>779</v>
      </c>
      <c r="E98" t="s">
        <v>1063</v>
      </c>
      <c r="F98" t="s">
        <v>825</v>
      </c>
      <c r="G98" t="s">
        <v>1064</v>
      </c>
    </row>
    <row r="99" spans="1:7" x14ac:dyDescent="0.4">
      <c r="A99">
        <v>711</v>
      </c>
      <c r="B99" t="s">
        <v>772</v>
      </c>
      <c r="C99" t="s">
        <v>830</v>
      </c>
      <c r="D99" t="s">
        <v>779</v>
      </c>
      <c r="E99" t="s">
        <v>1065</v>
      </c>
      <c r="F99" t="s">
        <v>1066</v>
      </c>
      <c r="G99" t="s">
        <v>1067</v>
      </c>
    </row>
    <row r="100" spans="1:7" x14ac:dyDescent="0.4">
      <c r="A100">
        <v>710</v>
      </c>
      <c r="B100" t="s">
        <v>772</v>
      </c>
      <c r="C100" t="s">
        <v>778</v>
      </c>
      <c r="D100" t="s">
        <v>779</v>
      </c>
      <c r="E100" t="s">
        <v>1068</v>
      </c>
      <c r="F100" t="s">
        <v>1069</v>
      </c>
      <c r="G100" t="s">
        <v>1070</v>
      </c>
    </row>
    <row r="101" spans="1:7" x14ac:dyDescent="0.4">
      <c r="A101">
        <v>709</v>
      </c>
      <c r="B101" t="s">
        <v>772</v>
      </c>
      <c r="C101" t="s">
        <v>830</v>
      </c>
      <c r="D101" t="s">
        <v>779</v>
      </c>
      <c r="E101" t="s">
        <v>1071</v>
      </c>
      <c r="F101" t="s">
        <v>1072</v>
      </c>
      <c r="G101" t="s">
        <v>1073</v>
      </c>
    </row>
    <row r="102" spans="1:7" x14ac:dyDescent="0.4">
      <c r="A102">
        <v>708</v>
      </c>
      <c r="B102" t="s">
        <v>772</v>
      </c>
      <c r="C102" t="s">
        <v>830</v>
      </c>
      <c r="D102" t="s">
        <v>779</v>
      </c>
      <c r="E102" t="s">
        <v>1074</v>
      </c>
      <c r="F102" t="s">
        <v>1075</v>
      </c>
      <c r="G102" t="s">
        <v>1076</v>
      </c>
    </row>
    <row r="103" spans="1:7" x14ac:dyDescent="0.4">
      <c r="A103">
        <v>707</v>
      </c>
      <c r="B103" t="s">
        <v>772</v>
      </c>
      <c r="C103" t="s">
        <v>778</v>
      </c>
      <c r="D103" t="s">
        <v>779</v>
      </c>
      <c r="E103" t="s">
        <v>1077</v>
      </c>
      <c r="F103" t="s">
        <v>1078</v>
      </c>
      <c r="G103" t="s">
        <v>1079</v>
      </c>
    </row>
    <row r="104" spans="1:7" x14ac:dyDescent="0.4">
      <c r="A104">
        <v>706</v>
      </c>
      <c r="B104" t="s">
        <v>772</v>
      </c>
      <c r="C104" t="s">
        <v>830</v>
      </c>
      <c r="D104" t="s">
        <v>779</v>
      </c>
      <c r="E104" t="s">
        <v>1080</v>
      </c>
      <c r="F104" t="s">
        <v>1081</v>
      </c>
      <c r="G104" t="s">
        <v>1082</v>
      </c>
    </row>
    <row r="105" spans="1:7" x14ac:dyDescent="0.4">
      <c r="A105">
        <v>705</v>
      </c>
      <c r="B105" t="s">
        <v>772</v>
      </c>
      <c r="C105" t="s">
        <v>778</v>
      </c>
      <c r="D105" t="s">
        <v>779</v>
      </c>
      <c r="E105" t="s">
        <v>1083</v>
      </c>
      <c r="F105" t="s">
        <v>1084</v>
      </c>
      <c r="G105" t="s">
        <v>1085</v>
      </c>
    </row>
    <row r="106" spans="1:7" x14ac:dyDescent="0.4">
      <c r="A106">
        <v>704</v>
      </c>
      <c r="B106" t="s">
        <v>772</v>
      </c>
      <c r="C106" t="s">
        <v>830</v>
      </c>
      <c r="D106" t="s">
        <v>779</v>
      </c>
      <c r="E106" t="s">
        <v>1086</v>
      </c>
      <c r="F106" t="s">
        <v>1087</v>
      </c>
      <c r="G106" t="s">
        <v>1088</v>
      </c>
    </row>
    <row r="107" spans="1:7" x14ac:dyDescent="0.4">
      <c r="A107">
        <v>703</v>
      </c>
      <c r="B107" t="s">
        <v>772</v>
      </c>
      <c r="C107" t="s">
        <v>778</v>
      </c>
      <c r="D107" t="s">
        <v>779</v>
      </c>
      <c r="E107" t="s">
        <v>1089</v>
      </c>
      <c r="F107" t="s">
        <v>1090</v>
      </c>
      <c r="G107" t="s">
        <v>1091</v>
      </c>
    </row>
    <row r="108" spans="1:7" x14ac:dyDescent="0.4">
      <c r="A108">
        <v>702</v>
      </c>
      <c r="B108" t="s">
        <v>772</v>
      </c>
      <c r="C108" t="s">
        <v>778</v>
      </c>
      <c r="D108" t="s">
        <v>779</v>
      </c>
      <c r="E108" t="s">
        <v>1092</v>
      </c>
      <c r="F108" t="s">
        <v>1093</v>
      </c>
      <c r="G108" t="s">
        <v>1094</v>
      </c>
    </row>
    <row r="109" spans="1:7" x14ac:dyDescent="0.4">
      <c r="A109">
        <v>701</v>
      </c>
      <c r="B109" t="s">
        <v>772</v>
      </c>
      <c r="C109" t="s">
        <v>830</v>
      </c>
      <c r="D109" t="s">
        <v>779</v>
      </c>
      <c r="E109" t="s">
        <v>1095</v>
      </c>
      <c r="F109" t="s">
        <v>1096</v>
      </c>
      <c r="G109" t="s">
        <v>1097</v>
      </c>
    </row>
    <row r="110" spans="1:7" x14ac:dyDescent="0.4">
      <c r="A110">
        <v>700</v>
      </c>
      <c r="B110" t="s">
        <v>772</v>
      </c>
      <c r="C110" t="s">
        <v>830</v>
      </c>
      <c r="D110" t="s">
        <v>779</v>
      </c>
      <c r="E110" t="s">
        <v>1098</v>
      </c>
      <c r="F110" t="s">
        <v>1099</v>
      </c>
      <c r="G110" t="s">
        <v>1100</v>
      </c>
    </row>
    <row r="111" spans="1:7" x14ac:dyDescent="0.4">
      <c r="A111">
        <v>699</v>
      </c>
      <c r="B111" t="s">
        <v>772</v>
      </c>
      <c r="C111" t="s">
        <v>931</v>
      </c>
      <c r="D111" t="s">
        <v>779</v>
      </c>
      <c r="E111" t="s">
        <v>1101</v>
      </c>
      <c r="F111" t="s">
        <v>1102</v>
      </c>
      <c r="G111" t="s">
        <v>1103</v>
      </c>
    </row>
    <row r="112" spans="1:7" x14ac:dyDescent="0.4">
      <c r="A112">
        <v>698</v>
      </c>
      <c r="B112" t="s">
        <v>772</v>
      </c>
      <c r="C112" t="s">
        <v>971</v>
      </c>
      <c r="D112" t="s">
        <v>779</v>
      </c>
      <c r="E112" t="s">
        <v>1104</v>
      </c>
      <c r="F112" t="s">
        <v>1105</v>
      </c>
      <c r="G112" t="s">
        <v>1106</v>
      </c>
    </row>
    <row r="113" spans="1:7" x14ac:dyDescent="0.4">
      <c r="A113">
        <v>697</v>
      </c>
      <c r="B113" t="s">
        <v>772</v>
      </c>
      <c r="C113" t="s">
        <v>971</v>
      </c>
      <c r="D113" t="s">
        <v>779</v>
      </c>
      <c r="E113" t="s">
        <v>1107</v>
      </c>
      <c r="F113" t="s">
        <v>1108</v>
      </c>
      <c r="G113" t="s">
        <v>1109</v>
      </c>
    </row>
    <row r="114" spans="1:7" x14ac:dyDescent="0.4">
      <c r="A114">
        <v>696</v>
      </c>
      <c r="B114" t="s">
        <v>772</v>
      </c>
      <c r="C114" t="s">
        <v>830</v>
      </c>
      <c r="D114" t="s">
        <v>779</v>
      </c>
      <c r="E114" t="s">
        <v>1110</v>
      </c>
      <c r="F114" t="s">
        <v>1111</v>
      </c>
      <c r="G114" t="s">
        <v>1112</v>
      </c>
    </row>
    <row r="115" spans="1:7" x14ac:dyDescent="0.4">
      <c r="A115">
        <v>695</v>
      </c>
      <c r="B115" t="s">
        <v>772</v>
      </c>
      <c r="C115" t="s">
        <v>830</v>
      </c>
      <c r="D115" t="s">
        <v>779</v>
      </c>
      <c r="E115" t="s">
        <v>1113</v>
      </c>
      <c r="F115" t="s">
        <v>1114</v>
      </c>
      <c r="G115" t="s">
        <v>1115</v>
      </c>
    </row>
    <row r="116" spans="1:7" x14ac:dyDescent="0.4">
      <c r="A116">
        <v>694</v>
      </c>
      <c r="B116" t="s">
        <v>772</v>
      </c>
      <c r="C116" t="s">
        <v>830</v>
      </c>
      <c r="D116" t="s">
        <v>779</v>
      </c>
      <c r="E116" t="s">
        <v>1116</v>
      </c>
      <c r="F116" t="s">
        <v>1117</v>
      </c>
      <c r="G116" t="s">
        <v>1118</v>
      </c>
    </row>
    <row r="117" spans="1:7" x14ac:dyDescent="0.4">
      <c r="A117">
        <v>693</v>
      </c>
      <c r="B117" t="s">
        <v>772</v>
      </c>
      <c r="C117" t="s">
        <v>830</v>
      </c>
      <c r="D117" t="s">
        <v>779</v>
      </c>
      <c r="E117" t="s">
        <v>1119</v>
      </c>
      <c r="F117" t="s">
        <v>1120</v>
      </c>
      <c r="G117" t="s">
        <v>1121</v>
      </c>
    </row>
    <row r="118" spans="1:7" x14ac:dyDescent="0.4">
      <c r="A118">
        <v>692</v>
      </c>
      <c r="B118" t="s">
        <v>772</v>
      </c>
      <c r="C118" t="s">
        <v>830</v>
      </c>
      <c r="D118" t="s">
        <v>779</v>
      </c>
      <c r="E118" t="s">
        <v>1122</v>
      </c>
      <c r="F118" t="s">
        <v>1123</v>
      </c>
      <c r="G118" t="s">
        <v>1124</v>
      </c>
    </row>
    <row r="119" spans="1:7" x14ac:dyDescent="0.4">
      <c r="A119">
        <v>691</v>
      </c>
      <c r="B119" t="s">
        <v>772</v>
      </c>
      <c r="C119" t="s">
        <v>830</v>
      </c>
      <c r="D119" t="s">
        <v>779</v>
      </c>
      <c r="E119" t="s">
        <v>1125</v>
      </c>
      <c r="F119" t="s">
        <v>1126</v>
      </c>
      <c r="G119" t="s">
        <v>1127</v>
      </c>
    </row>
    <row r="120" spans="1:7" x14ac:dyDescent="0.4">
      <c r="A120">
        <v>690</v>
      </c>
      <c r="B120" t="s">
        <v>772</v>
      </c>
      <c r="C120" t="s">
        <v>773</v>
      </c>
      <c r="D120" t="s">
        <v>779</v>
      </c>
      <c r="E120" t="s">
        <v>1128</v>
      </c>
      <c r="F120" t="s">
        <v>1129</v>
      </c>
      <c r="G120" t="s">
        <v>1130</v>
      </c>
    </row>
    <row r="121" spans="1:7" x14ac:dyDescent="0.4">
      <c r="A121">
        <v>689</v>
      </c>
      <c r="B121" t="s">
        <v>772</v>
      </c>
      <c r="C121" t="s">
        <v>830</v>
      </c>
      <c r="D121" t="s">
        <v>779</v>
      </c>
      <c r="E121" t="s">
        <v>1131</v>
      </c>
      <c r="F121" t="s">
        <v>1132</v>
      </c>
      <c r="G121" t="s">
        <v>1133</v>
      </c>
    </row>
    <row r="123" spans="1:7" x14ac:dyDescent="0.4">
      <c r="A123" s="4" t="s">
        <v>1134</v>
      </c>
      <c r="B123" s="38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3A4B-585F-4E6A-941F-86731DC1B3C8}">
  <sheetPr codeName="Sheet5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8" width="9.69921875" customWidth="1"/>
  </cols>
  <sheetData>
    <row r="1" spans="1:8" x14ac:dyDescent="0.4">
      <c r="A1" s="20" t="s">
        <v>762</v>
      </c>
    </row>
    <row r="3" spans="1:8" x14ac:dyDescent="0.4">
      <c r="B3" s="74" t="s">
        <v>763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IF(기초자료입력!C22&lt;&gt;"","평가 안건: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72" t="str">
        <f>"본인은 년 월 일 "&amp;IF(기초자료입력!C4&lt;&gt;"",기초자료입력!C4,"○○학교")&amp;"에서 실시하는 "&amp;IF(기초자료입력!C5&lt;&gt;"",기초자료입력!C5&amp;"학년도 ","")&amp;"교복 학교주관구매업체 선정을 위한 평가함에 있어 「부패 없는 투명한 사회」 구현 등을 위하여 다음 사항을 준수할 것을 서약합니다."</f>
        <v>본인은 년 월 일 ○○학교에서 실시하는 교복 학교주관구매업체 선정을 위한 평가함에 있어 「부패 없는 투명한 사회」 구현 등을 위하여 다음 사항을 준수할 것을 서약합니다.</v>
      </c>
      <c r="C7" s="72"/>
      <c r="D7" s="72"/>
      <c r="E7" s="72"/>
      <c r="F7" s="72"/>
      <c r="G7" s="72"/>
      <c r="H7" s="72"/>
    </row>
    <row r="8" spans="1:8" x14ac:dyDescent="0.4">
      <c r="B8" s="72"/>
      <c r="C8" s="72"/>
      <c r="D8" s="72"/>
      <c r="E8" s="72"/>
      <c r="F8" s="72"/>
      <c r="G8" s="72"/>
      <c r="H8" s="72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34.049999999999997" customHeight="1" x14ac:dyDescent="0.4">
      <c r="B10" s="72" t="str">
        <f>"1. "&amp;IF(기초자료입력!C5&lt;&gt;"",기초자료입력!C5,"20○○")&amp;"학년도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10" s="72"/>
      <c r="D10" s="72"/>
      <c r="E10" s="72"/>
      <c r="F10" s="72"/>
      <c r="G10" s="72"/>
      <c r="H10" s="72"/>
    </row>
    <row r="11" spans="1:8" x14ac:dyDescent="0.4">
      <c r="B11" s="72"/>
      <c r="C11" s="72"/>
      <c r="D11" s="72"/>
      <c r="E11" s="72"/>
      <c r="F11" s="72"/>
      <c r="G11" s="72"/>
      <c r="H11" s="72"/>
    </row>
    <row r="12" spans="1:8" ht="60" customHeight="1" x14ac:dyDescent="0.4">
      <c r="B12" s="72" t="s">
        <v>764</v>
      </c>
      <c r="C12" s="72"/>
      <c r="D12" s="72"/>
      <c r="E12" s="72"/>
      <c r="F12" s="72"/>
      <c r="G12" s="72"/>
      <c r="H12" s="72"/>
    </row>
    <row r="13" spans="1:8" x14ac:dyDescent="0.4">
      <c r="B13" s="72"/>
      <c r="C13" s="72"/>
      <c r="D13" s="72"/>
      <c r="E13" s="72"/>
      <c r="F13" s="72"/>
      <c r="G13" s="72"/>
      <c r="H13" s="72"/>
    </row>
    <row r="14" spans="1:8" ht="34.049999999999997" customHeight="1" x14ac:dyDescent="0.4">
      <c r="B14" s="72" t="s">
        <v>765</v>
      </c>
      <c r="C14" s="72"/>
      <c r="D14" s="72"/>
      <c r="E14" s="72"/>
      <c r="F14" s="72"/>
      <c r="G14" s="72"/>
      <c r="H14" s="72"/>
    </row>
    <row r="15" spans="1:8" x14ac:dyDescent="0.4">
      <c r="B15" s="72"/>
      <c r="C15" s="72"/>
      <c r="D15" s="72"/>
      <c r="E15" s="72"/>
      <c r="F15" s="72"/>
      <c r="G15" s="72"/>
      <c r="H15" s="72"/>
    </row>
    <row r="16" spans="1:8" ht="49.95" customHeight="1" x14ac:dyDescent="0.4">
      <c r="B16" s="72" t="s">
        <v>766</v>
      </c>
      <c r="C16" s="72"/>
      <c r="D16" s="72"/>
      <c r="E16" s="72"/>
      <c r="F16" s="72"/>
      <c r="G16" s="72"/>
      <c r="H16" s="72"/>
    </row>
    <row r="17" spans="2:8" x14ac:dyDescent="0.4">
      <c r="B17" s="72"/>
      <c r="C17" s="72"/>
      <c r="D17" s="72"/>
      <c r="E17" s="72"/>
      <c r="F17" s="72"/>
      <c r="G17" s="72"/>
      <c r="H17" s="72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73" t="s">
        <v>767</v>
      </c>
      <c r="C19" s="73"/>
      <c r="D19" s="73"/>
      <c r="E19" s="73"/>
      <c r="F19" s="73"/>
      <c r="G19" s="73"/>
      <c r="H19" s="73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73" t="str">
        <f>IF(기초자료입력!B58&lt;&gt;"","위원 구분: "&amp;기초자료입력!B58,"")</f>
        <v/>
      </c>
      <c r="C21" s="73"/>
      <c r="D21" s="73"/>
      <c r="E21" s="73"/>
      <c r="F21" s="73"/>
      <c r="G21" s="73"/>
      <c r="H21" s="73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73" t="s">
        <v>768</v>
      </c>
      <c r="C23" s="73"/>
      <c r="D23" s="73"/>
      <c r="E23" s="73"/>
      <c r="F23" s="73"/>
      <c r="G23" s="73"/>
      <c r="H23" s="73"/>
    </row>
    <row r="24" spans="2:8" x14ac:dyDescent="0.4">
      <c r="B24" s="21"/>
      <c r="C24" s="21"/>
      <c r="D24" s="21"/>
      <c r="E24" s="21"/>
      <c r="F24" s="21"/>
      <c r="G24" s="21"/>
      <c r="H24" s="21"/>
    </row>
    <row r="25" spans="2:8" x14ac:dyDescent="0.4">
      <c r="B25" s="73" t="str">
        <f>IF(기초자료입력!C4&lt;&gt;"",기초자료입력!C4,"○○○학교")&amp;"장 귀하"</f>
        <v>○○○학교장 귀하</v>
      </c>
      <c r="C25" s="73"/>
      <c r="D25" s="73"/>
      <c r="E25" s="73"/>
      <c r="F25" s="73"/>
      <c r="G25" s="73"/>
      <c r="H25" s="73"/>
    </row>
  </sheetData>
  <mergeCells count="11">
    <mergeCell ref="B14:H15"/>
    <mergeCell ref="B3:H3"/>
    <mergeCell ref="B5:H5"/>
    <mergeCell ref="B7:H8"/>
    <mergeCell ref="B10:H11"/>
    <mergeCell ref="B12:H13"/>
    <mergeCell ref="B16:H17"/>
    <mergeCell ref="B19:H19"/>
    <mergeCell ref="B21:H21"/>
    <mergeCell ref="B23:H23"/>
    <mergeCell ref="B25:H25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25AC0-23B2-44A7-AA38-23AEA2D91319}">
  <sheetPr codeName="Sheet6"/>
  <dimension ref="A1:K19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4.69921875" customWidth="1"/>
    <col min="4" max="4" width="12.69921875" customWidth="1"/>
    <col min="5" max="9" width="9.69921875" customWidth="1"/>
    <col min="10" max="10" width="14.69921875" customWidth="1"/>
  </cols>
  <sheetData>
    <row r="1" spans="1:11" x14ac:dyDescent="0.4">
      <c r="A1" s="20" t="s">
        <v>751</v>
      </c>
    </row>
    <row r="2" spans="1:11" x14ac:dyDescent="0.4">
      <c r="K2" s="35" t="s">
        <v>325</v>
      </c>
    </row>
    <row r="3" spans="1:11" x14ac:dyDescent="0.4">
      <c r="B3" s="77" t="str">
        <f>"[13-3] "&amp;IF(기초자료입력!C5&lt;&gt;"",기초자료입력!C5,"20○○")&amp;"학년도 교복(동복·하복) 구매 업체별 제안서 평가표"</f>
        <v>[13-3] 20○○학년도 교복(동복·하복) 구매 업체별 제안서 평가표</v>
      </c>
      <c r="C3" s="78"/>
      <c r="D3" s="78"/>
      <c r="E3" s="78"/>
      <c r="F3" s="78"/>
      <c r="G3" s="78"/>
      <c r="H3" s="78"/>
      <c r="I3" s="37">
        <v>1</v>
      </c>
      <c r="J3" s="37"/>
    </row>
    <row r="4" spans="1:11" x14ac:dyDescent="0.4">
      <c r="B4" s="78"/>
      <c r="C4" s="78"/>
      <c r="D4" s="78"/>
      <c r="E4" s="78"/>
      <c r="F4" s="78"/>
      <c r="G4" s="78"/>
      <c r="H4" s="78"/>
      <c r="I4" s="37"/>
      <c r="J4" s="37"/>
    </row>
    <row r="5" spans="1:11" x14ac:dyDescent="0.4">
      <c r="B5" s="37" t="s">
        <v>87</v>
      </c>
      <c r="C5" s="37" t="str">
        <f>IF(기초자료입력!C4&lt;&gt;"",기초자료입력!C4,"")</f>
        <v/>
      </c>
      <c r="D5" s="37" t="s">
        <v>88</v>
      </c>
      <c r="E5" s="37" t="str">
        <f>IF(기초자료입력!C5&lt;&gt;"",기초자료입력!C5,"")</f>
        <v/>
      </c>
      <c r="F5" s="37" t="s">
        <v>328</v>
      </c>
      <c r="G5" s="76">
        <f>IFERROR(INDEX(기초자료입력!$B$44:$B$53,I3),"")</f>
        <v>0</v>
      </c>
      <c r="H5" s="76"/>
      <c r="I5" s="76"/>
      <c r="J5" s="76"/>
    </row>
    <row r="6" spans="1:11" x14ac:dyDescent="0.4">
      <c r="B6" s="37"/>
      <c r="C6" s="37"/>
      <c r="D6" s="37"/>
      <c r="E6" s="37"/>
      <c r="F6" s="37"/>
      <c r="G6" s="37"/>
      <c r="H6" s="37"/>
      <c r="I6" s="37"/>
      <c r="J6" s="37"/>
    </row>
    <row r="7" spans="1:11" ht="28.05" customHeight="1" x14ac:dyDescent="0.4">
      <c r="B7" s="63" t="s">
        <v>710</v>
      </c>
      <c r="C7" s="63" t="s">
        <v>60</v>
      </c>
      <c r="D7" s="63" t="s">
        <v>752</v>
      </c>
      <c r="E7" s="63" t="s">
        <v>753</v>
      </c>
      <c r="F7" s="63" t="s">
        <v>754</v>
      </c>
      <c r="G7" s="63" t="s">
        <v>755</v>
      </c>
      <c r="H7" s="63" t="s">
        <v>756</v>
      </c>
      <c r="I7" s="63" t="s">
        <v>757</v>
      </c>
      <c r="J7" s="60" t="s">
        <v>303</v>
      </c>
    </row>
    <row r="8" spans="1:11" ht="18" customHeight="1" x14ac:dyDescent="0.4">
      <c r="B8" s="79">
        <f>I3</f>
        <v>1</v>
      </c>
      <c r="C8" s="79">
        <f>IFERROR(INDEX(기초자료입력!$B$44:$B$53,I3),"")</f>
        <v>0</v>
      </c>
      <c r="D8" s="28"/>
      <c r="E8" s="61"/>
      <c r="F8" s="61"/>
      <c r="G8" s="61"/>
      <c r="H8" s="61"/>
      <c r="I8" s="28" t="str">
        <f t="shared" ref="I8:I15" si="0">IF(COUNT(E8:H8)=4,SUM(E8:H8),"")</f>
        <v/>
      </c>
      <c r="J8" s="80" t="s">
        <v>758</v>
      </c>
    </row>
    <row r="9" spans="1:11" ht="18" customHeight="1" x14ac:dyDescent="0.4">
      <c r="B9" s="79"/>
      <c r="C9" s="79"/>
      <c r="D9" s="28"/>
      <c r="E9" s="61"/>
      <c r="F9" s="61"/>
      <c r="G9" s="61"/>
      <c r="H9" s="61"/>
      <c r="I9" s="28" t="str">
        <f t="shared" si="0"/>
        <v/>
      </c>
      <c r="J9" s="80"/>
    </row>
    <row r="10" spans="1:11" ht="18" customHeight="1" x14ac:dyDescent="0.4">
      <c r="B10" s="79"/>
      <c r="C10" s="79"/>
      <c r="D10" s="28"/>
      <c r="E10" s="61"/>
      <c r="F10" s="61"/>
      <c r="G10" s="61"/>
      <c r="H10" s="61"/>
      <c r="I10" s="28" t="str">
        <f t="shared" si="0"/>
        <v/>
      </c>
      <c r="J10" s="80"/>
    </row>
    <row r="11" spans="1:11" ht="18" customHeight="1" x14ac:dyDescent="0.4">
      <c r="B11" s="79"/>
      <c r="C11" s="79"/>
      <c r="D11" s="28"/>
      <c r="E11" s="61"/>
      <c r="F11" s="61"/>
      <c r="G11" s="61"/>
      <c r="H11" s="61"/>
      <c r="I11" s="28" t="str">
        <f t="shared" si="0"/>
        <v/>
      </c>
      <c r="J11" s="80"/>
    </row>
    <row r="12" spans="1:11" ht="18" customHeight="1" x14ac:dyDescent="0.4">
      <c r="B12" s="79"/>
      <c r="C12" s="79"/>
      <c r="D12" s="28"/>
      <c r="E12" s="61"/>
      <c r="F12" s="61"/>
      <c r="G12" s="61"/>
      <c r="H12" s="61"/>
      <c r="I12" s="28" t="str">
        <f t="shared" si="0"/>
        <v/>
      </c>
      <c r="J12" s="80"/>
    </row>
    <row r="13" spans="1:11" ht="18" customHeight="1" x14ac:dyDescent="0.4">
      <c r="B13" s="79"/>
      <c r="C13" s="79"/>
      <c r="D13" s="28"/>
      <c r="E13" s="61"/>
      <c r="F13" s="61"/>
      <c r="G13" s="61"/>
      <c r="H13" s="61"/>
      <c r="I13" s="28" t="str">
        <f t="shared" si="0"/>
        <v/>
      </c>
      <c r="J13" s="80"/>
    </row>
    <row r="14" spans="1:11" ht="18" customHeight="1" x14ac:dyDescent="0.4">
      <c r="B14" s="79"/>
      <c r="C14" s="79"/>
      <c r="D14" s="28"/>
      <c r="E14" s="61"/>
      <c r="F14" s="61"/>
      <c r="G14" s="61"/>
      <c r="H14" s="61"/>
      <c r="I14" s="28" t="str">
        <f t="shared" si="0"/>
        <v/>
      </c>
      <c r="J14" s="80"/>
    </row>
    <row r="15" spans="1:11" ht="18" customHeight="1" x14ac:dyDescent="0.4">
      <c r="B15" s="79"/>
      <c r="C15" s="79"/>
      <c r="D15" s="28"/>
      <c r="E15" s="61"/>
      <c r="F15" s="61"/>
      <c r="G15" s="61"/>
      <c r="H15" s="61"/>
      <c r="I15" s="28" t="str">
        <f t="shared" si="0"/>
        <v/>
      </c>
      <c r="J15" s="80"/>
    </row>
    <row r="16" spans="1:11" x14ac:dyDescent="0.4">
      <c r="B16" s="75" t="s">
        <v>759</v>
      </c>
      <c r="C16" s="75"/>
      <c r="D16" s="75"/>
      <c r="E16" s="28" t="str">
        <f>IF(COUNT(E8:E15)=8,SUM(E8:E15)-MAX(E8:E15)-MIN(E8:E15),"")</f>
        <v/>
      </c>
      <c r="F16" s="28" t="str">
        <f>IF(COUNT(F8:F15)=8,SUM(F8:F15)-MAX(F8:F15)-MIN(F8:F15),"")</f>
        <v/>
      </c>
      <c r="G16" s="28" t="str">
        <f>IF(COUNT(G8:G15)=8,SUM(G8:G15)-MAX(G8:G15)-MIN(G8:G15),"")</f>
        <v/>
      </c>
      <c r="H16" s="28" t="str">
        <f>IF(COUNT(H8:H15)=8,SUM(H8:H15)-MAX(H8:H15)-MIN(H8:H15),"")</f>
        <v/>
      </c>
      <c r="I16" s="28" t="str">
        <f>IF(COUNT(I8:I15)=8,SUM(I8:I15)-MAX(I8:I15)-MIN(I8:I15),"")</f>
        <v/>
      </c>
      <c r="J16" s="28"/>
    </row>
    <row r="17" spans="2:10" x14ac:dyDescent="0.4">
      <c r="B17" s="75" t="s">
        <v>760</v>
      </c>
      <c r="C17" s="75"/>
      <c r="D17" s="75"/>
      <c r="E17" s="66" t="str">
        <f>IF(E16="","",E16/6)</f>
        <v/>
      </c>
      <c r="F17" s="66" t="str">
        <f>IF(F16="","",F16/6)</f>
        <v/>
      </c>
      <c r="G17" s="66" t="str">
        <f>IF(G16="","",G16/6)</f>
        <v/>
      </c>
      <c r="H17" s="66" t="str">
        <f>IF(H16="","",H16/6)</f>
        <v/>
      </c>
      <c r="I17" s="66" t="str">
        <f>IF(I16="","",I16/6)</f>
        <v/>
      </c>
      <c r="J17" s="28"/>
    </row>
    <row r="18" spans="2:10" x14ac:dyDescent="0.4">
      <c r="B18" s="37"/>
      <c r="C18" s="37"/>
      <c r="D18" s="37"/>
      <c r="E18" s="37"/>
      <c r="F18" s="37"/>
      <c r="G18" s="37"/>
      <c r="H18" s="37"/>
      <c r="I18" s="37"/>
      <c r="J18" s="37"/>
    </row>
    <row r="19" spans="2:10" x14ac:dyDescent="0.4">
      <c r="B19" s="76" t="s">
        <v>761</v>
      </c>
      <c r="C19" s="76"/>
      <c r="D19" s="76"/>
      <c r="E19" s="76"/>
      <c r="F19" s="76"/>
      <c r="G19" s="76"/>
      <c r="H19" s="76"/>
      <c r="I19" s="76"/>
      <c r="J19" s="76"/>
    </row>
  </sheetData>
  <mergeCells count="8">
    <mergeCell ref="B17:D17"/>
    <mergeCell ref="B19:J19"/>
    <mergeCell ref="B3:H4"/>
    <mergeCell ref="G5:J5"/>
    <mergeCell ref="B8:B15"/>
    <mergeCell ref="C8:C15"/>
    <mergeCell ref="J8:J15"/>
    <mergeCell ref="B16:D16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00B32-A258-4DFF-94B0-71E2FC98C438}">
  <sheetPr codeName="Sheet7"/>
  <dimension ref="A1:I23"/>
  <sheetViews>
    <sheetView workbookViewId="0"/>
  </sheetViews>
  <sheetFormatPr defaultRowHeight="17.399999999999999" x14ac:dyDescent="0.4"/>
  <cols>
    <col min="1" max="1" width="3.19921875" customWidth="1"/>
    <col min="2" max="9" width="8.69921875" customWidth="1"/>
  </cols>
  <sheetData>
    <row r="1" spans="1:9" x14ac:dyDescent="0.4">
      <c r="A1" s="20" t="s">
        <v>742</v>
      </c>
    </row>
    <row r="3" spans="1:9" x14ac:dyDescent="0.4">
      <c r="B3" s="77" t="s">
        <v>743</v>
      </c>
      <c r="C3" s="78"/>
      <c r="D3" s="78"/>
      <c r="E3" s="78"/>
      <c r="F3" s="78"/>
      <c r="G3" s="78"/>
      <c r="H3" s="78"/>
      <c r="I3" s="78"/>
    </row>
    <row r="4" spans="1:9" x14ac:dyDescent="0.4">
      <c r="B4" s="37"/>
      <c r="C4" s="37"/>
      <c r="D4" s="37"/>
      <c r="E4" s="37"/>
      <c r="F4" s="37"/>
      <c r="G4" s="37"/>
      <c r="H4" s="37"/>
      <c r="I4" s="37"/>
    </row>
    <row r="5" spans="1:9" x14ac:dyDescent="0.4">
      <c r="B5" s="78" t="str">
        <f>IF(기초자료입력!C4&lt;&gt;"",기초자료입력!C4,"")&amp;IF(기초자료입력!C5&lt;&gt;""," ("&amp;기초자료입력!C5&amp;"학년도)","")&amp;IF(기초자료입력!C22&lt;&gt;""," · "&amp;기초자료입력!C22,"")</f>
        <v/>
      </c>
      <c r="C5" s="78"/>
      <c r="D5" s="78"/>
      <c r="E5" s="78"/>
      <c r="F5" s="78"/>
      <c r="G5" s="78"/>
      <c r="H5" s="78"/>
      <c r="I5" s="78"/>
    </row>
    <row r="6" spans="1:9" x14ac:dyDescent="0.4">
      <c r="B6" s="37"/>
      <c r="C6" s="37"/>
      <c r="D6" s="37"/>
      <c r="E6" s="37"/>
      <c r="F6" s="37"/>
      <c r="G6" s="37"/>
      <c r="H6" s="37"/>
      <c r="I6" s="37"/>
    </row>
    <row r="7" spans="1:9" ht="28.05" customHeight="1" x14ac:dyDescent="0.4">
      <c r="B7" s="82" t="s">
        <v>744</v>
      </c>
      <c r="C7" s="82"/>
      <c r="D7" s="82"/>
      <c r="E7" s="82" t="s">
        <v>745</v>
      </c>
      <c r="F7" s="82"/>
      <c r="G7" s="82"/>
      <c r="H7" s="82" t="s">
        <v>746</v>
      </c>
      <c r="I7" s="82" t="s">
        <v>303</v>
      </c>
    </row>
    <row r="8" spans="1:9" ht="30" customHeight="1" x14ac:dyDescent="0.4">
      <c r="B8" s="63" t="s">
        <v>60</v>
      </c>
      <c r="C8" s="63" t="s">
        <v>369</v>
      </c>
      <c r="D8" s="63" t="s">
        <v>421</v>
      </c>
      <c r="E8" s="63" t="s">
        <v>607</v>
      </c>
      <c r="F8" s="63" t="s">
        <v>711</v>
      </c>
      <c r="G8" s="63" t="s">
        <v>709</v>
      </c>
      <c r="H8" s="82"/>
      <c r="I8" s="82"/>
    </row>
    <row r="9" spans="1:9" x14ac:dyDescent="0.4">
      <c r="B9" s="65" t="str">
        <f>IF(기초자료입력!B44&lt;&gt;"",기초자료입력!B44,"")</f>
        <v/>
      </c>
      <c r="C9" s="65"/>
      <c r="D9" s="65"/>
      <c r="E9" s="65"/>
      <c r="F9" s="65"/>
      <c r="G9" s="65"/>
      <c r="H9" s="65"/>
      <c r="I9" s="65"/>
    </row>
    <row r="10" spans="1:9" x14ac:dyDescent="0.4">
      <c r="B10" s="65" t="str">
        <f>IF(기초자료입력!B45&lt;&gt;"",기초자료입력!B45,"")</f>
        <v/>
      </c>
      <c r="C10" s="65"/>
      <c r="D10" s="65"/>
      <c r="E10" s="65"/>
      <c r="F10" s="65"/>
      <c r="G10" s="65"/>
      <c r="H10" s="65"/>
      <c r="I10" s="65"/>
    </row>
    <row r="11" spans="1:9" x14ac:dyDescent="0.4">
      <c r="B11" s="65" t="str">
        <f>IF(기초자료입력!B46&lt;&gt;"",기초자료입력!B46,"")</f>
        <v/>
      </c>
      <c r="C11" s="65"/>
      <c r="D11" s="65"/>
      <c r="E11" s="65"/>
      <c r="F11" s="65"/>
      <c r="G11" s="65"/>
      <c r="H11" s="65"/>
      <c r="I11" s="65"/>
    </row>
    <row r="12" spans="1:9" x14ac:dyDescent="0.4">
      <c r="B12" s="65" t="str">
        <f>IF(기초자료입력!B47&lt;&gt;"",기초자료입력!B47,"")</f>
        <v/>
      </c>
      <c r="C12" s="65"/>
      <c r="D12" s="65"/>
      <c r="E12" s="65"/>
      <c r="F12" s="65"/>
      <c r="G12" s="65"/>
      <c r="H12" s="65"/>
      <c r="I12" s="65"/>
    </row>
    <row r="13" spans="1:9" x14ac:dyDescent="0.4">
      <c r="B13" s="65" t="str">
        <f>IF(기초자료입력!B48&lt;&gt;"",기초자료입력!B48,"")</f>
        <v/>
      </c>
      <c r="C13" s="65"/>
      <c r="D13" s="65"/>
      <c r="E13" s="65"/>
      <c r="F13" s="65"/>
      <c r="G13" s="65"/>
      <c r="H13" s="65"/>
      <c r="I13" s="65"/>
    </row>
    <row r="14" spans="1:9" x14ac:dyDescent="0.4">
      <c r="B14" s="65" t="str">
        <f>IF(기초자료입력!B49&lt;&gt;"",기초자료입력!B49,"")</f>
        <v/>
      </c>
      <c r="C14" s="65"/>
      <c r="D14" s="65"/>
      <c r="E14" s="65"/>
      <c r="F14" s="65"/>
      <c r="G14" s="65"/>
      <c r="H14" s="65"/>
      <c r="I14" s="65"/>
    </row>
    <row r="15" spans="1:9" x14ac:dyDescent="0.4">
      <c r="B15" s="65" t="str">
        <f>IF(기초자료입력!B50&lt;&gt;"",기초자료입력!B50,"")</f>
        <v/>
      </c>
      <c r="C15" s="65"/>
      <c r="D15" s="65"/>
      <c r="E15" s="65"/>
      <c r="F15" s="65"/>
      <c r="G15" s="65"/>
      <c r="H15" s="65"/>
      <c r="I15" s="65"/>
    </row>
    <row r="16" spans="1:9" x14ac:dyDescent="0.4">
      <c r="B16" s="65" t="str">
        <f>IF(기초자료입력!B51&lt;&gt;"",기초자료입력!B51,"")</f>
        <v/>
      </c>
      <c r="C16" s="65"/>
      <c r="D16" s="65"/>
      <c r="E16" s="65"/>
      <c r="F16" s="65"/>
      <c r="G16" s="65"/>
      <c r="H16" s="65"/>
      <c r="I16" s="65"/>
    </row>
    <row r="17" spans="2:9" x14ac:dyDescent="0.4">
      <c r="B17" s="65" t="str">
        <f>IF(기초자료입력!B52&lt;&gt;"",기초자료입력!B52,"")</f>
        <v/>
      </c>
      <c r="C17" s="65"/>
      <c r="D17" s="65"/>
      <c r="E17" s="65"/>
      <c r="F17" s="65"/>
      <c r="G17" s="65"/>
      <c r="H17" s="65"/>
      <c r="I17" s="65"/>
    </row>
    <row r="18" spans="2:9" x14ac:dyDescent="0.4">
      <c r="B18" s="65" t="str">
        <f>IF(기초자료입력!B53&lt;&gt;"",기초자료입력!B53,"")</f>
        <v/>
      </c>
      <c r="C18" s="65"/>
      <c r="D18" s="65"/>
      <c r="E18" s="65"/>
      <c r="F18" s="65"/>
      <c r="G18" s="65"/>
      <c r="H18" s="65"/>
      <c r="I18" s="65"/>
    </row>
    <row r="19" spans="2:9" x14ac:dyDescent="0.4">
      <c r="B19" s="37"/>
      <c r="C19" s="37"/>
      <c r="D19" s="37"/>
      <c r="E19" s="37"/>
      <c r="F19" s="37"/>
      <c r="G19" s="37"/>
      <c r="H19" s="37"/>
      <c r="I19" s="37"/>
    </row>
    <row r="20" spans="2:9" x14ac:dyDescent="0.4">
      <c r="B20" s="81" t="s">
        <v>747</v>
      </c>
      <c r="C20" s="76"/>
      <c r="D20" s="76"/>
      <c r="E20" s="76"/>
      <c r="F20" s="76"/>
      <c r="G20" s="76"/>
      <c r="H20" s="76"/>
      <c r="I20" s="76"/>
    </row>
    <row r="21" spans="2:9" x14ac:dyDescent="0.4">
      <c r="B21" s="76" t="s">
        <v>748</v>
      </c>
      <c r="C21" s="76"/>
      <c r="D21" s="76"/>
      <c r="E21" s="76"/>
      <c r="F21" s="76"/>
      <c r="G21" s="76"/>
      <c r="H21" s="76"/>
      <c r="I21" s="76"/>
    </row>
    <row r="22" spans="2:9" x14ac:dyDescent="0.4">
      <c r="B22" s="76" t="s">
        <v>749</v>
      </c>
      <c r="C22" s="76"/>
      <c r="D22" s="76"/>
      <c r="E22" s="76"/>
      <c r="F22" s="76"/>
      <c r="G22" s="76"/>
      <c r="H22" s="76"/>
      <c r="I22" s="76"/>
    </row>
    <row r="23" spans="2:9" x14ac:dyDescent="0.4">
      <c r="B23" s="76" t="s">
        <v>750</v>
      </c>
      <c r="C23" s="76"/>
      <c r="D23" s="76"/>
      <c r="E23" s="76"/>
      <c r="F23" s="76"/>
      <c r="G23" s="76"/>
      <c r="H23" s="76"/>
      <c r="I23" s="76"/>
    </row>
  </sheetData>
  <mergeCells count="10">
    <mergeCell ref="B20:I20"/>
    <mergeCell ref="B21:I21"/>
    <mergeCell ref="B22:I22"/>
    <mergeCell ref="B23:I23"/>
    <mergeCell ref="B3:I3"/>
    <mergeCell ref="B5:I5"/>
    <mergeCell ref="B7:D7"/>
    <mergeCell ref="E7:G7"/>
    <mergeCell ref="H7:H8"/>
    <mergeCell ref="I7:I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C737B-FC21-4249-AEA0-8C1127995CDB}">
  <sheetPr codeName="Sheet8"/>
  <dimension ref="A1:H21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6.69921875" customWidth="1"/>
    <col min="5" max="6" width="15.69921875" customWidth="1"/>
    <col min="7" max="8" width="2.69921875" customWidth="1"/>
  </cols>
  <sheetData>
    <row r="1" spans="1:8" x14ac:dyDescent="0.4">
      <c r="A1" s="20" t="s">
        <v>736</v>
      </c>
    </row>
    <row r="3" spans="1:8" x14ac:dyDescent="0.4">
      <c r="B3" s="74" t="str">
        <f>IF(기초자료입력!C5&lt;&gt;"",기초자료입력!C5&amp;"학년도 ","")&amp;"교복선정 평가위원회 참석 등록부"</f>
        <v>교복선정 평가위원회 참석 등록부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IF(기초자료입력!C4&lt;&gt;"",기초자료입력!C4,"")&amp;IF(기초자료입력!C22&lt;&gt;""," ·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1" t="s">
        <v>737</v>
      </c>
      <c r="C7" s="83"/>
      <c r="D7" s="83"/>
      <c r="E7" s="83"/>
      <c r="F7" s="83"/>
      <c r="G7" s="83"/>
      <c r="H7" s="83"/>
    </row>
    <row r="8" spans="1:8" x14ac:dyDescent="0.4">
      <c r="B8" s="21" t="s">
        <v>738</v>
      </c>
      <c r="C8" s="83" t="s">
        <v>739</v>
      </c>
      <c r="D8" s="83"/>
      <c r="E8" s="83"/>
      <c r="F8" s="83"/>
      <c r="G8" s="83"/>
      <c r="H8" s="83"/>
    </row>
    <row r="9" spans="1:8" x14ac:dyDescent="0.4">
      <c r="B9" s="21"/>
      <c r="C9" s="21"/>
      <c r="D9" s="21"/>
      <c r="E9" s="21"/>
      <c r="F9" s="21"/>
      <c r="G9" s="21"/>
      <c r="H9" s="21"/>
    </row>
    <row r="10" spans="1:8" x14ac:dyDescent="0.4">
      <c r="B10" s="84" t="s">
        <v>740</v>
      </c>
      <c r="C10" s="83"/>
      <c r="D10" s="83"/>
      <c r="E10" s="83"/>
      <c r="F10" s="83"/>
      <c r="G10" s="83"/>
      <c r="H10" s="83"/>
    </row>
    <row r="11" spans="1:8" x14ac:dyDescent="0.4">
      <c r="B11" s="24" t="s">
        <v>507</v>
      </c>
      <c r="C11" s="24" t="s">
        <v>607</v>
      </c>
      <c r="D11" s="24" t="s">
        <v>509</v>
      </c>
      <c r="E11" s="24" t="s">
        <v>741</v>
      </c>
      <c r="F11" s="24" t="s">
        <v>303</v>
      </c>
      <c r="G11" s="21"/>
      <c r="H11" s="21"/>
    </row>
    <row r="12" spans="1:8" x14ac:dyDescent="0.4">
      <c r="B12" s="50">
        <v>1</v>
      </c>
      <c r="C12" s="50" t="str">
        <f>IF(기초자료입력!B58&lt;&gt;"",기초자료입력!B58,"")</f>
        <v/>
      </c>
      <c r="D12" s="50"/>
      <c r="E12" s="50"/>
      <c r="F12" s="50"/>
      <c r="G12" s="21"/>
      <c r="H12" s="21"/>
    </row>
    <row r="13" spans="1:8" x14ac:dyDescent="0.4">
      <c r="B13" s="50">
        <v>2</v>
      </c>
      <c r="C13" s="50" t="str">
        <f>IF(기초자료입력!B59&lt;&gt;"",기초자료입력!B59,"")</f>
        <v/>
      </c>
      <c r="D13" s="50"/>
      <c r="E13" s="50"/>
      <c r="F13" s="50"/>
      <c r="G13" s="21"/>
      <c r="H13" s="21"/>
    </row>
    <row r="14" spans="1:8" x14ac:dyDescent="0.4">
      <c r="B14" s="50">
        <v>3</v>
      </c>
      <c r="C14" s="50" t="str">
        <f>IF(기초자료입력!B60&lt;&gt;"",기초자료입력!B60,"")</f>
        <v/>
      </c>
      <c r="D14" s="50"/>
      <c r="E14" s="50"/>
      <c r="F14" s="50"/>
      <c r="G14" s="21"/>
      <c r="H14" s="21"/>
    </row>
    <row r="15" spans="1:8" x14ac:dyDescent="0.4">
      <c r="B15" s="50">
        <v>4</v>
      </c>
      <c r="C15" s="50" t="str">
        <f>IF(기초자료입력!B61&lt;&gt;"",기초자료입력!B61,"")</f>
        <v/>
      </c>
      <c r="D15" s="50"/>
      <c r="E15" s="50"/>
      <c r="F15" s="50"/>
      <c r="G15" s="21"/>
      <c r="H15" s="21"/>
    </row>
    <row r="16" spans="1:8" x14ac:dyDescent="0.4">
      <c r="B16" s="50">
        <v>5</v>
      </c>
      <c r="C16" s="50" t="str">
        <f>IF(기초자료입력!B62&lt;&gt;"",기초자료입력!B62,"")</f>
        <v/>
      </c>
      <c r="D16" s="50"/>
      <c r="E16" s="50"/>
      <c r="F16" s="50"/>
      <c r="G16" s="21"/>
      <c r="H16" s="21"/>
    </row>
    <row r="17" spans="2:8" x14ac:dyDescent="0.4">
      <c r="B17" s="50">
        <v>6</v>
      </c>
      <c r="C17" s="50" t="str">
        <f>IF(기초자료입력!B63&lt;&gt;"",기초자료입력!B63,"")</f>
        <v/>
      </c>
      <c r="D17" s="50"/>
      <c r="E17" s="50"/>
      <c r="F17" s="50"/>
      <c r="G17" s="21"/>
      <c r="H17" s="21"/>
    </row>
    <row r="18" spans="2:8" x14ac:dyDescent="0.4">
      <c r="B18" s="50">
        <v>7</v>
      </c>
      <c r="C18" s="50" t="str">
        <f>IF(기초자료입력!B64&lt;&gt;"",기초자료입력!B64,"")</f>
        <v/>
      </c>
      <c r="D18" s="50"/>
      <c r="E18" s="50"/>
      <c r="F18" s="50"/>
      <c r="G18" s="21"/>
      <c r="H18" s="21"/>
    </row>
    <row r="19" spans="2:8" x14ac:dyDescent="0.4">
      <c r="B19" s="50">
        <v>8</v>
      </c>
      <c r="C19" s="50" t="str">
        <f>IF(기초자료입력!B65&lt;&gt;"",기초자료입력!B65,"")</f>
        <v/>
      </c>
      <c r="D19" s="50"/>
      <c r="E19" s="50"/>
      <c r="F19" s="50"/>
      <c r="G19" s="21"/>
      <c r="H19" s="21"/>
    </row>
    <row r="20" spans="2:8" x14ac:dyDescent="0.4">
      <c r="B20" s="50">
        <v>9</v>
      </c>
      <c r="C20" s="50" t="str">
        <f>IF(기초자료입력!B66&lt;&gt;"",기초자료입력!B66,"")</f>
        <v/>
      </c>
      <c r="D20" s="50"/>
      <c r="E20" s="50"/>
      <c r="F20" s="50"/>
      <c r="G20" s="21"/>
      <c r="H20" s="21"/>
    </row>
    <row r="21" spans="2:8" x14ac:dyDescent="0.4">
      <c r="B21" s="50">
        <v>10</v>
      </c>
      <c r="C21" s="50" t="str">
        <f>IF(기초자료입력!B67&lt;&gt;"",기초자료입력!B67,"")</f>
        <v/>
      </c>
      <c r="D21" s="50"/>
      <c r="E21" s="50"/>
      <c r="F21" s="50"/>
      <c r="G21" s="21"/>
      <c r="H21" s="21"/>
    </row>
  </sheetData>
  <mergeCells count="5">
    <mergeCell ref="B3:H3"/>
    <mergeCell ref="B5:H5"/>
    <mergeCell ref="C7:H7"/>
    <mergeCell ref="C8:H8"/>
    <mergeCell ref="B10:H10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76E52-C804-4857-B305-FD7E692623E1}">
  <sheetPr codeName="Sheet9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16.69921875" customWidth="1"/>
    <col min="3" max="6" width="10.69921875" customWidth="1"/>
    <col min="7" max="7" width="14.69921875" customWidth="1"/>
  </cols>
  <sheetData>
    <row r="1" spans="1:8" x14ac:dyDescent="0.4">
      <c r="A1" s="20" t="s">
        <v>728</v>
      </c>
    </row>
    <row r="3" spans="1:8" x14ac:dyDescent="0.4">
      <c r="B3" s="87" t="str">
        <f>IF(기초자료입력!C4&lt;&gt;"",기초자료입력!C4,"○○학교")&amp;" 교복 구매 제안서 평가 결과"</f>
        <v>○○학교 교복 구매 제안서 평가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276</v>
      </c>
      <c r="F5" s="36" t="str">
        <f>IF(기초자료입력!C8&lt;&gt;"",TEXT(기초자료입력!C8,"yyyy-mm-dd"),"")</f>
        <v/>
      </c>
      <c r="G5" s="36"/>
    </row>
    <row r="6" spans="1:8" x14ac:dyDescent="0.4">
      <c r="B6" s="36"/>
      <c r="C6" s="36"/>
      <c r="D6" s="36"/>
      <c r="E6" s="36"/>
      <c r="F6" s="36"/>
      <c r="G6" s="36"/>
    </row>
    <row r="7" spans="1:8" x14ac:dyDescent="0.4">
      <c r="B7" s="53" t="s">
        <v>277</v>
      </c>
      <c r="C7" s="89" t="s">
        <v>497</v>
      </c>
      <c r="D7" s="89"/>
      <c r="E7" s="89"/>
      <c r="F7" s="89"/>
      <c r="G7" s="89"/>
      <c r="H7" s="90"/>
    </row>
    <row r="8" spans="1:8" x14ac:dyDescent="0.4">
      <c r="B8" s="53" t="s">
        <v>284</v>
      </c>
      <c r="C8" s="89"/>
      <c r="D8" s="89"/>
      <c r="E8" s="89"/>
      <c r="F8" s="89"/>
      <c r="G8" s="89"/>
      <c r="H8" s="90"/>
    </row>
    <row r="9" spans="1:8" x14ac:dyDescent="0.4">
      <c r="B9" s="53" t="s">
        <v>278</v>
      </c>
      <c r="C9" s="91" t="str">
        <f>IF(기초자료입력!C22&lt;&gt;"",기초자료입력!C22,IF(기초자료입력!C5&lt;&gt;"",기초자료입력!C5,"20○○")&amp;"학년도 교복 업체 선정을 위한 제안서 평가 집계결과 보고")</f>
        <v>20○○학년도 교복 업체 선정을 위한 제안서 평가 집계결과 보고</v>
      </c>
      <c r="D9" s="89"/>
      <c r="E9" s="89"/>
      <c r="F9" s="89"/>
      <c r="G9" s="89"/>
      <c r="H9" s="90"/>
    </row>
    <row r="10" spans="1:8" x14ac:dyDescent="0.4">
      <c r="B10" s="37"/>
      <c r="C10" s="37"/>
      <c r="D10" s="37"/>
      <c r="E10" s="37"/>
      <c r="F10" s="37"/>
      <c r="G10" s="37"/>
    </row>
    <row r="11" spans="1:8" x14ac:dyDescent="0.4">
      <c r="B11" s="81" t="str">
        <f>"1. 관련："&amp;IF(기초자료입력!C23&lt;&gt;"",기초자료입력!C23,"관련 문서를 확인하십시오.")</f>
        <v>1. 관련：관련 문서를 확인하십시오.</v>
      </c>
      <c r="C11" s="76"/>
      <c r="D11" s="76"/>
      <c r="E11" s="76"/>
      <c r="F11" s="76"/>
      <c r="G11" s="76"/>
      <c r="H11" s="90"/>
    </row>
    <row r="12" spans="1:8" x14ac:dyDescent="0.4">
      <c r="B12" s="37"/>
      <c r="C12" s="37"/>
      <c r="D12" s="37"/>
      <c r="E12" s="37"/>
      <c r="F12" s="37"/>
      <c r="G12" s="37"/>
    </row>
    <row r="13" spans="1:8" ht="28.05" customHeight="1" x14ac:dyDescent="0.4">
      <c r="B13" s="86" t="str">
        <f>"2. "&amp;IF(기초자료입력!C5&lt;&gt;"",기초자료입력!C5,"20○○")&amp;"학년도 교복업체 선정을 위한 제안서 평가위원회 실시 결과를 아래와 같이 보고합니다."</f>
        <v>2. 20○○학년도 교복업체 선정을 위한 제안서 평가위원회 실시 결과를 아래와 같이 보고합니다.</v>
      </c>
      <c r="C13" s="86"/>
      <c r="D13" s="86"/>
      <c r="E13" s="86"/>
      <c r="F13" s="86"/>
      <c r="G13" s="86"/>
      <c r="H13" s="71"/>
    </row>
    <row r="14" spans="1:8" x14ac:dyDescent="0.4">
      <c r="B14" s="86"/>
      <c r="C14" s="86"/>
      <c r="D14" s="86"/>
      <c r="E14" s="86"/>
      <c r="F14" s="86"/>
      <c r="G14" s="86"/>
      <c r="H14" s="71"/>
    </row>
    <row r="15" spans="1:8" x14ac:dyDescent="0.4">
      <c r="B15" s="37"/>
      <c r="C15" s="37"/>
      <c r="D15" s="37"/>
      <c r="E15" s="37"/>
      <c r="F15" s="37"/>
      <c r="G15" s="37"/>
    </row>
    <row r="16" spans="1:8" x14ac:dyDescent="0.4">
      <c r="B16" s="37"/>
      <c r="C16" s="37"/>
      <c r="D16" s="37"/>
      <c r="E16" s="37"/>
      <c r="F16" s="37"/>
      <c r="G16" s="37"/>
    </row>
    <row r="17" spans="2:7" x14ac:dyDescent="0.4">
      <c r="B17" s="85" t="s">
        <v>60</v>
      </c>
      <c r="C17" s="85" t="s">
        <v>729</v>
      </c>
      <c r="D17" s="85"/>
      <c r="E17" s="85"/>
      <c r="F17" s="85" t="s">
        <v>732</v>
      </c>
      <c r="G17" s="85" t="s">
        <v>733</v>
      </c>
    </row>
    <row r="18" spans="2:7" x14ac:dyDescent="0.4">
      <c r="B18" s="85"/>
      <c r="C18" s="60" t="s">
        <v>730</v>
      </c>
      <c r="D18" s="60" t="s">
        <v>731</v>
      </c>
      <c r="E18" s="60" t="s">
        <v>282</v>
      </c>
      <c r="F18" s="85"/>
      <c r="G18" s="85"/>
    </row>
    <row r="19" spans="2:7" x14ac:dyDescent="0.4">
      <c r="B19" s="28" t="str">
        <f>IF(기초자료입력!B44&lt;&gt;"",기초자료입력!B44,"")</f>
        <v/>
      </c>
      <c r="C19" s="28" t="str">
        <f>IF(기초자료입력!B44="","",IF(OR(기초자료입력!C44="",기초자료입력!D44="",기초자료입력!E44="",기초자료입력!F44=""),"",기초자료입력!C44+기초자료입력!D44+기초자료입력!E44+기초자료입력!F44))</f>
        <v/>
      </c>
      <c r="D19" s="28" t="str">
        <f>IF(기초자료입력!B44="","",IF(OR(기초자료입력!H44="",기초자료입력!I44="",기초자료입력!J44="",기초자료입력!K44="",기초자료입력!L44=""),"",기초자료입력!H44+기초자료입력!I44+기초자료입력!J44+기초자료입력!K44+기초자료입력!L44))</f>
        <v/>
      </c>
      <c r="E19" s="28" t="str">
        <f t="shared" ref="E19:E28" si="0">IF(OR(C19="",D19=""),"",C19+D19)</f>
        <v/>
      </c>
      <c r="F19" s="28" t="str">
        <f t="shared" ref="F19:F28" si="1">IF(E19="","",IF(E19&gt;=80,"적격","부적격"))</f>
        <v/>
      </c>
      <c r="G19" s="28" t="str">
        <f t="shared" ref="G19:G28" si="2">IF(F19="적격","가격개찰대상","")</f>
        <v/>
      </c>
    </row>
    <row r="20" spans="2:7" x14ac:dyDescent="0.4">
      <c r="B20" s="28" t="str">
        <f>IF(기초자료입력!B45&lt;&gt;"",기초자료입력!B45,"")</f>
        <v/>
      </c>
      <c r="C20" s="28" t="str">
        <f>IF(기초자료입력!B45="","",IF(OR(기초자료입력!C45="",기초자료입력!D45="",기초자료입력!E45="",기초자료입력!F45=""),"",기초자료입력!C45+기초자료입력!D45+기초자료입력!E45+기초자료입력!F45))</f>
        <v/>
      </c>
      <c r="D20" s="28" t="str">
        <f>IF(기초자료입력!B45="","",IF(OR(기초자료입력!H45="",기초자료입력!I45="",기초자료입력!J45="",기초자료입력!K45="",기초자료입력!L45=""),"",기초자료입력!H45+기초자료입력!I45+기초자료입력!J45+기초자료입력!K45+기초자료입력!L45))</f>
        <v/>
      </c>
      <c r="E20" s="28" t="str">
        <f t="shared" si="0"/>
        <v/>
      </c>
      <c r="F20" s="28" t="str">
        <f t="shared" si="1"/>
        <v/>
      </c>
      <c r="G20" s="28" t="str">
        <f t="shared" si="2"/>
        <v/>
      </c>
    </row>
    <row r="21" spans="2:7" x14ac:dyDescent="0.4">
      <c r="B21" s="28" t="str">
        <f>IF(기초자료입력!B46&lt;&gt;"",기초자료입력!B46,"")</f>
        <v/>
      </c>
      <c r="C21" s="28" t="str">
        <f>IF(기초자료입력!B46="","",IF(OR(기초자료입력!C46="",기초자료입력!D46="",기초자료입력!E46="",기초자료입력!F46=""),"",기초자료입력!C46+기초자료입력!D46+기초자료입력!E46+기초자료입력!F46))</f>
        <v/>
      </c>
      <c r="D21" s="28" t="str">
        <f>IF(기초자료입력!B46="","",IF(OR(기초자료입력!H46="",기초자료입력!I46="",기초자료입력!J46="",기초자료입력!K46="",기초자료입력!L46=""),"",기초자료입력!H46+기초자료입력!I46+기초자료입력!J46+기초자료입력!K46+기초자료입력!L46))</f>
        <v/>
      </c>
      <c r="E21" s="28" t="str">
        <f t="shared" si="0"/>
        <v/>
      </c>
      <c r="F21" s="28" t="str">
        <f t="shared" si="1"/>
        <v/>
      </c>
      <c r="G21" s="28" t="str">
        <f t="shared" si="2"/>
        <v/>
      </c>
    </row>
    <row r="22" spans="2:7" x14ac:dyDescent="0.4">
      <c r="B22" s="28" t="str">
        <f>IF(기초자료입력!B47&lt;&gt;"",기초자료입력!B47,"")</f>
        <v/>
      </c>
      <c r="C22" s="28" t="str">
        <f>IF(기초자료입력!B47="","",IF(OR(기초자료입력!C47="",기초자료입력!D47="",기초자료입력!E47="",기초자료입력!F47=""),"",기초자료입력!C47+기초자료입력!D47+기초자료입력!E47+기초자료입력!F47))</f>
        <v/>
      </c>
      <c r="D22" s="28" t="str">
        <f>IF(기초자료입력!B47="","",IF(OR(기초자료입력!H47="",기초자료입력!I47="",기초자료입력!J47="",기초자료입력!K47="",기초자료입력!L47=""),"",기초자료입력!H47+기초자료입력!I47+기초자료입력!J47+기초자료입력!K47+기초자료입력!L47))</f>
        <v/>
      </c>
      <c r="E22" s="28" t="str">
        <f t="shared" si="0"/>
        <v/>
      </c>
      <c r="F22" s="28" t="str">
        <f t="shared" si="1"/>
        <v/>
      </c>
      <c r="G22" s="28" t="str">
        <f t="shared" si="2"/>
        <v/>
      </c>
    </row>
    <row r="23" spans="2:7" x14ac:dyDescent="0.4">
      <c r="B23" s="28" t="str">
        <f>IF(기초자료입력!B48&lt;&gt;"",기초자료입력!B48,"")</f>
        <v/>
      </c>
      <c r="C23" s="28" t="str">
        <f>IF(기초자료입력!B48="","",IF(OR(기초자료입력!C48="",기초자료입력!D48="",기초자료입력!E48="",기초자료입력!F48=""),"",기초자료입력!C48+기초자료입력!D48+기초자료입력!E48+기초자료입력!F48))</f>
        <v/>
      </c>
      <c r="D23" s="28" t="str">
        <f>IF(기초자료입력!B48="","",IF(OR(기초자료입력!H48="",기초자료입력!I48="",기초자료입력!J48="",기초자료입력!K48="",기초자료입력!L48=""),"",기초자료입력!H48+기초자료입력!I48+기초자료입력!J48+기초자료입력!K48+기초자료입력!L48))</f>
        <v/>
      </c>
      <c r="E23" s="28" t="str">
        <f t="shared" si="0"/>
        <v/>
      </c>
      <c r="F23" s="28" t="str">
        <f t="shared" si="1"/>
        <v/>
      </c>
      <c r="G23" s="28" t="str">
        <f t="shared" si="2"/>
        <v/>
      </c>
    </row>
    <row r="24" spans="2:7" x14ac:dyDescent="0.4">
      <c r="B24" s="28" t="str">
        <f>IF(기초자료입력!B49&lt;&gt;"",기초자료입력!B49,"")</f>
        <v/>
      </c>
      <c r="C24" s="28" t="str">
        <f>IF(기초자료입력!B49="","",IF(OR(기초자료입력!C49="",기초자료입력!D49="",기초자료입력!E49="",기초자료입력!F49=""),"",기초자료입력!C49+기초자료입력!D49+기초자료입력!E49+기초자료입력!F49))</f>
        <v/>
      </c>
      <c r="D24" s="28" t="str">
        <f>IF(기초자료입력!B49="","",IF(OR(기초자료입력!H49="",기초자료입력!I49="",기초자료입력!J49="",기초자료입력!K49="",기초자료입력!L49=""),"",기초자료입력!H49+기초자료입력!I49+기초자료입력!J49+기초자료입력!K49+기초자료입력!L49))</f>
        <v/>
      </c>
      <c r="E24" s="28" t="str">
        <f t="shared" si="0"/>
        <v/>
      </c>
      <c r="F24" s="28" t="str">
        <f t="shared" si="1"/>
        <v/>
      </c>
      <c r="G24" s="28" t="str">
        <f t="shared" si="2"/>
        <v/>
      </c>
    </row>
    <row r="25" spans="2:7" x14ac:dyDescent="0.4">
      <c r="B25" s="28" t="str">
        <f>IF(기초자료입력!B50&lt;&gt;"",기초자료입력!B50,"")</f>
        <v/>
      </c>
      <c r="C25" s="28" t="str">
        <f>IF(기초자료입력!B50="","",IF(OR(기초자료입력!C50="",기초자료입력!D50="",기초자료입력!E50="",기초자료입력!F50=""),"",기초자료입력!C50+기초자료입력!D50+기초자료입력!E50+기초자료입력!F50))</f>
        <v/>
      </c>
      <c r="D25" s="28" t="str">
        <f>IF(기초자료입력!B50="","",IF(OR(기초자료입력!H50="",기초자료입력!I50="",기초자료입력!J50="",기초자료입력!K50="",기초자료입력!L50=""),"",기초자료입력!H50+기초자료입력!I50+기초자료입력!J50+기초자료입력!K50+기초자료입력!L50))</f>
        <v/>
      </c>
      <c r="E25" s="28" t="str">
        <f t="shared" si="0"/>
        <v/>
      </c>
      <c r="F25" s="28" t="str">
        <f t="shared" si="1"/>
        <v/>
      </c>
      <c r="G25" s="28" t="str">
        <f t="shared" si="2"/>
        <v/>
      </c>
    </row>
    <row r="26" spans="2:7" x14ac:dyDescent="0.4">
      <c r="B26" s="28" t="str">
        <f>IF(기초자료입력!B51&lt;&gt;"",기초자료입력!B51,"")</f>
        <v/>
      </c>
      <c r="C26" s="28" t="str">
        <f>IF(기초자료입력!B51="","",IF(OR(기초자료입력!C51="",기초자료입력!D51="",기초자료입력!E51="",기초자료입력!F51=""),"",기초자료입력!C51+기초자료입력!D51+기초자료입력!E51+기초자료입력!F51))</f>
        <v/>
      </c>
      <c r="D26" s="28" t="str">
        <f>IF(기초자료입력!B51="","",IF(OR(기초자료입력!H51="",기초자료입력!I51="",기초자료입력!J51="",기초자료입력!K51="",기초자료입력!L51=""),"",기초자료입력!H51+기초자료입력!I51+기초자료입력!J51+기초자료입력!K51+기초자료입력!L51))</f>
        <v/>
      </c>
      <c r="E26" s="28" t="str">
        <f t="shared" si="0"/>
        <v/>
      </c>
      <c r="F26" s="28" t="str">
        <f t="shared" si="1"/>
        <v/>
      </c>
      <c r="G26" s="28" t="str">
        <f t="shared" si="2"/>
        <v/>
      </c>
    </row>
    <row r="27" spans="2:7" x14ac:dyDescent="0.4">
      <c r="B27" s="28" t="str">
        <f>IF(기초자료입력!B52&lt;&gt;"",기초자료입력!B52,"")</f>
        <v/>
      </c>
      <c r="C27" s="28" t="str">
        <f>IF(기초자료입력!B52="","",IF(OR(기초자료입력!C52="",기초자료입력!D52="",기초자료입력!E52="",기초자료입력!F52=""),"",기초자료입력!C52+기초자료입력!D52+기초자료입력!E52+기초자료입력!F52))</f>
        <v/>
      </c>
      <c r="D27" s="28" t="str">
        <f>IF(기초자료입력!B52="","",IF(OR(기초자료입력!H52="",기초자료입력!I52="",기초자료입력!J52="",기초자료입력!K52="",기초자료입력!L52=""),"",기초자료입력!H52+기초자료입력!I52+기초자료입력!J52+기초자료입력!K52+기초자료입력!L52))</f>
        <v/>
      </c>
      <c r="E27" s="28" t="str">
        <f t="shared" si="0"/>
        <v/>
      </c>
      <c r="F27" s="28" t="str">
        <f t="shared" si="1"/>
        <v/>
      </c>
      <c r="G27" s="28" t="str">
        <f t="shared" si="2"/>
        <v/>
      </c>
    </row>
    <row r="28" spans="2:7" x14ac:dyDescent="0.4">
      <c r="B28" s="28" t="str">
        <f>IF(기초자료입력!B53&lt;&gt;"",기초자료입력!B53,"")</f>
        <v/>
      </c>
      <c r="C28" s="28" t="str">
        <f>IF(기초자료입력!B53="","",IF(OR(기초자료입력!C53="",기초자료입력!D53="",기초자료입력!E53="",기초자료입력!F53=""),"",기초자료입력!C53+기초자료입력!D53+기초자료입력!E53+기초자료입력!F53))</f>
        <v/>
      </c>
      <c r="D28" s="28" t="str">
        <f>IF(기초자료입력!B53="","",IF(OR(기초자료입력!H53="",기초자료입력!I53="",기초자료입력!J53="",기초자료입력!K53="",기초자료입력!L53=""),"",기초자료입력!H53+기초자료입력!I53+기초자료입력!J53+기초자료입력!K53+기초자료입력!L53))</f>
        <v/>
      </c>
      <c r="E28" s="28" t="str">
        <f t="shared" si="0"/>
        <v/>
      </c>
      <c r="F28" s="28" t="str">
        <f t="shared" si="1"/>
        <v/>
      </c>
      <c r="G28" s="28" t="str">
        <f t="shared" si="2"/>
        <v/>
      </c>
    </row>
    <row r="29" spans="2:7" x14ac:dyDescent="0.4">
      <c r="B29" s="76" t="s">
        <v>734</v>
      </c>
      <c r="C29" s="76"/>
      <c r="D29" s="76"/>
      <c r="E29" s="76"/>
      <c r="F29" s="76"/>
      <c r="G29" s="76"/>
    </row>
    <row r="30" spans="2:7" x14ac:dyDescent="0.4">
      <c r="B30" s="86" t="s">
        <v>735</v>
      </c>
      <c r="C30" s="86"/>
      <c r="D30" s="86"/>
      <c r="E30" s="86"/>
      <c r="F30" s="86"/>
      <c r="G30" s="86"/>
    </row>
    <row r="31" spans="2:7" x14ac:dyDescent="0.4">
      <c r="B31" s="86"/>
      <c r="C31" s="86"/>
      <c r="D31" s="86"/>
      <c r="E31" s="86"/>
      <c r="F31" s="86"/>
      <c r="G31" s="86"/>
    </row>
    <row r="32" spans="2:7" x14ac:dyDescent="0.4">
      <c r="B32" s="86"/>
      <c r="C32" s="86"/>
      <c r="D32" s="86"/>
      <c r="E32" s="86"/>
      <c r="F32" s="86"/>
      <c r="G32" s="86"/>
    </row>
    <row r="33" spans="2:7" x14ac:dyDescent="0.4">
      <c r="B33" s="86"/>
      <c r="C33" s="86"/>
      <c r="D33" s="86"/>
      <c r="E33" s="86"/>
      <c r="F33" s="86"/>
      <c r="G33" s="86"/>
    </row>
    <row r="34" spans="2:7" x14ac:dyDescent="0.4">
      <c r="B34" s="86"/>
      <c r="C34" s="86"/>
      <c r="D34" s="86"/>
      <c r="E34" s="86"/>
      <c r="F34" s="86"/>
      <c r="G34" s="86"/>
    </row>
    <row r="35" spans="2:7" x14ac:dyDescent="0.4">
      <c r="B35" s="37"/>
      <c r="C35" s="37"/>
      <c r="D35" s="37"/>
      <c r="E35" s="37"/>
      <c r="F35" s="37"/>
      <c r="G35" s="37"/>
    </row>
    <row r="36" spans="2:7" x14ac:dyDescent="0.4">
      <c r="B36" s="37"/>
      <c r="C36" s="37"/>
      <c r="D36" s="37"/>
      <c r="E36" s="37"/>
      <c r="F36" s="37"/>
      <c r="G36" s="37"/>
    </row>
    <row r="37" spans="2:7" x14ac:dyDescent="0.4">
      <c r="B37" s="37"/>
      <c r="C37" s="37"/>
      <c r="D37" s="37"/>
      <c r="E37" s="37"/>
      <c r="F37" s="52" t="s">
        <v>280</v>
      </c>
      <c r="G37" s="52" t="s">
        <v>281</v>
      </c>
    </row>
    <row r="38" spans="2:7" x14ac:dyDescent="0.4">
      <c r="B38" s="52" t="s">
        <v>292</v>
      </c>
      <c r="C38" s="76" t="str">
        <f>IF(기초자료입력!C9&lt;&gt;"",기초자료입력!C9,"")</f>
        <v/>
      </c>
      <c r="D38" s="76"/>
      <c r="E38" s="76"/>
      <c r="F38" s="52" t="s">
        <v>293</v>
      </c>
      <c r="G38" s="37"/>
    </row>
  </sheetData>
  <mergeCells count="13">
    <mergeCell ref="B13:H14"/>
    <mergeCell ref="B3:H4"/>
    <mergeCell ref="C7:H7"/>
    <mergeCell ref="C8:H8"/>
    <mergeCell ref="C9:H9"/>
    <mergeCell ref="B11:H11"/>
    <mergeCell ref="C38:E38"/>
    <mergeCell ref="B17:B18"/>
    <mergeCell ref="C17:E17"/>
    <mergeCell ref="F17:F18"/>
    <mergeCell ref="G17:G18"/>
    <mergeCell ref="B29:G29"/>
    <mergeCell ref="B30:G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A702D-AFAB-4E3D-94A8-89E8CAA23D32}">
  <sheetPr codeName="Sheet10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6.69921875" customWidth="1"/>
    <col min="4" max="8" width="10.69921875" customWidth="1"/>
  </cols>
  <sheetData>
    <row r="1" spans="1:8" x14ac:dyDescent="0.4">
      <c r="A1" s="20" t="s">
        <v>721</v>
      </c>
    </row>
    <row r="3" spans="1:8" x14ac:dyDescent="0.4">
      <c r="B3" s="87" t="str">
        <f>IF(기초자료입력!C4&lt;&gt;"",기초자료입력!C4,"○○학교")&amp;" 교복 구매 제안서 정량평가 결과"</f>
        <v>○○학교 교복 구매 제안서 정량평가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276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277</v>
      </c>
      <c r="C7" s="89" t="s">
        <v>497</v>
      </c>
      <c r="D7" s="89"/>
      <c r="E7" s="89"/>
      <c r="F7" s="89"/>
      <c r="G7" s="89"/>
      <c r="H7" s="89"/>
    </row>
    <row r="8" spans="1:8" x14ac:dyDescent="0.4">
      <c r="B8" s="53" t="s">
        <v>284</v>
      </c>
      <c r="C8" s="89"/>
      <c r="D8" s="89"/>
      <c r="E8" s="89"/>
      <c r="F8" s="89"/>
      <c r="G8" s="89"/>
      <c r="H8" s="89"/>
    </row>
    <row r="9" spans="1:8" x14ac:dyDescent="0.4">
      <c r="B9" s="53" t="s">
        <v>278</v>
      </c>
      <c r="C9" s="91" t="str">
        <f>IF(기초자료입력!C22&lt;&gt;"",기초자료입력!C22,IF(기초자료입력!C5&lt;&gt;"",기초자료입력!C5,"20○○")&amp;"학년도 교복 학교주관구매 제안서 정량평가 결과 보고")</f>
        <v>20○○학년도 교복 학교주관구매 제안서 정량평가 결과 보고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6" t="str">
        <f>"2. "&amp;IF(기초자료입력!C5&lt;&gt;"",기초자료입력!C5,"20○○")&amp;"학년도 "&amp;IF(기초자료입력!C12&lt;&gt;"",기초자료입력!C12,"교복 학교주관구매")&amp;" 2단계 입찰(규격가격동시) 공고와 관련하여 접수된 제안서에 대한 정량평가를 실시하고, 그 결과를 아래와 같이 보고합니다."</f>
        <v>2. 20○○학년도 교복 학교주관구매 2단계 입찰(규격가격동시) 공고와 관련하여 접수된 제안서에 대한 정량평가를 실시하고, 그 결과를 아래와 같이 보고합니다.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1" t="s">
        <v>722</v>
      </c>
      <c r="C16" s="76"/>
      <c r="D16" s="76"/>
      <c r="E16" s="76"/>
      <c r="F16" s="76"/>
      <c r="G16" s="76"/>
      <c r="H16" s="76"/>
    </row>
    <row r="17" spans="2:8" x14ac:dyDescent="0.4">
      <c r="B17" s="85" t="s">
        <v>507</v>
      </c>
      <c r="C17" s="85" t="s">
        <v>60</v>
      </c>
      <c r="D17" s="85" t="s">
        <v>316</v>
      </c>
      <c r="E17" s="85"/>
      <c r="F17" s="85"/>
      <c r="G17" s="85"/>
      <c r="H17" s="85"/>
    </row>
    <row r="18" spans="2:8" x14ac:dyDescent="0.4">
      <c r="B18" s="85"/>
      <c r="C18" s="85"/>
      <c r="D18" s="60" t="s">
        <v>723</v>
      </c>
      <c r="E18" s="60" t="s">
        <v>724</v>
      </c>
      <c r="F18" s="60" t="s">
        <v>725</v>
      </c>
      <c r="G18" s="60" t="s">
        <v>726</v>
      </c>
      <c r="H18" s="60" t="s">
        <v>282</v>
      </c>
    </row>
    <row r="19" spans="2:8" x14ac:dyDescent="0.4">
      <c r="B19" s="28" t="str">
        <f>IF(기초자료입력!B44&lt;&gt;"",1,"")</f>
        <v/>
      </c>
      <c r="C19" s="28" t="str">
        <f>IF(기초자료입력!B44&lt;&gt;"",기초자료입력!B44,"")</f>
        <v/>
      </c>
      <c r="D19" s="28" t="str">
        <f>IF(OR(기초자료입력!B44="",기초자료입력!C44=""),"",기초자료입력!C44)</f>
        <v/>
      </c>
      <c r="E19" s="28" t="str">
        <f>IF(OR(기초자료입력!B44="",기초자료입력!D44=""),"",기초자료입력!D44)</f>
        <v/>
      </c>
      <c r="F19" s="28" t="str">
        <f>IF(OR(기초자료입력!B44="",기초자료입력!E44=""),"",기초자료입력!E44)</f>
        <v/>
      </c>
      <c r="G19" s="28" t="str">
        <f>IF(OR(기초자료입력!B44="",기초자료입력!F44=""),"",기초자료입력!F44)</f>
        <v/>
      </c>
      <c r="H19" s="28" t="str">
        <f>IF(기초자료입력!B44="","",IF(OR(D19="",E19="",F19="",G19=""),"",D19+E19+F19+G19))</f>
        <v/>
      </c>
    </row>
    <row r="20" spans="2:8" x14ac:dyDescent="0.4">
      <c r="B20" s="28" t="str">
        <f>IF(기초자료입력!B45&lt;&gt;"",2,"")</f>
        <v/>
      </c>
      <c r="C20" s="28" t="str">
        <f>IF(기초자료입력!B45&lt;&gt;"",기초자료입력!B45,"")</f>
        <v/>
      </c>
      <c r="D20" s="28" t="str">
        <f>IF(OR(기초자료입력!B45="",기초자료입력!C45=""),"",기초자료입력!C45)</f>
        <v/>
      </c>
      <c r="E20" s="28" t="str">
        <f>IF(OR(기초자료입력!B45="",기초자료입력!D45=""),"",기초자료입력!D45)</f>
        <v/>
      </c>
      <c r="F20" s="28" t="str">
        <f>IF(OR(기초자료입력!B45="",기초자료입력!E45=""),"",기초자료입력!E45)</f>
        <v/>
      </c>
      <c r="G20" s="28" t="str">
        <f>IF(OR(기초자료입력!B45="",기초자료입력!F45=""),"",기초자료입력!F45)</f>
        <v/>
      </c>
      <c r="H20" s="28" t="str">
        <f>IF(기초자료입력!B45="","",IF(OR(D20="",E20="",F20="",G20=""),"",D20+E20+F20+G20))</f>
        <v/>
      </c>
    </row>
    <row r="21" spans="2:8" x14ac:dyDescent="0.4">
      <c r="B21" s="28" t="str">
        <f>IF(기초자료입력!B46&lt;&gt;"",3,"")</f>
        <v/>
      </c>
      <c r="C21" s="28" t="str">
        <f>IF(기초자료입력!B46&lt;&gt;"",기초자료입력!B46,"")</f>
        <v/>
      </c>
      <c r="D21" s="28" t="str">
        <f>IF(OR(기초자료입력!B46="",기초자료입력!C46=""),"",기초자료입력!C46)</f>
        <v/>
      </c>
      <c r="E21" s="28" t="str">
        <f>IF(OR(기초자료입력!B46="",기초자료입력!D46=""),"",기초자료입력!D46)</f>
        <v/>
      </c>
      <c r="F21" s="28" t="str">
        <f>IF(OR(기초자료입력!B46="",기초자료입력!E46=""),"",기초자료입력!E46)</f>
        <v/>
      </c>
      <c r="G21" s="28" t="str">
        <f>IF(OR(기초자료입력!B46="",기초자료입력!F46=""),"",기초자료입력!F46)</f>
        <v/>
      </c>
      <c r="H21" s="28" t="str">
        <f>IF(기초자료입력!B46="","",IF(OR(D21="",E21="",F21="",G21=""),"",D21+E21+F21+G21))</f>
        <v/>
      </c>
    </row>
    <row r="22" spans="2:8" x14ac:dyDescent="0.4">
      <c r="B22" s="28" t="str">
        <f>IF(기초자료입력!B47&lt;&gt;"",4,"")</f>
        <v/>
      </c>
      <c r="C22" s="28" t="str">
        <f>IF(기초자료입력!B47&lt;&gt;"",기초자료입력!B47,"")</f>
        <v/>
      </c>
      <c r="D22" s="28" t="str">
        <f>IF(OR(기초자료입력!B47="",기초자료입력!C47=""),"",기초자료입력!C47)</f>
        <v/>
      </c>
      <c r="E22" s="28" t="str">
        <f>IF(OR(기초자료입력!B47="",기초자료입력!D47=""),"",기초자료입력!D47)</f>
        <v/>
      </c>
      <c r="F22" s="28" t="str">
        <f>IF(OR(기초자료입력!B47="",기초자료입력!E47=""),"",기초자료입력!E47)</f>
        <v/>
      </c>
      <c r="G22" s="28" t="str">
        <f>IF(OR(기초자료입력!B47="",기초자료입력!F47=""),"",기초자료입력!F47)</f>
        <v/>
      </c>
      <c r="H22" s="28" t="str">
        <f>IF(기초자료입력!B47="","",IF(OR(D22="",E22="",F22="",G22=""),"",D22+E22+F22+G22))</f>
        <v/>
      </c>
    </row>
    <row r="23" spans="2:8" x14ac:dyDescent="0.4">
      <c r="B23" s="28" t="str">
        <f>IF(기초자료입력!B48&lt;&gt;"",5,"")</f>
        <v/>
      </c>
      <c r="C23" s="28" t="str">
        <f>IF(기초자료입력!B48&lt;&gt;"",기초자료입력!B48,"")</f>
        <v/>
      </c>
      <c r="D23" s="28" t="str">
        <f>IF(OR(기초자료입력!B48="",기초자료입력!C48=""),"",기초자료입력!C48)</f>
        <v/>
      </c>
      <c r="E23" s="28" t="str">
        <f>IF(OR(기초자료입력!B48="",기초자료입력!D48=""),"",기초자료입력!D48)</f>
        <v/>
      </c>
      <c r="F23" s="28" t="str">
        <f>IF(OR(기초자료입력!B48="",기초자료입력!E48=""),"",기초자료입력!E48)</f>
        <v/>
      </c>
      <c r="G23" s="28" t="str">
        <f>IF(OR(기초자료입력!B48="",기초자료입력!F48=""),"",기초자료입력!F48)</f>
        <v/>
      </c>
      <c r="H23" s="28" t="str">
        <f>IF(기초자료입력!B48="","",IF(OR(D23="",E23="",F23="",G23=""),"",D23+E23+F23+G23))</f>
        <v/>
      </c>
    </row>
    <row r="24" spans="2:8" x14ac:dyDescent="0.4">
      <c r="B24" s="28" t="str">
        <f>IF(기초자료입력!B49&lt;&gt;"",6,"")</f>
        <v/>
      </c>
      <c r="C24" s="28" t="str">
        <f>IF(기초자료입력!B49&lt;&gt;"",기초자료입력!B49,"")</f>
        <v/>
      </c>
      <c r="D24" s="28" t="str">
        <f>IF(OR(기초자료입력!B49="",기초자료입력!C49=""),"",기초자료입력!C49)</f>
        <v/>
      </c>
      <c r="E24" s="28" t="str">
        <f>IF(OR(기초자료입력!B49="",기초자료입력!D49=""),"",기초자료입력!D49)</f>
        <v/>
      </c>
      <c r="F24" s="28" t="str">
        <f>IF(OR(기초자료입력!B49="",기초자료입력!E49=""),"",기초자료입력!E49)</f>
        <v/>
      </c>
      <c r="G24" s="28" t="str">
        <f>IF(OR(기초자료입력!B49="",기초자료입력!F49=""),"",기초자료입력!F49)</f>
        <v/>
      </c>
      <c r="H24" s="28" t="str">
        <f>IF(기초자료입력!B49="","",IF(OR(D24="",E24="",F24="",G24=""),"",D24+E24+F24+G24))</f>
        <v/>
      </c>
    </row>
    <row r="25" spans="2:8" x14ac:dyDescent="0.4">
      <c r="B25" s="28" t="str">
        <f>IF(기초자료입력!B50&lt;&gt;"",7,"")</f>
        <v/>
      </c>
      <c r="C25" s="28" t="str">
        <f>IF(기초자료입력!B50&lt;&gt;"",기초자료입력!B50,"")</f>
        <v/>
      </c>
      <c r="D25" s="28" t="str">
        <f>IF(OR(기초자료입력!B50="",기초자료입력!C50=""),"",기초자료입력!C50)</f>
        <v/>
      </c>
      <c r="E25" s="28" t="str">
        <f>IF(OR(기초자료입력!B50="",기초자료입력!D50=""),"",기초자료입력!D50)</f>
        <v/>
      </c>
      <c r="F25" s="28" t="str">
        <f>IF(OR(기초자료입력!B50="",기초자료입력!E50=""),"",기초자료입력!E50)</f>
        <v/>
      </c>
      <c r="G25" s="28" t="str">
        <f>IF(OR(기초자료입력!B50="",기초자료입력!F50=""),"",기초자료입력!F50)</f>
        <v/>
      </c>
      <c r="H25" s="28" t="str">
        <f>IF(기초자료입력!B50="","",IF(OR(D25="",E25="",F25="",G25=""),"",D25+E25+F25+G25))</f>
        <v/>
      </c>
    </row>
    <row r="26" spans="2:8" x14ac:dyDescent="0.4">
      <c r="B26" s="28" t="str">
        <f>IF(기초자료입력!B51&lt;&gt;"",8,"")</f>
        <v/>
      </c>
      <c r="C26" s="28" t="str">
        <f>IF(기초자료입력!B51&lt;&gt;"",기초자료입력!B51,"")</f>
        <v/>
      </c>
      <c r="D26" s="28" t="str">
        <f>IF(OR(기초자료입력!B51="",기초자료입력!C51=""),"",기초자료입력!C51)</f>
        <v/>
      </c>
      <c r="E26" s="28" t="str">
        <f>IF(OR(기초자료입력!B51="",기초자료입력!D51=""),"",기초자료입력!D51)</f>
        <v/>
      </c>
      <c r="F26" s="28" t="str">
        <f>IF(OR(기초자료입력!B51="",기초자료입력!E51=""),"",기초자료입력!E51)</f>
        <v/>
      </c>
      <c r="G26" s="28" t="str">
        <f>IF(OR(기초자료입력!B51="",기초자료입력!F51=""),"",기초자료입력!F51)</f>
        <v/>
      </c>
      <c r="H26" s="28" t="str">
        <f>IF(기초자료입력!B51="","",IF(OR(D26="",E26="",F26="",G26=""),"",D26+E26+F26+G26))</f>
        <v/>
      </c>
    </row>
    <row r="27" spans="2:8" x14ac:dyDescent="0.4">
      <c r="B27" s="28" t="str">
        <f>IF(기초자료입력!B52&lt;&gt;"",9,"")</f>
        <v/>
      </c>
      <c r="C27" s="28" t="str">
        <f>IF(기초자료입력!B52&lt;&gt;"",기초자료입력!B52,"")</f>
        <v/>
      </c>
      <c r="D27" s="28" t="str">
        <f>IF(OR(기초자료입력!B52="",기초자료입력!C52=""),"",기초자료입력!C52)</f>
        <v/>
      </c>
      <c r="E27" s="28" t="str">
        <f>IF(OR(기초자료입력!B52="",기초자료입력!D52=""),"",기초자료입력!D52)</f>
        <v/>
      </c>
      <c r="F27" s="28" t="str">
        <f>IF(OR(기초자료입력!B52="",기초자료입력!E52=""),"",기초자료입력!E52)</f>
        <v/>
      </c>
      <c r="G27" s="28" t="str">
        <f>IF(OR(기초자료입력!B52="",기초자료입력!F52=""),"",기초자료입력!F52)</f>
        <v/>
      </c>
      <c r="H27" s="28" t="str">
        <f>IF(기초자료입력!B52="","",IF(OR(D27="",E27="",F27="",G27=""),"",D27+E27+F27+G27))</f>
        <v/>
      </c>
    </row>
    <row r="28" spans="2:8" x14ac:dyDescent="0.4">
      <c r="B28" s="28" t="str">
        <f>IF(기초자료입력!B53&lt;&gt;"",10,"")</f>
        <v/>
      </c>
      <c r="C28" s="28" t="str">
        <f>IF(기초자료입력!B53&lt;&gt;"",기초자료입력!B53,"")</f>
        <v/>
      </c>
      <c r="D28" s="28" t="str">
        <f>IF(OR(기초자료입력!B53="",기초자료입력!C53=""),"",기초자료입력!C53)</f>
        <v/>
      </c>
      <c r="E28" s="28" t="str">
        <f>IF(OR(기초자료입력!B53="",기초자료입력!D53=""),"",기초자료입력!D53)</f>
        <v/>
      </c>
      <c r="F28" s="28" t="str">
        <f>IF(OR(기초자료입력!B53="",기초자료입력!E53=""),"",기초자료입력!E53)</f>
        <v/>
      </c>
      <c r="G28" s="28" t="str">
        <f>IF(OR(기초자료입력!B53="",기초자료입력!F53=""),"",기초자료입력!F53)</f>
        <v/>
      </c>
      <c r="H28" s="28" t="str">
        <f>IF(기초자료입력!B53="","",IF(OR(D28="",E28="",F28="",G28=""),"",D28+E28+F28+G28))</f>
        <v/>
      </c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86" t="s">
        <v>727</v>
      </c>
      <c r="C30" s="86"/>
      <c r="D30" s="86"/>
      <c r="E30" s="86"/>
      <c r="F30" s="86"/>
      <c r="G30" s="86"/>
      <c r="H30" s="86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280</v>
      </c>
      <c r="G33" s="53" t="s">
        <v>291</v>
      </c>
      <c r="H33" s="53" t="s">
        <v>281</v>
      </c>
    </row>
    <row r="34" spans="2:8" x14ac:dyDescent="0.4">
      <c r="B34" s="52" t="s">
        <v>292</v>
      </c>
      <c r="C34" s="76" t="str">
        <f>IF(기초자료입력!C9&lt;&gt;"",기초자료입력!C9,"")</f>
        <v/>
      </c>
      <c r="D34" s="76"/>
      <c r="E34" s="76"/>
      <c r="F34" s="53" t="s">
        <v>293</v>
      </c>
      <c r="G34" s="89"/>
      <c r="H34" s="89"/>
    </row>
    <row r="35" spans="2:8" x14ac:dyDescent="0.4">
      <c r="B35" s="52" t="s">
        <v>294</v>
      </c>
      <c r="C35" s="37"/>
      <c r="D35" s="52" t="s">
        <v>295</v>
      </c>
      <c r="E35" s="76"/>
      <c r="F35" s="89"/>
      <c r="G35" s="89"/>
      <c r="H35" s="89"/>
    </row>
    <row r="36" spans="2:8" x14ac:dyDescent="0.4">
      <c r="B36" s="52" t="s">
        <v>296</v>
      </c>
      <c r="C36" s="37"/>
      <c r="D36" s="52" t="s">
        <v>297</v>
      </c>
      <c r="E36" s="37"/>
      <c r="F36" s="53" t="s">
        <v>298</v>
      </c>
      <c r="G36" s="89"/>
      <c r="H36" s="89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B17:B18"/>
    <mergeCell ref="C17:C18"/>
    <mergeCell ref="D17:H17"/>
    <mergeCell ref="B30:H30"/>
    <mergeCell ref="C34:E34"/>
    <mergeCell ref="G34:H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DB09B-CF23-4C96-A7EA-4579F90D4D46}">
  <sheetPr codeName="Sheet11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4.69921875" customWidth="1"/>
    <col min="4" max="4" width="16.69921875" customWidth="1"/>
    <col min="5" max="5" width="12.69921875" customWidth="1"/>
    <col min="6" max="8" width="8.69921875" customWidth="1"/>
  </cols>
  <sheetData>
    <row r="1" spans="1:8" x14ac:dyDescent="0.4">
      <c r="A1" s="20" t="s">
        <v>716</v>
      </c>
    </row>
    <row r="3" spans="1:8" x14ac:dyDescent="0.4">
      <c r="B3" s="87" t="str">
        <f>IF(기초자료입력!C4&lt;&gt;"",기초자료입력!C4,"○○학교")&amp;" 교복 제안서 평가위원회 개최"</f>
        <v>○○학교 교복 제안서 평가위원회 개최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276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277</v>
      </c>
      <c r="C7" s="89" t="s">
        <v>497</v>
      </c>
      <c r="D7" s="89"/>
      <c r="E7" s="89"/>
      <c r="F7" s="89"/>
      <c r="G7" s="89"/>
      <c r="H7" s="89"/>
    </row>
    <row r="8" spans="1:8" x14ac:dyDescent="0.4">
      <c r="B8" s="53" t="s">
        <v>284</v>
      </c>
      <c r="C8" s="89"/>
      <c r="D8" s="89"/>
      <c r="E8" s="89"/>
      <c r="F8" s="89"/>
      <c r="G8" s="89"/>
      <c r="H8" s="89"/>
    </row>
    <row r="9" spans="1:8" x14ac:dyDescent="0.4">
      <c r="B9" s="53" t="s">
        <v>278</v>
      </c>
      <c r="C9" s="91" t="str">
        <f>IF(기초자료입력!C22&lt;&gt;"",기초자료입력!C22,IF(기초자료입력!C5&lt;&gt;"",기초자료입력!C5,"20○○")&amp;"학년도 교복 학교주관구매 제안서 평가위원회 개최")</f>
        <v>20○○학년도 교복 학교주관구매 제안서 평가위원회 개최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28.05" customHeight="1" x14ac:dyDescent="0.4">
      <c r="B13" s="86" t="str">
        <f>"2. "&amp;IF(기초자료입력!C5&lt;&gt;"",기초자료입력!C5,"20○○")&amp;"학년도 교복 학교주관구매 제안서 평가위원회를 아래와 같이 개최하고자 합니다."</f>
        <v>2. 20○○학년도 교복 학교주관구매 제안서 평가위원회를 아래와 같이 개최하고자 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52" t="s">
        <v>717</v>
      </c>
      <c r="C16" s="92"/>
      <c r="D16" s="76"/>
      <c r="E16" s="76"/>
      <c r="F16" s="76"/>
      <c r="G16" s="76"/>
      <c r="H16" s="76"/>
    </row>
    <row r="17" spans="2:8" x14ac:dyDescent="0.4">
      <c r="B17" s="52" t="s">
        <v>718</v>
      </c>
      <c r="C17" s="92"/>
      <c r="D17" s="76"/>
      <c r="E17" s="76"/>
      <c r="F17" s="76"/>
      <c r="G17" s="76"/>
      <c r="H17" s="76"/>
    </row>
    <row r="18" spans="2:8" x14ac:dyDescent="0.4">
      <c r="B18" s="52" t="s">
        <v>719</v>
      </c>
      <c r="C18" s="76" t="str">
        <f>IF(COUNTA(기초자료입력!B58:B67)&gt;0,"평가위원 "&amp;COUNTA(기초자료입력!B58:B67)&amp;"명","")</f>
        <v/>
      </c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60" t="s">
        <v>507</v>
      </c>
      <c r="C20" s="60" t="s">
        <v>314</v>
      </c>
      <c r="D20" s="60" t="s">
        <v>509</v>
      </c>
      <c r="E20" s="60" t="s">
        <v>303</v>
      </c>
      <c r="F20" s="37"/>
      <c r="G20" s="37"/>
      <c r="H20" s="37"/>
    </row>
    <row r="21" spans="2:8" x14ac:dyDescent="0.4">
      <c r="B21" s="28" t="str">
        <f>IF(기초자료입력!B58&lt;&gt;"",1,"")</f>
        <v/>
      </c>
      <c r="C21" s="28" t="str">
        <f>IF(기초자료입력!B58&lt;&gt;"","위원장","")</f>
        <v/>
      </c>
      <c r="D21" s="28" t="str">
        <f>IF(기초자료입력!C58&lt;&gt;"",기초자료입력!C58,"")</f>
        <v/>
      </c>
      <c r="E21" s="28"/>
      <c r="F21" s="37"/>
      <c r="G21" s="37"/>
      <c r="H21" s="37"/>
    </row>
    <row r="22" spans="2:8" x14ac:dyDescent="0.4">
      <c r="B22" s="28" t="str">
        <f>IF(기초자료입력!B59&lt;&gt;"",2,"")</f>
        <v/>
      </c>
      <c r="C22" s="28" t="str">
        <f>IF(기초자료입력!B59&lt;&gt;"","부위원장","")</f>
        <v/>
      </c>
      <c r="D22" s="28" t="str">
        <f>IF(기초자료입력!C59&lt;&gt;"",기초자료입력!C59,"")</f>
        <v/>
      </c>
      <c r="E22" s="28"/>
      <c r="F22" s="37"/>
      <c r="G22" s="37"/>
      <c r="H22" s="37"/>
    </row>
    <row r="23" spans="2:8" x14ac:dyDescent="0.4">
      <c r="B23" s="28" t="str">
        <f>IF(기초자료입력!B60&lt;&gt;"",3,"")</f>
        <v/>
      </c>
      <c r="C23" s="28" t="str">
        <f>IF(기초자료입력!B60&lt;&gt;"","위원","")</f>
        <v/>
      </c>
      <c r="D23" s="28" t="str">
        <f>IF(기초자료입력!C60&lt;&gt;"",기초자료입력!C60,"")</f>
        <v/>
      </c>
      <c r="E23" s="28"/>
      <c r="F23" s="37"/>
      <c r="G23" s="37"/>
      <c r="H23" s="37"/>
    </row>
    <row r="24" spans="2:8" x14ac:dyDescent="0.4">
      <c r="B24" s="28" t="str">
        <f>IF(기초자료입력!B61&lt;&gt;"",4,"")</f>
        <v/>
      </c>
      <c r="C24" s="28" t="str">
        <f>IF(기초자료입력!B61&lt;&gt;"","위원","")</f>
        <v/>
      </c>
      <c r="D24" s="28" t="str">
        <f>IF(기초자료입력!C61&lt;&gt;"",기초자료입력!C61,"")</f>
        <v/>
      </c>
      <c r="E24" s="28"/>
      <c r="F24" s="37"/>
      <c r="G24" s="37"/>
      <c r="H24" s="37"/>
    </row>
    <row r="25" spans="2:8" x14ac:dyDescent="0.4">
      <c r="B25" s="28" t="str">
        <f>IF(기초자료입력!B62&lt;&gt;"",5,"")</f>
        <v/>
      </c>
      <c r="C25" s="28" t="str">
        <f>IF(기초자료입력!B62&lt;&gt;"","위원","")</f>
        <v/>
      </c>
      <c r="D25" s="28" t="str">
        <f>IF(기초자료입력!C62&lt;&gt;"",기초자료입력!C62,"")</f>
        <v/>
      </c>
      <c r="E25" s="28"/>
      <c r="F25" s="37"/>
      <c r="G25" s="37"/>
      <c r="H25" s="37"/>
    </row>
    <row r="26" spans="2:8" x14ac:dyDescent="0.4">
      <c r="B26" s="28" t="str">
        <f>IF(기초자료입력!B63&lt;&gt;"",6,"")</f>
        <v/>
      </c>
      <c r="C26" s="28" t="str">
        <f>IF(기초자료입력!B63&lt;&gt;"","위원","")</f>
        <v/>
      </c>
      <c r="D26" s="28" t="str">
        <f>IF(기초자료입력!C63&lt;&gt;"",기초자료입력!C63,"")</f>
        <v/>
      </c>
      <c r="E26" s="28"/>
      <c r="F26" s="37"/>
      <c r="G26" s="37"/>
      <c r="H26" s="37"/>
    </row>
    <row r="27" spans="2:8" x14ac:dyDescent="0.4">
      <c r="B27" s="28" t="str">
        <f>IF(기초자료입력!B64&lt;&gt;"",7,"")</f>
        <v/>
      </c>
      <c r="C27" s="28" t="str">
        <f>IF(기초자료입력!B64&lt;&gt;"","위원","")</f>
        <v/>
      </c>
      <c r="D27" s="28" t="str">
        <f>IF(기초자료입력!C64&lt;&gt;"",기초자료입력!C64,"")</f>
        <v/>
      </c>
      <c r="E27" s="28"/>
      <c r="F27" s="37"/>
      <c r="G27" s="37"/>
      <c r="H27" s="37"/>
    </row>
    <row r="28" spans="2:8" x14ac:dyDescent="0.4">
      <c r="B28" s="28" t="str">
        <f>IF(기초자료입력!B65&lt;&gt;"",8,"")</f>
        <v/>
      </c>
      <c r="C28" s="28" t="str">
        <f>IF(기초자료입력!B65&lt;&gt;"","위원","")</f>
        <v/>
      </c>
      <c r="D28" s="28" t="str">
        <f>IF(기초자료입력!C65&lt;&gt;"",기초자료입력!C65,"")</f>
        <v/>
      </c>
      <c r="E28" s="28"/>
      <c r="F28" s="37"/>
      <c r="G28" s="37"/>
      <c r="H28" s="37"/>
    </row>
    <row r="29" spans="2:8" x14ac:dyDescent="0.4">
      <c r="B29" s="28" t="str">
        <f>IF(기초자료입력!B66&lt;&gt;"",9,"")</f>
        <v/>
      </c>
      <c r="C29" s="28" t="str">
        <f>IF(기초자료입력!B66&lt;&gt;"","위원","")</f>
        <v/>
      </c>
      <c r="D29" s="28" t="str">
        <f>IF(기초자료입력!C66&lt;&gt;"",기초자료입력!C66,"")</f>
        <v/>
      </c>
      <c r="E29" s="28"/>
      <c r="F29" s="37"/>
      <c r="G29" s="37"/>
      <c r="H29" s="37"/>
    </row>
    <row r="30" spans="2:8" x14ac:dyDescent="0.4">
      <c r="B30" s="28" t="str">
        <f>IF(기초자료입력!B67&lt;&gt;"",10,"")</f>
        <v/>
      </c>
      <c r="C30" s="28" t="str">
        <f>IF(기초자료입력!B67&lt;&gt;"","위원","")</f>
        <v/>
      </c>
      <c r="D30" s="28" t="str">
        <f>IF(기초자료입력!C67&lt;&gt;"",기초자료입력!C67,"")</f>
        <v/>
      </c>
      <c r="E30" s="28"/>
      <c r="F30" s="37"/>
      <c r="G30" s="37"/>
      <c r="H30" s="37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76" t="s">
        <v>720</v>
      </c>
      <c r="C32" s="76"/>
      <c r="D32" s="76"/>
      <c r="E32" s="76"/>
      <c r="F32" s="76"/>
      <c r="G32" s="76"/>
      <c r="H32" s="76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37"/>
      <c r="G34" s="37"/>
      <c r="H34" s="37"/>
    </row>
    <row r="35" spans="2:8" x14ac:dyDescent="0.4">
      <c r="B35" s="37"/>
      <c r="C35" s="37"/>
      <c r="D35" s="37"/>
      <c r="E35" s="37"/>
      <c r="F35" s="53" t="s">
        <v>280</v>
      </c>
      <c r="G35" s="53" t="s">
        <v>291</v>
      </c>
      <c r="H35" s="53" t="s">
        <v>281</v>
      </c>
    </row>
    <row r="36" spans="2:8" x14ac:dyDescent="0.4">
      <c r="B36" s="52" t="s">
        <v>292</v>
      </c>
      <c r="C36" s="76" t="str">
        <f>IF(기초자료입력!C9&lt;&gt;"",기초자료입력!C9,"")</f>
        <v/>
      </c>
      <c r="D36" s="76"/>
      <c r="E36" s="76"/>
      <c r="F36" s="53" t="s">
        <v>293</v>
      </c>
      <c r="G36" s="89"/>
      <c r="H36" s="89"/>
    </row>
    <row r="37" spans="2:8" x14ac:dyDescent="0.4">
      <c r="B37" s="52" t="s">
        <v>294</v>
      </c>
      <c r="C37" s="37"/>
      <c r="D37" s="52" t="s">
        <v>295</v>
      </c>
      <c r="E37" s="76"/>
      <c r="F37" s="89"/>
      <c r="G37" s="89"/>
      <c r="H37" s="89"/>
    </row>
    <row r="38" spans="2:8" x14ac:dyDescent="0.4">
      <c r="B38" s="52" t="s">
        <v>296</v>
      </c>
      <c r="C38" s="37"/>
      <c r="D38" s="52" t="s">
        <v>297</v>
      </c>
      <c r="E38" s="37"/>
      <c r="F38" s="53" t="s">
        <v>298</v>
      </c>
      <c r="G38" s="89"/>
      <c r="H38" s="89"/>
    </row>
  </sheetData>
  <mergeCells count="14">
    <mergeCell ref="B13:H14"/>
    <mergeCell ref="B3:H4"/>
    <mergeCell ref="C7:H7"/>
    <mergeCell ref="C8:H8"/>
    <mergeCell ref="C9:H9"/>
    <mergeCell ref="B11:H11"/>
    <mergeCell ref="E37:H37"/>
    <mergeCell ref="G38:H38"/>
    <mergeCell ref="C16:H16"/>
    <mergeCell ref="C17:H17"/>
    <mergeCell ref="C18:H18"/>
    <mergeCell ref="B32:H32"/>
    <mergeCell ref="C36:E36"/>
    <mergeCell ref="G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EB4AD-A92F-4585-BD95-D388CFDE52C0}">
  <sheetPr codeName="Sheet12"/>
  <dimension ref="A1:Q21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6.69921875" customWidth="1"/>
    <col min="5" max="12" width="8.69921875" customWidth="1"/>
  </cols>
  <sheetData>
    <row r="1" spans="1:17" x14ac:dyDescent="0.4">
      <c r="A1" s="20" t="s">
        <v>703</v>
      </c>
    </row>
    <row r="3" spans="1:17" x14ac:dyDescent="0.4">
      <c r="B3" s="77" t="str">
        <f>IF(기초자료입력!C5&lt;&gt;"",기초자료입력!C5,"20○○")&amp;"학년도 교복 학교주관구매 제안서 접수대장"</f>
        <v>20○○학년도 교복 학교주관구매 제안서 접수대장</v>
      </c>
      <c r="C3" s="78"/>
      <c r="D3" s="78"/>
      <c r="E3" s="78"/>
      <c r="F3" s="78"/>
      <c r="G3" s="78"/>
      <c r="H3" s="78"/>
      <c r="I3" s="78"/>
      <c r="J3" s="78"/>
      <c r="K3" s="78"/>
      <c r="L3" s="78"/>
    </row>
    <row r="4" spans="1:17" x14ac:dyDescent="0.4">
      <c r="B4" s="78" t="str">
        <f>IF(기초자료입력!C4&lt;&gt;"",기초자료입력!C4,"○○학교")</f>
        <v>○○학교</v>
      </c>
      <c r="C4" s="78"/>
      <c r="D4" s="78"/>
      <c r="E4" s="78"/>
      <c r="F4" s="78"/>
      <c r="G4" s="78"/>
      <c r="H4" s="78"/>
      <c r="I4" s="78"/>
      <c r="J4" s="78"/>
      <c r="K4" s="78"/>
      <c r="L4" s="78"/>
    </row>
    <row r="5" spans="1:17" x14ac:dyDescent="0.4"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</row>
    <row r="6" spans="1:17" ht="30" customHeight="1" x14ac:dyDescent="0.4">
      <c r="B6" s="82" t="s">
        <v>704</v>
      </c>
      <c r="C6" s="82" t="s">
        <v>705</v>
      </c>
      <c r="D6" s="82" t="s">
        <v>706</v>
      </c>
      <c r="E6" s="82"/>
      <c r="F6" s="82"/>
      <c r="G6" s="82" t="s">
        <v>707</v>
      </c>
      <c r="H6" s="82"/>
      <c r="I6" s="82"/>
      <c r="J6" s="82" t="s">
        <v>708</v>
      </c>
      <c r="K6" s="82"/>
      <c r="L6" s="82" t="s">
        <v>303</v>
      </c>
    </row>
    <row r="7" spans="1:17" ht="30" customHeight="1" x14ac:dyDescent="0.4">
      <c r="B7" s="82"/>
      <c r="C7" s="82"/>
      <c r="D7" s="63" t="s">
        <v>60</v>
      </c>
      <c r="E7" s="63" t="s">
        <v>369</v>
      </c>
      <c r="F7" s="63" t="s">
        <v>296</v>
      </c>
      <c r="G7" s="63" t="s">
        <v>709</v>
      </c>
      <c r="H7" s="63" t="s">
        <v>710</v>
      </c>
      <c r="I7" s="63" t="s">
        <v>607</v>
      </c>
      <c r="J7" s="63" t="s">
        <v>711</v>
      </c>
      <c r="K7" s="63" t="s">
        <v>709</v>
      </c>
      <c r="L7" s="82"/>
      <c r="M7" t="s">
        <v>296</v>
      </c>
      <c r="N7" s="27" t="s">
        <v>709</v>
      </c>
      <c r="O7" t="s">
        <v>710</v>
      </c>
      <c r="P7" t="s">
        <v>712</v>
      </c>
      <c r="Q7" t="s">
        <v>713</v>
      </c>
    </row>
    <row r="8" spans="1:17" x14ac:dyDescent="0.4">
      <c r="B8" s="64"/>
      <c r="C8" s="65" t="str">
        <f>IF(기초자료입력!B44&lt;&gt;"",1,"")</f>
        <v/>
      </c>
      <c r="D8" s="65" t="str">
        <f>IF(기초자료입력!B44&lt;&gt;"",기초자료입력!B44,"")</f>
        <v/>
      </c>
      <c r="E8" s="64"/>
      <c r="F8" s="64"/>
      <c r="G8" s="64"/>
      <c r="H8" s="64"/>
      <c r="I8" s="64"/>
      <c r="J8" s="64"/>
      <c r="K8" s="64"/>
      <c r="L8" s="64"/>
    </row>
    <row r="9" spans="1:17" x14ac:dyDescent="0.4">
      <c r="B9" s="64"/>
      <c r="C9" s="65" t="str">
        <f>IF(기초자료입력!B45&lt;&gt;"",2,"")</f>
        <v/>
      </c>
      <c r="D9" s="65" t="str">
        <f>IF(기초자료입력!B45&lt;&gt;"",기초자료입력!B45,"")</f>
        <v/>
      </c>
      <c r="E9" s="64"/>
      <c r="F9" s="64"/>
      <c r="G9" s="64"/>
      <c r="H9" s="64"/>
      <c r="I9" s="64"/>
      <c r="J9" s="64"/>
      <c r="K9" s="64"/>
      <c r="L9" s="64"/>
    </row>
    <row r="10" spans="1:17" x14ac:dyDescent="0.4">
      <c r="B10" s="64"/>
      <c r="C10" s="65" t="str">
        <f>IF(기초자료입력!B46&lt;&gt;"",3,"")</f>
        <v/>
      </c>
      <c r="D10" s="65" t="str">
        <f>IF(기초자료입력!B46&lt;&gt;"",기초자료입력!B46,"")</f>
        <v/>
      </c>
      <c r="E10" s="64"/>
      <c r="F10" s="64"/>
      <c r="G10" s="64"/>
      <c r="H10" s="64"/>
      <c r="I10" s="64"/>
      <c r="J10" s="64"/>
      <c r="K10" s="64"/>
      <c r="L10" s="64"/>
    </row>
    <row r="11" spans="1:17" x14ac:dyDescent="0.4">
      <c r="B11" s="64"/>
      <c r="C11" s="65" t="str">
        <f>IF(기초자료입력!B47&lt;&gt;"",4,"")</f>
        <v/>
      </c>
      <c r="D11" s="65" t="str">
        <f>IF(기초자료입력!B47&lt;&gt;"",기초자료입력!B47,"")</f>
        <v/>
      </c>
      <c r="E11" s="64"/>
      <c r="F11" s="64"/>
      <c r="G11" s="64"/>
      <c r="H11" s="64"/>
      <c r="I11" s="64"/>
      <c r="J11" s="64"/>
      <c r="K11" s="64"/>
      <c r="L11" s="64"/>
    </row>
    <row r="12" spans="1:17" x14ac:dyDescent="0.4">
      <c r="B12" s="64"/>
      <c r="C12" s="65" t="str">
        <f>IF(기초자료입력!B48&lt;&gt;"",5,"")</f>
        <v/>
      </c>
      <c r="D12" s="65" t="str">
        <f>IF(기초자료입력!B48&lt;&gt;"",기초자료입력!B48,"")</f>
        <v/>
      </c>
      <c r="E12" s="64"/>
      <c r="F12" s="64"/>
      <c r="G12" s="64"/>
      <c r="H12" s="64"/>
      <c r="I12" s="64"/>
      <c r="J12" s="64"/>
      <c r="K12" s="64"/>
      <c r="L12" s="64"/>
    </row>
    <row r="13" spans="1:17" x14ac:dyDescent="0.4">
      <c r="B13" s="64"/>
      <c r="C13" s="65" t="str">
        <f>IF(기초자료입력!B49&lt;&gt;"",6,"")</f>
        <v/>
      </c>
      <c r="D13" s="65" t="str">
        <f>IF(기초자료입력!B49&lt;&gt;"",기초자료입력!B49,"")</f>
        <v/>
      </c>
      <c r="E13" s="64"/>
      <c r="F13" s="64"/>
      <c r="G13" s="64"/>
      <c r="H13" s="64"/>
      <c r="I13" s="64"/>
      <c r="J13" s="64"/>
      <c r="K13" s="64"/>
      <c r="L13" s="64"/>
    </row>
    <row r="14" spans="1:17" x14ac:dyDescent="0.4">
      <c r="B14" s="64"/>
      <c r="C14" s="65" t="str">
        <f>IF(기초자료입력!B50&lt;&gt;"",7,"")</f>
        <v/>
      </c>
      <c r="D14" s="65" t="str">
        <f>IF(기초자료입력!B50&lt;&gt;"",기초자료입력!B50,"")</f>
        <v/>
      </c>
      <c r="E14" s="64"/>
      <c r="F14" s="64"/>
      <c r="G14" s="64"/>
      <c r="H14" s="64"/>
      <c r="I14" s="64"/>
      <c r="J14" s="64"/>
      <c r="K14" s="64"/>
      <c r="L14" s="64"/>
    </row>
    <row r="15" spans="1:17" x14ac:dyDescent="0.4">
      <c r="B15" s="64"/>
      <c r="C15" s="65" t="str">
        <f>IF(기초자료입력!B51&lt;&gt;"",8,"")</f>
        <v/>
      </c>
      <c r="D15" s="65" t="str">
        <f>IF(기초자료입력!B51&lt;&gt;"",기초자료입력!B51,"")</f>
        <v/>
      </c>
      <c r="E15" s="64"/>
      <c r="F15" s="64"/>
      <c r="G15" s="64"/>
      <c r="H15" s="64"/>
      <c r="I15" s="64"/>
      <c r="J15" s="64"/>
      <c r="K15" s="64"/>
      <c r="L15" s="64"/>
    </row>
    <row r="16" spans="1:17" x14ac:dyDescent="0.4">
      <c r="B16" s="64"/>
      <c r="C16" s="65" t="str">
        <f>IF(기초자료입력!B52&lt;&gt;"",9,"")</f>
        <v/>
      </c>
      <c r="D16" s="65" t="str">
        <f>IF(기초자료입력!B52&lt;&gt;"",기초자료입력!B52,"")</f>
        <v/>
      </c>
      <c r="E16" s="64"/>
      <c r="F16" s="64"/>
      <c r="G16" s="64"/>
      <c r="H16" s="64"/>
      <c r="I16" s="64"/>
      <c r="J16" s="64"/>
      <c r="K16" s="64"/>
      <c r="L16" s="64"/>
    </row>
    <row r="17" spans="2:12" x14ac:dyDescent="0.4">
      <c r="B17" s="64"/>
      <c r="C17" s="65" t="str">
        <f>IF(기초자료입력!B53&lt;&gt;"",10,"")</f>
        <v/>
      </c>
      <c r="D17" s="65" t="str">
        <f>IF(기초자료입력!B53&lt;&gt;"",기초자료입력!B53,"")</f>
        <v/>
      </c>
      <c r="E17" s="64"/>
      <c r="F17" s="64"/>
      <c r="G17" s="64"/>
      <c r="H17" s="64"/>
      <c r="I17" s="64"/>
      <c r="J17" s="64"/>
      <c r="K17" s="64"/>
      <c r="L17" s="64"/>
    </row>
    <row r="18" spans="2:12" x14ac:dyDescent="0.4"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</row>
    <row r="19" spans="2:12" x14ac:dyDescent="0.4"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</row>
    <row r="20" spans="2:12" x14ac:dyDescent="0.4">
      <c r="B20" s="76" t="s">
        <v>714</v>
      </c>
      <c r="C20" s="76"/>
      <c r="D20" s="76"/>
      <c r="E20" s="76"/>
      <c r="F20" s="76"/>
      <c r="G20" s="76"/>
      <c r="H20" s="76"/>
      <c r="I20" s="76"/>
      <c r="J20" s="76"/>
      <c r="K20" s="76"/>
      <c r="L20" s="76"/>
    </row>
    <row r="21" spans="2:12" x14ac:dyDescent="0.4">
      <c r="B21" s="76" t="s">
        <v>715</v>
      </c>
      <c r="C21" s="76"/>
      <c r="D21" s="76"/>
      <c r="E21" s="76"/>
      <c r="F21" s="76"/>
      <c r="G21" s="76"/>
      <c r="H21" s="76"/>
      <c r="I21" s="76"/>
      <c r="J21" s="76"/>
      <c r="K21" s="76"/>
      <c r="L21" s="76"/>
    </row>
  </sheetData>
  <mergeCells count="10">
    <mergeCell ref="B20:L20"/>
    <mergeCell ref="B21:L21"/>
    <mergeCell ref="B3:L3"/>
    <mergeCell ref="B4:L4"/>
    <mergeCell ref="D6:F6"/>
    <mergeCell ref="G6:I6"/>
    <mergeCell ref="J6:K6"/>
    <mergeCell ref="L6:L7"/>
    <mergeCell ref="B6:B7"/>
    <mergeCell ref="C6:C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286F0-5158-4F68-B3F5-54386E292227}">
  <sheetPr codeName="Sheet13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3" width="14.69921875" customWidth="1"/>
    <col min="4" max="4" width="13.69921875" customWidth="1"/>
    <col min="5" max="5" width="10.69921875" customWidth="1"/>
    <col min="6" max="8" width="8.69921875" customWidth="1"/>
  </cols>
  <sheetData>
    <row r="1" spans="1:8" x14ac:dyDescent="0.4">
      <c r="A1" s="20" t="s">
        <v>698</v>
      </c>
    </row>
    <row r="3" spans="1:8" x14ac:dyDescent="0.4">
      <c r="B3" s="87" t="str">
        <f>IF(기초자료입력!C4&lt;&gt;"",기초자료입력!C4,"○○학교")&amp;" 교복구매 제안서 접수 결과"</f>
        <v>○○학교 교복구매 제안서 접수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276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277</v>
      </c>
      <c r="C7" s="89" t="s">
        <v>497</v>
      </c>
      <c r="D7" s="89"/>
      <c r="E7" s="89"/>
      <c r="F7" s="89"/>
      <c r="G7" s="89"/>
      <c r="H7" s="89"/>
    </row>
    <row r="8" spans="1:8" x14ac:dyDescent="0.4">
      <c r="B8" s="53" t="s">
        <v>284</v>
      </c>
      <c r="C8" s="89"/>
      <c r="D8" s="89"/>
      <c r="E8" s="89"/>
      <c r="F8" s="89"/>
      <c r="G8" s="89"/>
      <c r="H8" s="89"/>
    </row>
    <row r="9" spans="1:8" x14ac:dyDescent="0.4">
      <c r="B9" s="53" t="s">
        <v>278</v>
      </c>
      <c r="C9" s="91" t="str">
        <f>IF(기초자료입력!C22&lt;&gt;"",기초자료입력!C22,IF(기초자료입력!C5&lt;&gt;"",기초자료입력!C5,"20○○")&amp;"학년도 교복 학교주관구매 제안서 접수 결과 보고")</f>
        <v>20○○학년도 교복 학교주관구매 제안서 접수 결과 보고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6" t="str">
        <f>"2. "&amp;IF(기초자료입력!C5&lt;&gt;"",기초자료입력!C5,"20○○")&amp;"학년도 "&amp;IF(기초자료입력!C12&lt;&gt;"",기초자료입력!C12,"교복 학교주관구매")&amp;" 2단계 입찰(규격·가격 동시) 공고와 관련하여 제안서 접수 결과를 아래와 같이 보고합니다."</f>
        <v>2. 20○○학년도 교복 학교주관구매 2단계 입찰(규격·가격 동시) 공고와 관련하여 제안서 접수 결과를 아래와 같이 보고합니다.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1" t="s">
        <v>699</v>
      </c>
      <c r="C16" s="76"/>
      <c r="D16" s="76"/>
      <c r="E16" s="76"/>
      <c r="F16" s="76"/>
      <c r="G16" s="76"/>
      <c r="H16" s="76"/>
    </row>
    <row r="17" spans="2:8" x14ac:dyDescent="0.4">
      <c r="B17" s="85" t="s">
        <v>700</v>
      </c>
      <c r="C17" s="85" t="s">
        <v>701</v>
      </c>
      <c r="D17" s="85" t="s">
        <v>702</v>
      </c>
      <c r="E17" s="85"/>
      <c r="F17" s="37"/>
      <c r="G17" s="37"/>
      <c r="H17" s="37"/>
    </row>
    <row r="18" spans="2:8" x14ac:dyDescent="0.4">
      <c r="B18" s="85"/>
      <c r="C18" s="85"/>
      <c r="D18" s="60" t="s">
        <v>60</v>
      </c>
      <c r="E18" s="60" t="s">
        <v>369</v>
      </c>
      <c r="F18" s="37"/>
      <c r="G18" s="37"/>
      <c r="H18" s="37"/>
    </row>
    <row r="19" spans="2:8" x14ac:dyDescent="0.4">
      <c r="B19" s="28" t="str">
        <f>IF(기초자료입력!B44&lt;&gt;"",1,"")</f>
        <v/>
      </c>
      <c r="C19" s="61"/>
      <c r="D19" s="28" t="str">
        <f>IF(기초자료입력!B44&lt;&gt;"",기초자료입력!B44,"")</f>
        <v/>
      </c>
      <c r="E19" s="61"/>
      <c r="F19" s="37"/>
      <c r="G19" s="37"/>
      <c r="H19" s="37"/>
    </row>
    <row r="20" spans="2:8" x14ac:dyDescent="0.4">
      <c r="B20" s="28" t="str">
        <f>IF(기초자료입력!B45&lt;&gt;"",2,"")</f>
        <v/>
      </c>
      <c r="C20" s="61"/>
      <c r="D20" s="28" t="str">
        <f>IF(기초자료입력!B45&lt;&gt;"",기초자료입력!B45,"")</f>
        <v/>
      </c>
      <c r="E20" s="61"/>
      <c r="F20" s="37"/>
      <c r="G20" s="37"/>
      <c r="H20" s="37"/>
    </row>
    <row r="21" spans="2:8" x14ac:dyDescent="0.4">
      <c r="B21" s="28" t="str">
        <f>IF(기초자료입력!B46&lt;&gt;"",3,"")</f>
        <v/>
      </c>
      <c r="C21" s="61"/>
      <c r="D21" s="28" t="str">
        <f>IF(기초자료입력!B46&lt;&gt;"",기초자료입력!B46,"")</f>
        <v/>
      </c>
      <c r="E21" s="61"/>
      <c r="F21" s="37"/>
      <c r="G21" s="37"/>
      <c r="H21" s="37"/>
    </row>
    <row r="22" spans="2:8" x14ac:dyDescent="0.4">
      <c r="B22" s="28" t="str">
        <f>IF(기초자료입력!B47&lt;&gt;"",4,"")</f>
        <v/>
      </c>
      <c r="C22" s="61"/>
      <c r="D22" s="28" t="str">
        <f>IF(기초자료입력!B47&lt;&gt;"",기초자료입력!B47,"")</f>
        <v/>
      </c>
      <c r="E22" s="61"/>
      <c r="F22" s="37"/>
      <c r="G22" s="37"/>
      <c r="H22" s="37"/>
    </row>
    <row r="23" spans="2:8" x14ac:dyDescent="0.4">
      <c r="B23" s="28" t="str">
        <f>IF(기초자료입력!B48&lt;&gt;"",5,"")</f>
        <v/>
      </c>
      <c r="C23" s="61"/>
      <c r="D23" s="28" t="str">
        <f>IF(기초자료입력!B48&lt;&gt;"",기초자료입력!B48,"")</f>
        <v/>
      </c>
      <c r="E23" s="61"/>
      <c r="F23" s="37"/>
      <c r="G23" s="37"/>
      <c r="H23" s="37"/>
    </row>
    <row r="24" spans="2:8" x14ac:dyDescent="0.4">
      <c r="B24" s="28" t="str">
        <f>IF(기초자료입력!B49&lt;&gt;"",6,"")</f>
        <v/>
      </c>
      <c r="C24" s="61"/>
      <c r="D24" s="28" t="str">
        <f>IF(기초자료입력!B49&lt;&gt;"",기초자료입력!B49,"")</f>
        <v/>
      </c>
      <c r="E24" s="61"/>
      <c r="F24" s="37"/>
      <c r="G24" s="37"/>
      <c r="H24" s="37"/>
    </row>
    <row r="25" spans="2:8" x14ac:dyDescent="0.4">
      <c r="B25" s="28" t="str">
        <f>IF(기초자료입력!B50&lt;&gt;"",7,"")</f>
        <v/>
      </c>
      <c r="C25" s="61"/>
      <c r="D25" s="28" t="str">
        <f>IF(기초자료입력!B50&lt;&gt;"",기초자료입력!B50,"")</f>
        <v/>
      </c>
      <c r="E25" s="61"/>
      <c r="F25" s="37"/>
      <c r="G25" s="37"/>
      <c r="H25" s="37"/>
    </row>
    <row r="26" spans="2:8" x14ac:dyDescent="0.4">
      <c r="B26" s="28" t="str">
        <f>IF(기초자료입력!B51&lt;&gt;"",8,"")</f>
        <v/>
      </c>
      <c r="C26" s="61"/>
      <c r="D26" s="28" t="str">
        <f>IF(기초자료입력!B51&lt;&gt;"",기초자료입력!B51,"")</f>
        <v/>
      </c>
      <c r="E26" s="61"/>
      <c r="F26" s="37"/>
      <c r="G26" s="37"/>
      <c r="H26" s="37"/>
    </row>
    <row r="27" spans="2:8" x14ac:dyDescent="0.4">
      <c r="B27" s="28" t="str">
        <f>IF(기초자료입력!B52&lt;&gt;"",9,"")</f>
        <v/>
      </c>
      <c r="C27" s="61"/>
      <c r="D27" s="28" t="str">
        <f>IF(기초자료입력!B52&lt;&gt;"",기초자료입력!B52,"")</f>
        <v/>
      </c>
      <c r="E27" s="61"/>
      <c r="F27" s="37"/>
      <c r="G27" s="37"/>
      <c r="H27" s="37"/>
    </row>
    <row r="28" spans="2:8" x14ac:dyDescent="0.4">
      <c r="B28" s="28" t="str">
        <f>IF(기초자료입력!B53&lt;&gt;"",10,"")</f>
        <v/>
      </c>
      <c r="C28" s="61"/>
      <c r="D28" s="28" t="str">
        <f>IF(기초자료입력!B53&lt;&gt;"",기초자료입력!B53,"")</f>
        <v/>
      </c>
      <c r="E28" s="61"/>
      <c r="F28" s="37"/>
      <c r="G28" s="37"/>
      <c r="H28" s="37"/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76" t="str">
        <f>"붙임  "&amp;IF(기초자료입력!C5&lt;&gt;"",기초자료입력!C5,"20○○")&amp;"학년도 교복 학교주관구매 제안서 접수대장 1부.  끝."</f>
        <v>붙임  20○○학년도 교복 학교주관구매 제안서 접수대장 1부.  끝.</v>
      </c>
      <c r="C30" s="76"/>
      <c r="D30" s="76"/>
      <c r="E30" s="76"/>
      <c r="F30" s="76"/>
      <c r="G30" s="76"/>
      <c r="H30" s="76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280</v>
      </c>
      <c r="G33" s="53" t="s">
        <v>291</v>
      </c>
      <c r="H33" s="53" t="s">
        <v>281</v>
      </c>
    </row>
    <row r="34" spans="2:8" x14ac:dyDescent="0.4">
      <c r="B34" s="52" t="s">
        <v>292</v>
      </c>
      <c r="C34" s="76" t="str">
        <f>IF(기초자료입력!C9&lt;&gt;"",기초자료입력!C9,"")</f>
        <v/>
      </c>
      <c r="D34" s="76"/>
      <c r="E34" s="76"/>
      <c r="F34" s="53" t="s">
        <v>293</v>
      </c>
      <c r="G34" s="89"/>
      <c r="H34" s="89"/>
    </row>
    <row r="35" spans="2:8" x14ac:dyDescent="0.4">
      <c r="B35" s="52" t="s">
        <v>294</v>
      </c>
      <c r="C35" s="37"/>
      <c r="D35" s="52" t="s">
        <v>295</v>
      </c>
      <c r="E35" s="76"/>
      <c r="F35" s="89"/>
      <c r="G35" s="89"/>
      <c r="H35" s="89"/>
    </row>
    <row r="36" spans="2:8" x14ac:dyDescent="0.4">
      <c r="B36" s="52" t="s">
        <v>296</v>
      </c>
      <c r="C36" s="37"/>
      <c r="D36" s="52" t="s">
        <v>297</v>
      </c>
      <c r="E36" s="37"/>
      <c r="F36" s="53" t="s">
        <v>298</v>
      </c>
      <c r="G36" s="89"/>
      <c r="H36" s="89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D17:E17"/>
    <mergeCell ref="B17:B18"/>
    <mergeCell ref="C17:C18"/>
    <mergeCell ref="B30:H30"/>
    <mergeCell ref="C34:E34"/>
    <mergeCell ref="G34:H34"/>
  </mergeCells>
  <phoneticPr fontId="6" type="noConversion"/>
  <pageMargins left="0.29527604166666666" right="0.29527604166666666" top="0.39370138888888889" bottom="0.39370138888888889" header="0.19685069444444445" footer="0.19685069444444445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EB5D7-62B5-4F82-A0FA-8FB1C147560C}">
  <sheetPr codeName="Sheet14"/>
  <dimension ref="A1:H41"/>
  <sheetViews>
    <sheetView workbookViewId="0"/>
  </sheetViews>
  <sheetFormatPr defaultRowHeight="17.399999999999999" x14ac:dyDescent="0.4"/>
  <cols>
    <col min="1" max="1" width="3.19921875" customWidth="1"/>
    <col min="2" max="8" width="10.69921875" customWidth="1"/>
  </cols>
  <sheetData>
    <row r="1" spans="1:8" x14ac:dyDescent="0.4">
      <c r="A1" s="20" t="s">
        <v>686</v>
      </c>
    </row>
    <row r="3" spans="1:8" x14ac:dyDescent="0.4">
      <c r="B3" s="74" t="str">
        <f>IF(기초자료입력!C22&lt;&gt;"",기초자료입력!C22,IF(기초자료입력!C4&lt;&gt;"",기초자료입력!C4,"○○학교")&amp;" 교복 구매 수요조사")</f>
        <v>○○학교 교복 구매 수요조사</v>
      </c>
      <c r="C3" s="73"/>
      <c r="D3" s="73"/>
      <c r="E3" s="73"/>
      <c r="F3" s="73"/>
      <c r="G3" s="73"/>
      <c r="H3" s="73"/>
    </row>
    <row r="4" spans="1:8" x14ac:dyDescent="0.4">
      <c r="B4" s="73"/>
      <c r="C4" s="73"/>
      <c r="D4" s="73"/>
      <c r="E4" s="73"/>
      <c r="F4" s="73"/>
      <c r="G4" s="73"/>
      <c r="H4" s="73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83" t="str">
        <f>"안녕하십니까? "&amp;IF(기초자료입력!C4&lt;&gt;"",기초자료입력!C4,"○○학교")&amp;" 입학을 진심으로 축하드립니다."</f>
        <v>안녕하십니까? ○○학교 입학을 진심으로 축하드립니다.</v>
      </c>
      <c r="C6" s="83"/>
      <c r="D6" s="83"/>
      <c r="E6" s="83"/>
      <c r="F6" s="83"/>
      <c r="G6" s="83"/>
      <c r="H6" s="83"/>
    </row>
    <row r="7" spans="1:8" x14ac:dyDescent="0.4">
      <c r="B7" s="21"/>
      <c r="C7" s="21"/>
      <c r="D7" s="21"/>
      <c r="E7" s="21"/>
      <c r="F7" s="21"/>
      <c r="G7" s="21"/>
      <c r="H7" s="21"/>
    </row>
    <row r="8" spans="1:8" ht="30" customHeight="1" x14ac:dyDescent="0.4">
      <c r="B8" s="72" t="s">
        <v>687</v>
      </c>
      <c r="C8" s="72"/>
      <c r="D8" s="72"/>
      <c r="E8" s="72"/>
      <c r="F8" s="72"/>
      <c r="G8" s="72"/>
      <c r="H8" s="72"/>
    </row>
    <row r="9" spans="1:8" x14ac:dyDescent="0.4">
      <c r="B9" s="72"/>
      <c r="C9" s="72"/>
      <c r="D9" s="72"/>
      <c r="E9" s="72"/>
      <c r="F9" s="72"/>
      <c r="G9" s="72"/>
      <c r="H9" s="72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ht="30" customHeight="1" x14ac:dyDescent="0.4">
      <c r="B11" s="72" t="s">
        <v>688</v>
      </c>
      <c r="C11" s="72"/>
      <c r="D11" s="72"/>
      <c r="E11" s="72"/>
      <c r="F11" s="72"/>
      <c r="G11" s="72"/>
      <c r="H11" s="72"/>
    </row>
    <row r="12" spans="1:8" x14ac:dyDescent="0.4">
      <c r="B12" s="72"/>
      <c r="C12" s="72"/>
      <c r="D12" s="72"/>
      <c r="E12" s="72"/>
      <c r="F12" s="72"/>
      <c r="G12" s="72"/>
      <c r="H12" s="72"/>
    </row>
    <row r="13" spans="1:8" x14ac:dyDescent="0.4">
      <c r="B13" s="21"/>
      <c r="C13" s="21"/>
      <c r="D13" s="21"/>
      <c r="E13" s="21"/>
      <c r="F13" s="21"/>
      <c r="G13" s="21"/>
      <c r="H13" s="21"/>
    </row>
    <row r="14" spans="1:8" ht="30" customHeight="1" x14ac:dyDescent="0.4">
      <c r="B14" s="72" t="str">
        <f>"※ 참고: "&amp;IF(기초자료입력!C5&lt;&gt;"",기초자료입력!C5,"20○○")&amp;"학년도 신입생 교복 「학교주관구매」 가격 상한선"&amp;CHAR(10)&amp;"동복(4pcs 기준) 000,000원, 하복(2pcs 기준) 00,000원"</f>
        <v>※ 참고: 20○○학년도 신입생 교복 「학교주관구매」 가격 상한선
동복(4pcs 기준) 000,000원, 하복(2pcs 기준) 00,000원</v>
      </c>
      <c r="C14" s="72"/>
      <c r="D14" s="72"/>
      <c r="E14" s="72"/>
      <c r="F14" s="72"/>
      <c r="G14" s="72"/>
      <c r="H14" s="72"/>
    </row>
    <row r="15" spans="1:8" x14ac:dyDescent="0.4">
      <c r="B15" s="72"/>
      <c r="C15" s="72"/>
      <c r="D15" s="72"/>
      <c r="E15" s="72"/>
      <c r="F15" s="72"/>
      <c r="G15" s="72"/>
      <c r="H15" s="72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ht="30" customHeight="1" x14ac:dyDescent="0.4">
      <c r="B17" s="72" t="str">
        <f>"정확한 교복 물량 파악을 위하여 신입생들은 아래의 &lt;교복 구매 신청서&gt;와 별첨한 &lt;교복 신청 수량&gt;을 작성하여 "&amp;IF(기초자료입력!C18&lt;&gt;"",TEXT(기초자료입력!C18,"yyyy.mm.dd."),"○○년 ○월 ○일")&amp;"까지 학교로 반드시 제출하여 주시기 바랍니다."</f>
        <v>정확한 교복 물량 파악을 위하여 신입생들은 아래의 &lt;교복 구매 신청서&gt;와 별첨한 &lt;교복 신청 수량&gt;을 작성하여 ○○년 ○월 ○일까지 학교로 반드시 제출하여 주시기 바랍니다.</v>
      </c>
      <c r="C17" s="72"/>
      <c r="D17" s="72"/>
      <c r="E17" s="72"/>
      <c r="F17" s="72"/>
      <c r="G17" s="72"/>
      <c r="H17" s="72"/>
    </row>
    <row r="18" spans="2:8" x14ac:dyDescent="0.4">
      <c r="B18" s="72"/>
      <c r="C18" s="72"/>
      <c r="D18" s="72"/>
      <c r="E18" s="72"/>
      <c r="F18" s="72"/>
      <c r="G18" s="72"/>
      <c r="H18" s="72"/>
    </row>
    <row r="19" spans="2:8" x14ac:dyDescent="0.4">
      <c r="B19" s="21"/>
      <c r="C19" s="21"/>
      <c r="D19" s="21"/>
      <c r="E19" s="21"/>
      <c r="F19" s="21"/>
      <c r="G19" s="21"/>
      <c r="H19" s="21"/>
    </row>
    <row r="20" spans="2:8" ht="40.049999999999997" customHeight="1" x14ac:dyDescent="0.4">
      <c r="B20" s="72" t="s">
        <v>689</v>
      </c>
      <c r="C20" s="72"/>
      <c r="D20" s="72"/>
      <c r="E20" s="72"/>
      <c r="F20" s="72"/>
      <c r="G20" s="72"/>
      <c r="H20" s="72"/>
    </row>
    <row r="21" spans="2:8" x14ac:dyDescent="0.4">
      <c r="B21" s="72"/>
      <c r="C21" s="72"/>
      <c r="D21" s="72"/>
      <c r="E21" s="72"/>
      <c r="F21" s="72"/>
      <c r="G21" s="72"/>
      <c r="H21" s="72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83" t="s">
        <v>662</v>
      </c>
      <c r="C23" s="83"/>
      <c r="D23" s="83"/>
      <c r="E23" s="83"/>
      <c r="F23" s="83"/>
      <c r="G23" s="83"/>
      <c r="H23" s="83"/>
    </row>
    <row r="24" spans="2:8" x14ac:dyDescent="0.4">
      <c r="B24" s="96" t="s">
        <v>690</v>
      </c>
      <c r="C24" s="83"/>
      <c r="D24" s="83"/>
      <c r="E24" s="83"/>
      <c r="F24" s="83"/>
      <c r="G24" s="83"/>
      <c r="H24" s="83"/>
    </row>
    <row r="25" spans="2:8" x14ac:dyDescent="0.4">
      <c r="B25" s="21"/>
      <c r="C25" s="21"/>
      <c r="D25" s="21"/>
      <c r="E25" s="21"/>
      <c r="F25" s="21"/>
      <c r="G25" s="21"/>
      <c r="H25" s="21"/>
    </row>
    <row r="26" spans="2:8" x14ac:dyDescent="0.4">
      <c r="B26" s="73" t="str">
        <f>IF(기초자료입력!C8&lt;&gt;"",TEXT(기초자료입력!C8,"yyyy. m. d."),"년  월  일")</f>
        <v>년  월  일</v>
      </c>
      <c r="C26" s="73"/>
      <c r="D26" s="73"/>
      <c r="E26" s="73"/>
      <c r="F26" s="73"/>
      <c r="G26" s="73"/>
      <c r="H26" s="73"/>
    </row>
    <row r="27" spans="2:8" x14ac:dyDescent="0.4">
      <c r="B27" s="74" t="str">
        <f>IF(기초자료입력!C4&lt;&gt;"",기초자료입력!C4&amp;"장","○○○ 학교장")</f>
        <v>○○○ 학교장</v>
      </c>
      <c r="C27" s="73"/>
      <c r="D27" s="73"/>
      <c r="E27" s="73"/>
      <c r="F27" s="73"/>
      <c r="G27" s="73"/>
      <c r="H27" s="73"/>
    </row>
    <row r="28" spans="2:8" x14ac:dyDescent="0.4">
      <c r="B28" s="21"/>
      <c r="C28" s="21"/>
      <c r="D28" s="21"/>
      <c r="E28" s="21"/>
      <c r="F28" s="21"/>
      <c r="G28" s="21"/>
      <c r="H28" s="21"/>
    </row>
    <row r="29" spans="2:8" x14ac:dyDescent="0.4">
      <c r="B29" s="73" t="s">
        <v>691</v>
      </c>
      <c r="C29" s="73"/>
      <c r="D29" s="73"/>
      <c r="E29" s="73"/>
      <c r="F29" s="73"/>
      <c r="G29" s="73"/>
      <c r="H29" s="73"/>
    </row>
    <row r="30" spans="2:8" x14ac:dyDescent="0.4">
      <c r="B30" s="21"/>
      <c r="C30" s="21"/>
      <c r="D30" s="21"/>
      <c r="E30" s="21"/>
      <c r="F30" s="21"/>
      <c r="G30" s="21"/>
      <c r="H30" s="21"/>
    </row>
    <row r="31" spans="2:8" x14ac:dyDescent="0.4">
      <c r="B31" s="74" t="s">
        <v>692</v>
      </c>
      <c r="C31" s="73"/>
      <c r="D31" s="73"/>
      <c r="E31" s="73"/>
      <c r="F31" s="73"/>
      <c r="G31" s="73"/>
      <c r="H31" s="73"/>
    </row>
    <row r="32" spans="2:8" x14ac:dyDescent="0.4">
      <c r="B32" s="83" t="s">
        <v>693</v>
      </c>
      <c r="C32" s="83"/>
      <c r="D32" s="83"/>
      <c r="E32" s="83"/>
      <c r="F32" s="83"/>
      <c r="G32" s="83"/>
      <c r="H32" s="83"/>
    </row>
    <row r="33" spans="2:8" x14ac:dyDescent="0.4">
      <c r="B33" s="21"/>
      <c r="C33" s="21"/>
      <c r="D33" s="21"/>
      <c r="E33" s="21"/>
      <c r="F33" s="21"/>
      <c r="G33" s="21"/>
      <c r="H33" s="21"/>
    </row>
    <row r="34" spans="2:8" ht="31.95" customHeight="1" x14ac:dyDescent="0.4">
      <c r="B34" s="94" t="s">
        <v>694</v>
      </c>
      <c r="C34" s="94"/>
      <c r="D34" s="94" t="s">
        <v>695</v>
      </c>
      <c r="E34" s="94"/>
      <c r="F34" s="94"/>
      <c r="G34" s="94"/>
      <c r="H34" s="21"/>
    </row>
    <row r="35" spans="2:8" ht="31.95" customHeight="1" x14ac:dyDescent="0.4">
      <c r="B35" s="95"/>
      <c r="C35" s="95"/>
      <c r="D35" s="95" t="s">
        <v>696</v>
      </c>
      <c r="E35" s="95"/>
      <c r="F35" s="95" t="s">
        <v>697</v>
      </c>
      <c r="G35" s="95"/>
      <c r="H35" s="21"/>
    </row>
    <row r="36" spans="2:8" ht="19.95" customHeight="1" x14ac:dyDescent="0.4">
      <c r="B36" s="93"/>
      <c r="C36" s="93"/>
      <c r="D36" s="93"/>
      <c r="E36" s="93"/>
      <c r="F36" s="93"/>
      <c r="G36" s="93"/>
      <c r="H36" s="21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21"/>
      <c r="C38" s="21"/>
      <c r="D38" s="21"/>
      <c r="E38" s="21"/>
      <c r="F38" s="21"/>
      <c r="G38" s="21"/>
      <c r="H38" s="21"/>
    </row>
    <row r="39" spans="2:8" x14ac:dyDescent="0.4">
      <c r="B39" s="73" t="s">
        <v>672</v>
      </c>
      <c r="C39" s="73"/>
      <c r="D39" s="73"/>
      <c r="E39" s="73"/>
      <c r="F39" s="73"/>
      <c r="G39" s="73"/>
      <c r="H39" s="73"/>
    </row>
    <row r="40" spans="2:8" x14ac:dyDescent="0.4">
      <c r="B40" s="83" t="s">
        <v>673</v>
      </c>
      <c r="C40" s="83"/>
      <c r="D40" s="83"/>
      <c r="E40" s="83"/>
      <c r="F40" s="83"/>
      <c r="G40" s="83"/>
      <c r="H40" s="83"/>
    </row>
    <row r="41" spans="2:8" x14ac:dyDescent="0.4">
      <c r="B41" s="83" t="s">
        <v>674</v>
      </c>
      <c r="C41" s="83"/>
      <c r="D41" s="83"/>
      <c r="E41" s="83"/>
      <c r="F41" s="83"/>
      <c r="G41" s="83"/>
      <c r="H41" s="83"/>
    </row>
  </sheetData>
  <mergeCells count="24">
    <mergeCell ref="B29:H29"/>
    <mergeCell ref="B3:H4"/>
    <mergeCell ref="B6:H6"/>
    <mergeCell ref="B8:H9"/>
    <mergeCell ref="B11:H12"/>
    <mergeCell ref="B14:H15"/>
    <mergeCell ref="B17:H18"/>
    <mergeCell ref="B20:H21"/>
    <mergeCell ref="B23:H23"/>
    <mergeCell ref="B24:H24"/>
    <mergeCell ref="B26:H26"/>
    <mergeCell ref="B27:H27"/>
    <mergeCell ref="B41:H41"/>
    <mergeCell ref="B31:H31"/>
    <mergeCell ref="B32:H32"/>
    <mergeCell ref="B34:C35"/>
    <mergeCell ref="D34:G34"/>
    <mergeCell ref="D35:E35"/>
    <mergeCell ref="F35:G35"/>
    <mergeCell ref="B36:C36"/>
    <mergeCell ref="D36:E36"/>
    <mergeCell ref="F36:G36"/>
    <mergeCell ref="B39:H39"/>
    <mergeCell ref="B40:H40"/>
  </mergeCells>
  <phoneticPr fontId="6" type="noConversion"/>
  <pageMargins left="0.39370138888888889" right="0.39370138888888889" top="0.27559097222222223" bottom="0.27559097222222223" header="0.15748055555555554" footer="0.15748055555555554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76C75-4F3D-423B-95A2-5A3B0E67423F}">
  <sheetPr codeName="Sheet15"/>
  <dimension ref="A1:I45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9" width="9.69921875" customWidth="1"/>
  </cols>
  <sheetData>
    <row r="1" spans="1:9" x14ac:dyDescent="0.4">
      <c r="A1" s="20" t="s">
        <v>667</v>
      </c>
    </row>
    <row r="3" spans="1:9" x14ac:dyDescent="0.4">
      <c r="B3" s="74" t="str">
        <f>IF(기초자료입력!C4&lt;&gt;"",기초자료입력!C4,"○○학교")&amp;" 교복 구매 안내문"</f>
        <v>○○학교 교복 구매 안내문</v>
      </c>
      <c r="C3" s="73"/>
      <c r="D3" s="73"/>
      <c r="E3" s="73"/>
      <c r="F3" s="73"/>
      <c r="G3" s="73"/>
      <c r="H3" s="73"/>
      <c r="I3" s="21"/>
    </row>
    <row r="4" spans="1:9" x14ac:dyDescent="0.4">
      <c r="B4" s="73"/>
      <c r="C4" s="73"/>
      <c r="D4" s="73"/>
      <c r="E4" s="73"/>
      <c r="F4" s="73"/>
      <c r="G4" s="73"/>
      <c r="H4" s="73"/>
      <c r="I4" s="21"/>
    </row>
    <row r="5" spans="1:9" x14ac:dyDescent="0.4">
      <c r="B5" s="21"/>
      <c r="C5" s="21"/>
      <c r="D5" s="21"/>
      <c r="E5" s="21"/>
      <c r="F5" s="21"/>
      <c r="G5" s="21"/>
      <c r="H5" s="21"/>
      <c r="I5" s="21"/>
    </row>
    <row r="6" spans="1:9" x14ac:dyDescent="0.4">
      <c r="B6" s="83" t="str">
        <f>"안녕하십니까? "&amp;IF(기초자료입력!C4&lt;&gt;"",기초자료입력!C4,"○○학교")&amp;" 입학을 진심으로 축하드립니다."</f>
        <v>안녕하십니까? ○○학교 입학을 진심으로 축하드립니다.</v>
      </c>
      <c r="C6" s="83"/>
      <c r="D6" s="83"/>
      <c r="E6" s="83"/>
      <c r="F6" s="83"/>
      <c r="G6" s="83"/>
      <c r="H6" s="83"/>
      <c r="I6" s="21"/>
    </row>
    <row r="7" spans="1:9" x14ac:dyDescent="0.4">
      <c r="B7" s="21"/>
      <c r="C7" s="21"/>
      <c r="D7" s="21"/>
      <c r="E7" s="21"/>
      <c r="F7" s="21"/>
      <c r="G7" s="21"/>
      <c r="H7" s="21"/>
      <c r="I7" s="21"/>
    </row>
    <row r="8" spans="1:9" ht="30" customHeight="1" x14ac:dyDescent="0.4">
      <c r="B8" s="72" t="s">
        <v>668</v>
      </c>
      <c r="C8" s="72"/>
      <c r="D8" s="72"/>
      <c r="E8" s="72"/>
      <c r="F8" s="72"/>
      <c r="G8" s="72"/>
      <c r="H8" s="72"/>
      <c r="I8" s="21"/>
    </row>
    <row r="9" spans="1:9" x14ac:dyDescent="0.4">
      <c r="B9" s="72"/>
      <c r="C9" s="72"/>
      <c r="D9" s="72"/>
      <c r="E9" s="72"/>
      <c r="F9" s="72"/>
      <c r="G9" s="72"/>
      <c r="H9" s="72"/>
      <c r="I9" s="21"/>
    </row>
    <row r="10" spans="1:9" x14ac:dyDescent="0.4">
      <c r="B10" s="21"/>
      <c r="C10" s="21"/>
      <c r="D10" s="21"/>
      <c r="E10" s="21"/>
      <c r="F10" s="21"/>
      <c r="G10" s="21"/>
      <c r="H10" s="21"/>
      <c r="I10" s="21"/>
    </row>
    <row r="11" spans="1:9" ht="60" customHeight="1" x14ac:dyDescent="0.4">
      <c r="B11" s="72" t="str">
        <f>"우리 학교에서는 "&amp;IF(기초자료입력!C5&lt;&gt;"",기초자료입력!C5,"20○○")&amp;"년 ○월 ○일부터 교복을 착용하며, ○○○(연락처: ○○○-○○○-○○○)을 "&amp;IF(기초자료입력!C5&lt;&gt;"",기초자료입력!C5,"20○○")&amp;"학년도 신입생 교복 사업자로 선정하였고 치수측정기간은 ○월 ○일 ~ ○월 ○일이며 「교복 학교주관구매」로 구입하는 교복의 단가는 000,000원(동복 000원, 하복 000원)입니다."</f>
        <v>우리 학교에서는 20○○년 ○월 ○일부터 교복을 착용하며, ○○○(연락처: ○○○-○○○-○○○)을 20○○학년도 신입생 교복 사업자로 선정하였고 치수측정기간은 ○월 ○일 ~ ○월 ○일이며 「교복 학교주관구매」로 구입하는 교복의 단가는 000,000원(동복 000원, 하복 000원)입니다.</v>
      </c>
      <c r="C11" s="72"/>
      <c r="D11" s="72"/>
      <c r="E11" s="72"/>
      <c r="F11" s="72"/>
      <c r="G11" s="72"/>
      <c r="H11" s="72"/>
      <c r="I11" s="21"/>
    </row>
    <row r="12" spans="1:9" x14ac:dyDescent="0.4">
      <c r="B12" s="72"/>
      <c r="C12" s="72"/>
      <c r="D12" s="72"/>
      <c r="E12" s="72"/>
      <c r="F12" s="72"/>
      <c r="G12" s="72"/>
      <c r="H12" s="72"/>
      <c r="I12" s="21"/>
    </row>
    <row r="13" spans="1:9" x14ac:dyDescent="0.4">
      <c r="B13" s="21"/>
      <c r="C13" s="21"/>
      <c r="D13" s="21"/>
      <c r="E13" s="21"/>
      <c r="F13" s="21"/>
      <c r="G13" s="21"/>
      <c r="H13" s="21"/>
      <c r="I13" s="21"/>
    </row>
    <row r="14" spans="1:9" ht="30" customHeight="1" x14ac:dyDescent="0.4">
      <c r="B14" s="72" t="s">
        <v>669</v>
      </c>
      <c r="C14" s="72"/>
      <c r="D14" s="72"/>
      <c r="E14" s="72"/>
      <c r="F14" s="72"/>
      <c r="G14" s="72"/>
      <c r="H14" s="72"/>
      <c r="I14" s="21"/>
    </row>
    <row r="15" spans="1:9" x14ac:dyDescent="0.4">
      <c r="B15" s="72"/>
      <c r="C15" s="72"/>
      <c r="D15" s="72"/>
      <c r="E15" s="72"/>
      <c r="F15" s="72"/>
      <c r="G15" s="72"/>
      <c r="H15" s="72"/>
      <c r="I15" s="21"/>
    </row>
    <row r="16" spans="1:9" x14ac:dyDescent="0.4">
      <c r="B16" s="21"/>
      <c r="C16" s="21"/>
      <c r="D16" s="21"/>
      <c r="E16" s="21"/>
      <c r="F16" s="21"/>
      <c r="G16" s="21"/>
      <c r="H16" s="21"/>
      <c r="I16" s="21"/>
    </row>
    <row r="17" spans="2:9" ht="30" customHeight="1" x14ac:dyDescent="0.4">
      <c r="B17" s="72" t="str">
        <f>"정확한 교복 물량 파악을 위하여 신입생들은 아래의 &lt;교복 구매 신청서&gt;와 &lt;교복 신청 수량&gt;을 작성하여 "&amp;IF(기초자료입력!C18&lt;&gt;"",TEXT(기초자료입력!C18,"yyyy.mm.dd."),"○○년 ○월 ○일")&amp;"까지 학교로 반드시 제출하여 주시기 바랍니다."</f>
        <v>정확한 교복 물량 파악을 위하여 신입생들은 아래의 &lt;교복 구매 신청서&gt;와 &lt;교복 신청 수량&gt;을 작성하여 ○○년 ○월 ○일까지 학교로 반드시 제출하여 주시기 바랍니다.</v>
      </c>
      <c r="C17" s="72"/>
      <c r="D17" s="72"/>
      <c r="E17" s="72"/>
      <c r="F17" s="72"/>
      <c r="G17" s="72"/>
      <c r="H17" s="72"/>
      <c r="I17" s="21"/>
    </row>
    <row r="18" spans="2:9" x14ac:dyDescent="0.4">
      <c r="B18" s="72"/>
      <c r="C18" s="72"/>
      <c r="D18" s="72"/>
      <c r="E18" s="72"/>
      <c r="F18" s="72"/>
      <c r="G18" s="72"/>
      <c r="H18" s="72"/>
      <c r="I18" s="21"/>
    </row>
    <row r="19" spans="2:9" x14ac:dyDescent="0.4">
      <c r="B19" s="21"/>
      <c r="C19" s="21"/>
      <c r="D19" s="21"/>
      <c r="E19" s="21"/>
      <c r="F19" s="21"/>
      <c r="G19" s="21"/>
      <c r="H19" s="21"/>
      <c r="I19" s="21"/>
    </row>
    <row r="20" spans="2:9" ht="30" customHeight="1" x14ac:dyDescent="0.4">
      <c r="B20" s="72" t="s">
        <v>670</v>
      </c>
      <c r="C20" s="72"/>
      <c r="D20" s="72"/>
      <c r="E20" s="72"/>
      <c r="F20" s="72"/>
      <c r="G20" s="72"/>
      <c r="H20" s="72"/>
      <c r="I20" s="21"/>
    </row>
    <row r="21" spans="2:9" x14ac:dyDescent="0.4">
      <c r="B21" s="72"/>
      <c r="C21" s="72"/>
      <c r="D21" s="72"/>
      <c r="E21" s="72"/>
      <c r="F21" s="72"/>
      <c r="G21" s="72"/>
      <c r="H21" s="72"/>
      <c r="I21" s="21"/>
    </row>
    <row r="22" spans="2:9" x14ac:dyDescent="0.4">
      <c r="B22" s="21"/>
      <c r="C22" s="21"/>
      <c r="D22" s="21"/>
      <c r="E22" s="21"/>
      <c r="F22" s="21"/>
      <c r="G22" s="21"/>
      <c r="H22" s="21"/>
      <c r="I22" s="21"/>
    </row>
    <row r="23" spans="2:9" x14ac:dyDescent="0.4">
      <c r="B23" s="73" t="str">
        <f>IF(기초자료입력!C8&lt;&gt;"",TEXT(기초자료입력!C8,"yyyy. m. d."),"년  월  일")</f>
        <v>년  월  일</v>
      </c>
      <c r="C23" s="73"/>
      <c r="D23" s="73"/>
      <c r="E23" s="73"/>
      <c r="F23" s="73"/>
      <c r="G23" s="73"/>
      <c r="H23" s="73"/>
      <c r="I23" s="21"/>
    </row>
    <row r="24" spans="2:9" x14ac:dyDescent="0.4">
      <c r="B24" s="74" t="str">
        <f>IF(기초자료입력!C4&lt;&gt;"",기초자료입력!C4&amp;"장","○○학교장")</f>
        <v>○○학교장</v>
      </c>
      <c r="C24" s="73"/>
      <c r="D24" s="73"/>
      <c r="E24" s="73"/>
      <c r="F24" s="73"/>
      <c r="G24" s="73"/>
      <c r="H24" s="73"/>
      <c r="I24" s="21"/>
    </row>
    <row r="25" spans="2:9" x14ac:dyDescent="0.4">
      <c r="B25" s="21"/>
      <c r="C25" s="21"/>
      <c r="D25" s="21"/>
      <c r="E25" s="21"/>
      <c r="F25" s="21"/>
      <c r="G25" s="21"/>
      <c r="H25" s="21"/>
      <c r="I25" s="21"/>
    </row>
    <row r="26" spans="2:9" x14ac:dyDescent="0.4">
      <c r="B26" s="73" t="s">
        <v>671</v>
      </c>
      <c r="C26" s="73"/>
      <c r="D26" s="73"/>
      <c r="E26" s="73"/>
      <c r="F26" s="73"/>
      <c r="G26" s="73"/>
      <c r="H26" s="73"/>
      <c r="I26" s="21"/>
    </row>
    <row r="27" spans="2:9" x14ac:dyDescent="0.4">
      <c r="B27" s="21"/>
      <c r="C27" s="21"/>
      <c r="D27" s="21"/>
      <c r="E27" s="21"/>
      <c r="F27" s="21"/>
      <c r="G27" s="21"/>
      <c r="H27" s="21"/>
      <c r="I27" s="21"/>
    </row>
    <row r="28" spans="2:9" x14ac:dyDescent="0.4">
      <c r="B28" s="74" t="str">
        <f>"&lt; "&amp;IF(기초자료입력!C5&lt;&gt;"",기초자료입력!C5,"20○○")&amp;"학년도 신입생 교복 구매 신청서 &gt;"</f>
        <v>&lt; 20○○학년도 신입생 교복 구매 신청서 &gt;</v>
      </c>
      <c r="C28" s="73"/>
      <c r="D28" s="73"/>
      <c r="E28" s="73"/>
      <c r="F28" s="73"/>
      <c r="G28" s="73"/>
      <c r="H28" s="73"/>
      <c r="I28" s="21"/>
    </row>
    <row r="29" spans="2:9" x14ac:dyDescent="0.4">
      <c r="B29" s="73" t="s">
        <v>672</v>
      </c>
      <c r="C29" s="73"/>
      <c r="D29" s="73"/>
      <c r="E29" s="73"/>
      <c r="F29" s="73"/>
      <c r="G29" s="73"/>
      <c r="H29" s="73"/>
      <c r="I29" s="21"/>
    </row>
    <row r="30" spans="2:9" x14ac:dyDescent="0.4">
      <c r="B30" s="83" t="s">
        <v>673</v>
      </c>
      <c r="C30" s="83"/>
      <c r="D30" s="83"/>
      <c r="E30" s="83"/>
      <c r="F30" s="83"/>
      <c r="G30" s="83"/>
      <c r="H30" s="83"/>
      <c r="I30" s="21"/>
    </row>
    <row r="31" spans="2:9" x14ac:dyDescent="0.4">
      <c r="B31" s="83" t="s">
        <v>674</v>
      </c>
      <c r="C31" s="83"/>
      <c r="D31" s="83"/>
      <c r="E31" s="83"/>
      <c r="F31" s="83"/>
      <c r="G31" s="83"/>
      <c r="H31" s="83"/>
      <c r="I31" s="21"/>
    </row>
    <row r="32" spans="2:9" x14ac:dyDescent="0.4">
      <c r="B32" s="21"/>
      <c r="C32" s="21"/>
      <c r="D32" s="21"/>
      <c r="E32" s="21"/>
      <c r="F32" s="21"/>
      <c r="G32" s="21"/>
      <c r="H32" s="21"/>
      <c r="I32" s="21"/>
    </row>
    <row r="33" spans="2:9" x14ac:dyDescent="0.4">
      <c r="B33" s="81" t="s">
        <v>675</v>
      </c>
      <c r="C33" s="83"/>
      <c r="D33" s="83"/>
      <c r="E33" s="83"/>
      <c r="F33" s="83"/>
      <c r="G33" s="83"/>
      <c r="H33" s="83"/>
      <c r="I33" s="21"/>
    </row>
    <row r="34" spans="2:9" x14ac:dyDescent="0.4">
      <c r="B34" s="83" t="s">
        <v>676</v>
      </c>
      <c r="C34" s="83"/>
      <c r="D34" s="83"/>
      <c r="E34" s="83"/>
      <c r="F34" s="83"/>
      <c r="G34" s="83"/>
      <c r="H34" s="83"/>
      <c r="I34" s="21"/>
    </row>
    <row r="35" spans="2:9" x14ac:dyDescent="0.4">
      <c r="B35" s="60" t="s">
        <v>677</v>
      </c>
      <c r="C35" s="60" t="s">
        <v>56</v>
      </c>
      <c r="D35" s="60" t="s">
        <v>678</v>
      </c>
      <c r="E35" s="60" t="s">
        <v>679</v>
      </c>
      <c r="F35" s="60" t="s">
        <v>680</v>
      </c>
      <c r="G35" s="60" t="s">
        <v>56</v>
      </c>
      <c r="H35" s="60" t="s">
        <v>678</v>
      </c>
      <c r="I35" s="60" t="s">
        <v>679</v>
      </c>
    </row>
    <row r="36" spans="2:9" x14ac:dyDescent="0.4">
      <c r="B36" s="28" t="s">
        <v>681</v>
      </c>
      <c r="C36" s="28"/>
      <c r="D36" s="28"/>
      <c r="E36" s="28"/>
      <c r="F36" s="28" t="s">
        <v>681</v>
      </c>
      <c r="G36" s="28"/>
      <c r="H36" s="28"/>
      <c r="I36" s="28"/>
    </row>
    <row r="37" spans="2:9" x14ac:dyDescent="0.4">
      <c r="B37" s="28" t="s">
        <v>682</v>
      </c>
      <c r="C37" s="28"/>
      <c r="D37" s="28"/>
      <c r="E37" s="28"/>
      <c r="F37" s="28" t="s">
        <v>683</v>
      </c>
      <c r="G37" s="28"/>
      <c r="H37" s="28"/>
      <c r="I37" s="28"/>
    </row>
    <row r="38" spans="2:9" x14ac:dyDescent="0.4">
      <c r="B38" s="28" t="s">
        <v>684</v>
      </c>
      <c r="C38" s="28"/>
      <c r="D38" s="28"/>
      <c r="E38" s="28"/>
      <c r="F38" s="28" t="s">
        <v>684</v>
      </c>
      <c r="G38" s="28"/>
      <c r="H38" s="28"/>
      <c r="I38" s="28"/>
    </row>
    <row r="39" spans="2:9" x14ac:dyDescent="0.4">
      <c r="B39" s="28" t="s">
        <v>684</v>
      </c>
      <c r="C39" s="28"/>
      <c r="D39" s="28"/>
      <c r="E39" s="28"/>
      <c r="F39" s="28" t="s">
        <v>684</v>
      </c>
      <c r="G39" s="28"/>
      <c r="H39" s="28"/>
      <c r="I39" s="28"/>
    </row>
    <row r="40" spans="2:9" x14ac:dyDescent="0.4">
      <c r="B40" s="28" t="s">
        <v>684</v>
      </c>
      <c r="C40" s="28"/>
      <c r="D40" s="28"/>
      <c r="E40" s="28"/>
      <c r="F40" s="28" t="s">
        <v>684</v>
      </c>
      <c r="G40" s="28"/>
      <c r="H40" s="28"/>
      <c r="I40" s="28"/>
    </row>
    <row r="41" spans="2:9" x14ac:dyDescent="0.4">
      <c r="B41" s="28" t="s">
        <v>684</v>
      </c>
      <c r="C41" s="28"/>
      <c r="D41" s="28"/>
      <c r="E41" s="28"/>
      <c r="F41" s="28" t="s">
        <v>684</v>
      </c>
      <c r="G41" s="28"/>
      <c r="H41" s="28"/>
      <c r="I41" s="28"/>
    </row>
    <row r="42" spans="2:9" x14ac:dyDescent="0.4">
      <c r="B42" s="28" t="s">
        <v>282</v>
      </c>
      <c r="C42" s="28"/>
      <c r="D42" s="28"/>
      <c r="E42" s="28"/>
      <c r="F42" s="28" t="s">
        <v>282</v>
      </c>
      <c r="G42" s="28"/>
      <c r="H42" s="28"/>
      <c r="I42" s="28"/>
    </row>
    <row r="43" spans="2:9" x14ac:dyDescent="0.4">
      <c r="B43" s="21"/>
      <c r="C43" s="21"/>
      <c r="D43" s="21"/>
      <c r="E43" s="21"/>
      <c r="F43" s="21"/>
      <c r="G43" s="21"/>
      <c r="H43" s="21"/>
      <c r="I43" s="21"/>
    </row>
    <row r="44" spans="2:9" x14ac:dyDescent="0.4">
      <c r="B44" s="76" t="s">
        <v>685</v>
      </c>
      <c r="C44" s="83"/>
      <c r="D44" s="83"/>
      <c r="E44" s="83"/>
      <c r="F44" s="83"/>
      <c r="G44" s="83"/>
      <c r="H44" s="83"/>
      <c r="I44" s="21"/>
    </row>
    <row r="45" spans="2:9" x14ac:dyDescent="0.4">
      <c r="B45" s="74" t="str">
        <f>IF(기초자료입력!C4&lt;&gt;"",기초자료입력!C4&amp;"장 귀하","○○학교장 귀하")</f>
        <v>○○학교장 귀하</v>
      </c>
      <c r="C45" s="73"/>
      <c r="D45" s="73"/>
      <c r="E45" s="73"/>
      <c r="F45" s="73"/>
      <c r="G45" s="73"/>
      <c r="H45" s="73"/>
      <c r="I45" s="21"/>
    </row>
  </sheetData>
  <mergeCells count="18">
    <mergeCell ref="B17:H18"/>
    <mergeCell ref="B3:H4"/>
    <mergeCell ref="B6:H6"/>
    <mergeCell ref="B8:H9"/>
    <mergeCell ref="B11:H12"/>
    <mergeCell ref="B14:H15"/>
    <mergeCell ref="B45:H45"/>
    <mergeCell ref="B20:H21"/>
    <mergeCell ref="B23:H23"/>
    <mergeCell ref="B24:H24"/>
    <mergeCell ref="B26:H26"/>
    <mergeCell ref="B28:H28"/>
    <mergeCell ref="B29:H29"/>
    <mergeCell ref="B30:H30"/>
    <mergeCell ref="B31:H31"/>
    <mergeCell ref="B33:H33"/>
    <mergeCell ref="B34:H34"/>
    <mergeCell ref="B44:H44"/>
  </mergeCells>
  <phoneticPr fontId="6" type="noConversion"/>
  <pageMargins left="0.39370138888888889" right="0.39370138888888889" top="0.23622083333333332" bottom="0.23622083333333332" header="0.11811041666666666" footer="0.11811041666666666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7A09E-075D-4966-851F-DC55051427CC}">
  <sheetPr codeName="Sheet16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663</v>
      </c>
    </row>
    <row r="2" spans="1:8" x14ac:dyDescent="0.4">
      <c r="G2" s="97" t="str">
        <f>IF(기초자료입력!C4&lt;&gt;"",기초자료입력!C4,"○ ○ 학 교")</f>
        <v>○ ○ 학 교</v>
      </c>
      <c r="H2" s="88"/>
    </row>
    <row r="3" spans="1:8" x14ac:dyDescent="0.4">
      <c r="B3" s="87" t="s">
        <v>664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276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277</v>
      </c>
      <c r="C7" s="89" t="s">
        <v>651</v>
      </c>
      <c r="D7" s="89"/>
      <c r="E7" s="89"/>
      <c r="F7" s="89"/>
      <c r="G7" s="89"/>
      <c r="H7" s="89"/>
    </row>
    <row r="8" spans="1:8" x14ac:dyDescent="0.4">
      <c r="B8" s="53" t="s">
        <v>284</v>
      </c>
      <c r="C8" s="89"/>
      <c r="D8" s="89"/>
      <c r="E8" s="89"/>
      <c r="F8" s="89"/>
      <c r="G8" s="89"/>
      <c r="H8" s="89"/>
    </row>
    <row r="9" spans="1:8" x14ac:dyDescent="0.4">
      <c r="B9" s="53" t="s">
        <v>278</v>
      </c>
      <c r="C9" s="91" t="str">
        <f>IF(기초자료입력!C22&lt;&gt;"",기초자료입력!C22,"신입생 예비소집일 교복구매 수요조사 가정통신문 발송")</f>
        <v>신입생 예비소집일 교복구매 수요조사 가정통신문 발송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">
        <v>652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0" customHeight="1" x14ac:dyDescent="0.4">
      <c r="B13" s="86" t="s">
        <v>665</v>
      </c>
      <c r="C13" s="86"/>
      <c r="D13" s="86"/>
      <c r="E13" s="86"/>
      <c r="F13" s="86"/>
      <c r="G13" s="86"/>
      <c r="H13" s="86"/>
    </row>
    <row r="14" spans="1:8" x14ac:dyDescent="0.4">
      <c r="B14" s="37"/>
      <c r="C14" s="37"/>
      <c r="D14" s="37"/>
      <c r="E14" s="37"/>
      <c r="F14" s="37"/>
      <c r="G14" s="37"/>
      <c r="H14" s="37"/>
    </row>
    <row r="15" spans="1:8" x14ac:dyDescent="0.4">
      <c r="B15" s="52" t="s">
        <v>654</v>
      </c>
      <c r="C15" s="76" t="str">
        <f>IF(기초자료입력!C5&lt;&gt;"",기초자료입력!C5,"20○○")&amp;"학년도 신입생 및 학부모"</f>
        <v>20○○학년도 신입생 및 학부모</v>
      </c>
      <c r="D15" s="76"/>
      <c r="E15" s="76"/>
      <c r="F15" s="76"/>
      <c r="G15" s="76"/>
      <c r="H15" s="76"/>
    </row>
    <row r="16" spans="1:8" x14ac:dyDescent="0.4">
      <c r="B16" s="52" t="s">
        <v>655</v>
      </c>
      <c r="C16" s="76" t="str">
        <f>IF(기초자료입력!C12&lt;&gt;"",기초자료입력!C12&amp;" 관련 교복 학교주관구매 참여 여부 조사","교복 학교주관구매 참여 여부 조사")</f>
        <v>교복 학교주관구매 참여 여부 조사</v>
      </c>
      <c r="D16" s="76"/>
      <c r="E16" s="76"/>
      <c r="F16" s="76"/>
      <c r="G16" s="76"/>
      <c r="H16" s="76"/>
    </row>
    <row r="17" spans="2:8" x14ac:dyDescent="0.4">
      <c r="B17" s="37"/>
      <c r="C17" s="37"/>
      <c r="D17" s="37"/>
      <c r="E17" s="37"/>
      <c r="F17" s="37"/>
      <c r="G17" s="37"/>
      <c r="H17" s="37"/>
    </row>
    <row r="18" spans="2:8" x14ac:dyDescent="0.4">
      <c r="B18" s="81" t="s">
        <v>666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37"/>
      <c r="C20" s="37"/>
      <c r="D20" s="37"/>
      <c r="E20" s="37"/>
      <c r="F20" s="37"/>
      <c r="G20" s="37"/>
      <c r="H20" s="37"/>
    </row>
    <row r="21" spans="2:8" x14ac:dyDescent="0.4">
      <c r="B21" s="37"/>
      <c r="C21" s="37"/>
      <c r="D21" s="37"/>
      <c r="E21" s="37"/>
      <c r="F21" s="37"/>
      <c r="G21" s="37"/>
      <c r="H21" s="37"/>
    </row>
    <row r="22" spans="2:8" x14ac:dyDescent="0.4">
      <c r="B22" s="37"/>
      <c r="C22" s="37"/>
      <c r="D22" s="37"/>
      <c r="E22" s="37"/>
      <c r="F22" s="53" t="s">
        <v>280</v>
      </c>
      <c r="G22" s="53" t="s">
        <v>291</v>
      </c>
      <c r="H22" s="53" t="s">
        <v>281</v>
      </c>
    </row>
    <row r="23" spans="2:8" x14ac:dyDescent="0.4">
      <c r="B23" s="52" t="s">
        <v>292</v>
      </c>
      <c r="C23" s="76" t="str">
        <f>IF(기초자료입력!C9&lt;&gt;"",기초자료입력!C9,"")</f>
        <v/>
      </c>
      <c r="D23" s="76"/>
      <c r="E23" s="76"/>
      <c r="F23" s="53" t="s">
        <v>293</v>
      </c>
      <c r="G23" s="89"/>
      <c r="H23" s="89"/>
    </row>
    <row r="24" spans="2:8" x14ac:dyDescent="0.4">
      <c r="B24" s="52" t="s">
        <v>294</v>
      </c>
      <c r="C24" s="37"/>
      <c r="D24" s="52" t="s">
        <v>295</v>
      </c>
      <c r="E24" s="76"/>
      <c r="F24" s="89"/>
      <c r="G24" s="89"/>
      <c r="H24" s="89"/>
    </row>
    <row r="25" spans="2:8" x14ac:dyDescent="0.4">
      <c r="B25" s="52" t="s">
        <v>296</v>
      </c>
      <c r="C25" s="37"/>
      <c r="D25" s="52" t="s">
        <v>297</v>
      </c>
      <c r="E25" s="37"/>
      <c r="F25" s="53" t="s">
        <v>298</v>
      </c>
      <c r="G25" s="89"/>
      <c r="H25" s="89"/>
    </row>
  </sheetData>
  <mergeCells count="14">
    <mergeCell ref="B11:H11"/>
    <mergeCell ref="G2:H2"/>
    <mergeCell ref="B3:H4"/>
    <mergeCell ref="C7:H7"/>
    <mergeCell ref="C8:H8"/>
    <mergeCell ref="C9:H9"/>
    <mergeCell ref="E24:H24"/>
    <mergeCell ref="G25:H25"/>
    <mergeCell ref="B13:H13"/>
    <mergeCell ref="C15:H15"/>
    <mergeCell ref="C16:H16"/>
    <mergeCell ref="B18:H18"/>
    <mergeCell ref="C23:E23"/>
    <mergeCell ref="G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91F80-AB62-4091-9D86-7AAE36142CC8}">
  <sheetPr codeName="Sheet17"/>
  <dimension ref="A1:H22"/>
  <sheetViews>
    <sheetView workbookViewId="0"/>
  </sheetViews>
  <sheetFormatPr defaultRowHeight="17.399999999999999" x14ac:dyDescent="0.4"/>
  <cols>
    <col min="1" max="1" width="3.19921875" customWidth="1"/>
    <col min="2" max="8" width="10.69921875" customWidth="1"/>
  </cols>
  <sheetData>
    <row r="1" spans="1:8" x14ac:dyDescent="0.4">
      <c r="A1" s="20" t="s">
        <v>657</v>
      </c>
    </row>
    <row r="3" spans="1:8" x14ac:dyDescent="0.4">
      <c r="B3" s="74" t="str">
        <f>IF(기초자료입력!C22&lt;&gt;"",기초자료입력!C22,"초 6(예비 중1), 중 3(예비 고1) 교복 구매 사전 안내")</f>
        <v>초 6(예비 중1), 중 3(예비 고1) 교복 구매 사전 안내</v>
      </c>
      <c r="C3" s="73"/>
      <c r="D3" s="73"/>
      <c r="E3" s="73"/>
      <c r="F3" s="73"/>
      <c r="G3" s="73"/>
      <c r="H3" s="73"/>
    </row>
    <row r="4" spans="1:8" x14ac:dyDescent="0.4">
      <c r="B4" s="73"/>
      <c r="C4" s="73"/>
      <c r="D4" s="73"/>
      <c r="E4" s="73"/>
      <c r="F4" s="73"/>
      <c r="G4" s="73"/>
      <c r="H4" s="73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83" t="s">
        <v>658</v>
      </c>
      <c r="C6" s="83"/>
      <c r="D6" s="83"/>
      <c r="E6" s="83"/>
      <c r="F6" s="83"/>
      <c r="G6" s="83"/>
      <c r="H6" s="83"/>
    </row>
    <row r="7" spans="1:8" x14ac:dyDescent="0.4">
      <c r="B7" s="21"/>
      <c r="C7" s="21"/>
      <c r="D7" s="21"/>
      <c r="E7" s="21"/>
      <c r="F7" s="21"/>
      <c r="G7" s="21"/>
      <c r="H7" s="21"/>
    </row>
    <row r="8" spans="1:8" ht="30" customHeight="1" x14ac:dyDescent="0.4">
      <c r="B8" s="72" t="str">
        <f>IF(기초자료입력!C5&lt;&gt;"",기초자료입력!C5,"20○○")&amp;"학년도 중학교, 고등학교 신입생 배정을 앞두고 "&amp;IF(기초자료입력!C12&lt;&gt;"",기초자료입력!C12,"교복 구매")&amp;"에 대한 사항을 다음과 같이 안내해 드립니다."</f>
        <v>20○○학년도 중학교, 고등학교 신입생 배정을 앞두고 교복 구매에 대한 사항을 다음과 같이 안내해 드립니다.</v>
      </c>
      <c r="C8" s="72"/>
      <c r="D8" s="72"/>
      <c r="E8" s="72"/>
      <c r="F8" s="72"/>
      <c r="G8" s="72"/>
      <c r="H8" s="72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42" customHeight="1" x14ac:dyDescent="0.4">
      <c r="B10" s="72" t="s">
        <v>659</v>
      </c>
      <c r="C10" s="72"/>
      <c r="D10" s="72"/>
      <c r="E10" s="72"/>
      <c r="F10" s="72"/>
      <c r="G10" s="72"/>
      <c r="H10" s="72"/>
    </row>
    <row r="11" spans="1:8" x14ac:dyDescent="0.4">
      <c r="B11" s="72"/>
      <c r="C11" s="72"/>
      <c r="D11" s="72"/>
      <c r="E11" s="72"/>
      <c r="F11" s="72"/>
      <c r="G11" s="72"/>
      <c r="H11" s="72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42" customHeight="1" x14ac:dyDescent="0.4">
      <c r="B13" s="72" t="s">
        <v>660</v>
      </c>
      <c r="C13" s="72"/>
      <c r="D13" s="72"/>
      <c r="E13" s="72"/>
      <c r="F13" s="72"/>
      <c r="G13" s="72"/>
      <c r="H13" s="72"/>
    </row>
    <row r="14" spans="1:8" x14ac:dyDescent="0.4">
      <c r="B14" s="72"/>
      <c r="C14" s="72"/>
      <c r="D14" s="72"/>
      <c r="E14" s="72"/>
      <c r="F14" s="72"/>
      <c r="G14" s="72"/>
      <c r="H14" s="72"/>
    </row>
    <row r="15" spans="1:8" x14ac:dyDescent="0.4">
      <c r="B15" s="21"/>
      <c r="C15" s="21"/>
      <c r="D15" s="21"/>
      <c r="E15" s="21"/>
      <c r="F15" s="21"/>
      <c r="G15" s="21"/>
      <c r="H15" s="21"/>
    </row>
    <row r="16" spans="1:8" ht="42" customHeight="1" x14ac:dyDescent="0.4">
      <c r="B16" s="72" t="s">
        <v>661</v>
      </c>
      <c r="C16" s="72"/>
      <c r="D16" s="72"/>
      <c r="E16" s="72"/>
      <c r="F16" s="72"/>
      <c r="G16" s="72"/>
      <c r="H16" s="72"/>
    </row>
    <row r="17" spans="2:8" x14ac:dyDescent="0.4">
      <c r="B17" s="72"/>
      <c r="C17" s="72"/>
      <c r="D17" s="72"/>
      <c r="E17" s="72"/>
      <c r="F17" s="72"/>
      <c r="G17" s="72"/>
      <c r="H17" s="72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83" t="s">
        <v>662</v>
      </c>
      <c r="C19" s="83"/>
      <c r="D19" s="83"/>
      <c r="E19" s="83"/>
      <c r="F19" s="83"/>
      <c r="G19" s="83"/>
      <c r="H19" s="83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73" t="str">
        <f>IF(기초자료입력!C8&lt;&gt;"",TEXT(기초자료입력!C8,"yyyy. m. d."),"년  월  일")</f>
        <v>년  월  일</v>
      </c>
      <c r="C21" s="73"/>
      <c r="D21" s="73"/>
      <c r="E21" s="73"/>
      <c r="F21" s="73"/>
      <c r="G21" s="73"/>
      <c r="H21" s="73"/>
    </row>
    <row r="22" spans="2:8" x14ac:dyDescent="0.4">
      <c r="B22" s="74" t="str">
        <f>IF(기초자료입력!C4&lt;&gt;"",기초자료입력!C4&amp;"장","○○학교장")</f>
        <v>○○학교장</v>
      </c>
      <c r="C22" s="73"/>
      <c r="D22" s="73"/>
      <c r="E22" s="73"/>
      <c r="F22" s="73"/>
      <c r="G22" s="73"/>
      <c r="H22" s="73"/>
    </row>
  </sheetData>
  <mergeCells count="9">
    <mergeCell ref="B19:H19"/>
    <mergeCell ref="B21:H21"/>
    <mergeCell ref="B22:H22"/>
    <mergeCell ref="B3:H4"/>
    <mergeCell ref="B6:H6"/>
    <mergeCell ref="B8:H8"/>
    <mergeCell ref="B10:H11"/>
    <mergeCell ref="B13:H14"/>
    <mergeCell ref="B16:H17"/>
  </mergeCells>
  <phoneticPr fontId="6" type="noConversion"/>
  <pageMargins left="0.59055208333333331" right="0.59055208333333331" top="0.47244166666666665" bottom="0.47244166666666665" header="0.3" footer="0.3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D9D42-C3FD-4A72-AB49-E59288C8CFE4}">
  <sheetPr codeName="Sheet18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649</v>
      </c>
    </row>
    <row r="2" spans="1:8" x14ac:dyDescent="0.4">
      <c r="G2" s="97" t="str">
        <f>IF(기초자료입력!C4&lt;&gt;"",기초자료입력!C4,"○ ○ 학 교")</f>
        <v>○ ○ 학 교</v>
      </c>
      <c r="H2" s="88"/>
    </row>
    <row r="3" spans="1:8" x14ac:dyDescent="0.4">
      <c r="B3" s="87" t="s">
        <v>650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276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277</v>
      </c>
      <c r="C7" s="89" t="s">
        <v>651</v>
      </c>
      <c r="D7" s="89"/>
      <c r="E7" s="89"/>
      <c r="F7" s="89"/>
      <c r="G7" s="89"/>
      <c r="H7" s="89"/>
    </row>
    <row r="8" spans="1:8" x14ac:dyDescent="0.4">
      <c r="B8" s="53" t="s">
        <v>284</v>
      </c>
      <c r="C8" s="89"/>
      <c r="D8" s="89"/>
      <c r="E8" s="89"/>
      <c r="F8" s="89"/>
      <c r="G8" s="89"/>
      <c r="H8" s="89"/>
    </row>
    <row r="9" spans="1:8" x14ac:dyDescent="0.4">
      <c r="B9" s="53" t="s">
        <v>278</v>
      </c>
      <c r="C9" s="91" t="str">
        <f>IF(기초자료입력!C22&lt;&gt;"",기초자료입력!C22,"신입생 교복구매 사전 안내 가정통신문 발송")</f>
        <v>신입생 교복구매 사전 안내 가정통신문 발송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">
        <v>652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0" customHeight="1" x14ac:dyDescent="0.4">
      <c r="B13" s="86" t="s">
        <v>653</v>
      </c>
      <c r="C13" s="86"/>
      <c r="D13" s="86"/>
      <c r="E13" s="86"/>
      <c r="F13" s="86"/>
      <c r="G13" s="86"/>
      <c r="H13" s="86"/>
    </row>
    <row r="14" spans="1:8" x14ac:dyDescent="0.4">
      <c r="B14" s="37"/>
      <c r="C14" s="37"/>
      <c r="D14" s="37"/>
      <c r="E14" s="37"/>
      <c r="F14" s="37"/>
      <c r="G14" s="37"/>
      <c r="H14" s="37"/>
    </row>
    <row r="15" spans="1:8" x14ac:dyDescent="0.4">
      <c r="B15" s="52" t="s">
        <v>654</v>
      </c>
      <c r="C15" s="76" t="str">
        <f>IF(기초자료입력!C5&lt;&gt;"",기초자료입력!C5,"20○○")&amp;"학년도 예비 중1(예비 고1) 학생 및 학부모"</f>
        <v>20○○학년도 예비 중1(예비 고1) 학생 및 학부모</v>
      </c>
      <c r="D15" s="76"/>
      <c r="E15" s="76"/>
      <c r="F15" s="76"/>
      <c r="G15" s="76"/>
      <c r="H15" s="76"/>
    </row>
    <row r="16" spans="1:8" x14ac:dyDescent="0.4">
      <c r="B16" s="52" t="s">
        <v>655</v>
      </c>
      <c r="C16" s="76" t="str">
        <f>IF(기초자료입력!C12&lt;&gt;"",기초자료입력!C12&amp;" 관련 교복 학교주관구매 참여 및 지원 방법, 기타 교복관련 사항","교복 학교주관구매 참여 및 지원 방법, 기타 교복관련 사항")</f>
        <v>교복 학교주관구매 참여 및 지원 방법, 기타 교복관련 사항</v>
      </c>
      <c r="D16" s="76"/>
      <c r="E16" s="76"/>
      <c r="F16" s="76"/>
      <c r="G16" s="76"/>
      <c r="H16" s="76"/>
    </row>
    <row r="17" spans="2:8" x14ac:dyDescent="0.4">
      <c r="B17" s="37"/>
      <c r="C17" s="37"/>
      <c r="D17" s="37"/>
      <c r="E17" s="37"/>
      <c r="F17" s="37"/>
      <c r="G17" s="37"/>
      <c r="H17" s="37"/>
    </row>
    <row r="18" spans="2:8" x14ac:dyDescent="0.4">
      <c r="B18" s="81" t="s">
        <v>656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37"/>
      <c r="C20" s="37"/>
      <c r="D20" s="37"/>
      <c r="E20" s="37"/>
      <c r="F20" s="37"/>
      <c r="G20" s="37"/>
      <c r="H20" s="37"/>
    </row>
    <row r="21" spans="2:8" x14ac:dyDescent="0.4">
      <c r="B21" s="37"/>
      <c r="C21" s="37"/>
      <c r="D21" s="37"/>
      <c r="E21" s="37"/>
      <c r="F21" s="37"/>
      <c r="G21" s="37"/>
      <c r="H21" s="37"/>
    </row>
    <row r="22" spans="2:8" x14ac:dyDescent="0.4">
      <c r="B22" s="37"/>
      <c r="C22" s="37"/>
      <c r="D22" s="37"/>
      <c r="E22" s="37"/>
      <c r="F22" s="53" t="s">
        <v>280</v>
      </c>
      <c r="G22" s="53" t="s">
        <v>291</v>
      </c>
      <c r="H22" s="53" t="s">
        <v>281</v>
      </c>
    </row>
    <row r="23" spans="2:8" x14ac:dyDescent="0.4">
      <c r="B23" s="52" t="s">
        <v>292</v>
      </c>
      <c r="C23" s="76" t="str">
        <f>IF(기초자료입력!C9&lt;&gt;"",기초자료입력!C9,"")</f>
        <v/>
      </c>
      <c r="D23" s="76"/>
      <c r="E23" s="76"/>
      <c r="F23" s="53" t="s">
        <v>293</v>
      </c>
      <c r="G23" s="89"/>
      <c r="H23" s="89"/>
    </row>
    <row r="24" spans="2:8" x14ac:dyDescent="0.4">
      <c r="B24" s="52" t="s">
        <v>294</v>
      </c>
      <c r="C24" s="37"/>
      <c r="D24" s="52" t="s">
        <v>295</v>
      </c>
      <c r="E24" s="76"/>
      <c r="F24" s="89"/>
      <c r="G24" s="89"/>
      <c r="H24" s="89"/>
    </row>
    <row r="25" spans="2:8" x14ac:dyDescent="0.4">
      <c r="B25" s="52" t="s">
        <v>296</v>
      </c>
      <c r="C25" s="37"/>
      <c r="D25" s="52" t="s">
        <v>297</v>
      </c>
      <c r="E25" s="37"/>
      <c r="F25" s="53" t="s">
        <v>298</v>
      </c>
      <c r="G25" s="89"/>
      <c r="H25" s="89"/>
    </row>
  </sheetData>
  <mergeCells count="14">
    <mergeCell ref="B11:H11"/>
    <mergeCell ref="G2:H2"/>
    <mergeCell ref="B3:H4"/>
    <mergeCell ref="C7:H7"/>
    <mergeCell ref="C8:H8"/>
    <mergeCell ref="C9:H9"/>
    <mergeCell ref="E24:H24"/>
    <mergeCell ref="G25:H25"/>
    <mergeCell ref="B13:H13"/>
    <mergeCell ref="C15:H15"/>
    <mergeCell ref="C16:H16"/>
    <mergeCell ref="B18:H18"/>
    <mergeCell ref="C23:E23"/>
    <mergeCell ref="G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E8E0C-EB66-4798-9315-A3AE10036116}">
  <sheetPr codeName="Sheet19"/>
  <dimension ref="A1:I37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8" width="9.69921875" customWidth="1"/>
  </cols>
  <sheetData>
    <row r="1" spans="1:9" x14ac:dyDescent="0.4">
      <c r="A1" s="20" t="s">
        <v>632</v>
      </c>
    </row>
    <row r="2" spans="1:9" x14ac:dyDescent="0.4">
      <c r="I2" s="35" t="s">
        <v>633</v>
      </c>
    </row>
    <row r="3" spans="1:9" x14ac:dyDescent="0.4">
      <c r="B3" s="87" t="s">
        <v>634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276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277</v>
      </c>
      <c r="C7" s="89" t="s">
        <v>497</v>
      </c>
      <c r="D7" s="89"/>
      <c r="E7" s="89"/>
      <c r="F7" s="89"/>
      <c r="G7" s="89"/>
      <c r="H7" s="89"/>
    </row>
    <row r="8" spans="1:9" x14ac:dyDescent="0.4">
      <c r="B8" s="53" t="s">
        <v>284</v>
      </c>
      <c r="C8" s="89"/>
      <c r="D8" s="89"/>
      <c r="E8" s="89"/>
      <c r="F8" s="89"/>
      <c r="G8" s="89"/>
      <c r="H8" s="89"/>
    </row>
    <row r="9" spans="1:9" x14ac:dyDescent="0.4">
      <c r="B9" s="53" t="s">
        <v>278</v>
      </c>
      <c r="C9" s="91" t="str">
        <f>IF(기초자료입력!C22&lt;&gt;"",기초자료입력!C22,IF(기초자료입력!C5&lt;&gt;"",기초자료입력!C5,"20○○")&amp;"학년도 교복 학교주관구매 계약 체결")</f>
        <v>20○○학년도 교복 학교주관구매 계약 체결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285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x14ac:dyDescent="0.4">
      <c r="B13" s="86" t="str">
        <f>"2. "&amp;IF(기초자료입력!C5&lt;&gt;"",기초자료입력!C5,"20○○")&amp;"학년도 교복 학교주관구매를 위한 계약을 아래와 같이 체결하고자 합니다."</f>
        <v>2. 20○○학년도 교복 학교주관구매를 위한 계약을 아래와 같이 체결하고자 합니다.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635</v>
      </c>
      <c r="C15" s="76" t="str">
        <f>IF(기초자료입력!C12&lt;&gt;"",IF(기초자료입력!C5&lt;&gt;"",기초자료입력!C5&amp;"학년도 ","")&amp;기초자료입력!C12,"")</f>
        <v/>
      </c>
      <c r="D15" s="76"/>
      <c r="E15" s="76"/>
      <c r="F15" s="76"/>
      <c r="G15" s="76"/>
      <c r="H15" s="76"/>
    </row>
    <row r="16" spans="1:9" x14ac:dyDescent="0.4">
      <c r="B16" s="52" t="s">
        <v>636</v>
      </c>
      <c r="C16" s="99"/>
      <c r="D16" s="76"/>
      <c r="E16" s="76" t="s">
        <v>637</v>
      </c>
      <c r="F16" s="76"/>
      <c r="G16" s="76"/>
      <c r="H16" s="76"/>
    </row>
    <row r="17" spans="2:8" x14ac:dyDescent="0.4">
      <c r="B17" s="52" t="s">
        <v>638</v>
      </c>
      <c r="C17" s="76" t="str">
        <f>IF(AND(C16&lt;&gt;"",기초자료입력!C16&lt;&gt;""),"금"&amp;TEXT(C16*기초자료입력!C16,"#,##0")&amp;"원["&amp;TEXT(C16,"#,##0")&amp;"원(단가)×"&amp;기초자료입력!C16&amp;"벌(예정수량)]","")</f>
        <v/>
      </c>
      <c r="D17" s="76"/>
      <c r="E17" s="76"/>
      <c r="F17" s="76"/>
      <c r="G17" s="76"/>
      <c r="H17" s="76"/>
    </row>
    <row r="18" spans="2:8" x14ac:dyDescent="0.4">
      <c r="B18" s="76" t="s">
        <v>639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81" t="s">
        <v>640</v>
      </c>
      <c r="C20" s="76"/>
      <c r="D20" s="76"/>
      <c r="E20" s="76"/>
      <c r="F20" s="76"/>
      <c r="G20" s="76"/>
      <c r="H20" s="76"/>
    </row>
    <row r="21" spans="2:8" x14ac:dyDescent="0.4">
      <c r="B21" s="31" t="s">
        <v>60</v>
      </c>
      <c r="C21" s="31" t="s">
        <v>641</v>
      </c>
      <c r="D21" s="31" t="s">
        <v>369</v>
      </c>
      <c r="E21" s="31" t="s">
        <v>421</v>
      </c>
      <c r="F21" s="76"/>
      <c r="G21" s="76"/>
      <c r="H21" s="76"/>
    </row>
    <row r="22" spans="2:8" x14ac:dyDescent="0.4">
      <c r="B22" s="36">
        <f>IFERROR(INDEX(기초자료입력!$B$44:$B$53,I3),"")</f>
        <v>0</v>
      </c>
      <c r="C22" s="36"/>
      <c r="D22" s="36"/>
      <c r="E22" s="36"/>
      <c r="F22" s="76"/>
      <c r="G22" s="76"/>
      <c r="H22" s="76"/>
    </row>
    <row r="23" spans="2:8" x14ac:dyDescent="0.4">
      <c r="B23" s="37"/>
      <c r="C23" s="37"/>
      <c r="D23" s="37"/>
      <c r="E23" s="37"/>
      <c r="F23" s="37"/>
      <c r="G23" s="37"/>
      <c r="H23" s="37"/>
    </row>
    <row r="24" spans="2:8" x14ac:dyDescent="0.4">
      <c r="B24" s="98" t="s">
        <v>642</v>
      </c>
      <c r="C24" s="86"/>
      <c r="D24" s="86"/>
      <c r="E24" s="86"/>
      <c r="F24" s="86"/>
      <c r="G24" s="86"/>
      <c r="H24" s="86"/>
    </row>
    <row r="25" spans="2:8" x14ac:dyDescent="0.4">
      <c r="B25" s="76" t="str">
        <f>"5. 납품기한："&amp;IF(기초자료입력!C17&lt;&gt;"",TEXT(기초자료입력!C17,"yyyy.mm.dd."),"")</f>
        <v>5. 납품기한：</v>
      </c>
      <c r="C25" s="76"/>
      <c r="D25" s="76"/>
      <c r="E25" s="76"/>
      <c r="F25" s="76"/>
      <c r="G25" s="76"/>
      <c r="H25" s="76"/>
    </row>
    <row r="26" spans="2:8" x14ac:dyDescent="0.4">
      <c r="B26" s="81" t="s">
        <v>643</v>
      </c>
      <c r="C26" s="76"/>
      <c r="D26" s="76"/>
      <c r="E26" s="76"/>
      <c r="F26" s="76"/>
      <c r="G26" s="76"/>
      <c r="H26" s="76"/>
    </row>
    <row r="27" spans="2:8" x14ac:dyDescent="0.4">
      <c r="B27" s="37"/>
      <c r="C27" s="37"/>
      <c r="D27" s="37"/>
      <c r="E27" s="37"/>
      <c r="F27" s="37"/>
      <c r="G27" s="37"/>
      <c r="H27" s="37"/>
    </row>
    <row r="28" spans="2:8" x14ac:dyDescent="0.4">
      <c r="B28" s="76" t="s">
        <v>644</v>
      </c>
      <c r="C28" s="76"/>
      <c r="D28" s="76"/>
      <c r="E28" s="76"/>
      <c r="F28" s="76"/>
      <c r="G28" s="76"/>
      <c r="H28" s="76"/>
    </row>
    <row r="29" spans="2:8" x14ac:dyDescent="0.4">
      <c r="B29" s="76" t="s">
        <v>645</v>
      </c>
      <c r="C29" s="76"/>
      <c r="D29" s="76"/>
      <c r="E29" s="76"/>
      <c r="F29" s="76"/>
      <c r="G29" s="76"/>
      <c r="H29" s="76"/>
    </row>
    <row r="30" spans="2:8" x14ac:dyDescent="0.4">
      <c r="B30" s="76" t="s">
        <v>646</v>
      </c>
      <c r="C30" s="76"/>
      <c r="D30" s="76"/>
      <c r="E30" s="76"/>
      <c r="F30" s="76"/>
      <c r="G30" s="76"/>
      <c r="H30" s="76"/>
    </row>
    <row r="31" spans="2:8" x14ac:dyDescent="0.4">
      <c r="B31" s="76" t="s">
        <v>647</v>
      </c>
      <c r="C31" s="76"/>
      <c r="D31" s="76"/>
      <c r="E31" s="76"/>
      <c r="F31" s="76"/>
      <c r="G31" s="76"/>
      <c r="H31" s="76"/>
    </row>
    <row r="32" spans="2:8" x14ac:dyDescent="0.4">
      <c r="B32" s="76" t="s">
        <v>648</v>
      </c>
      <c r="C32" s="76"/>
      <c r="D32" s="76"/>
      <c r="E32" s="76"/>
      <c r="F32" s="76"/>
      <c r="G32" s="76"/>
      <c r="H32" s="76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53" t="s">
        <v>280</v>
      </c>
      <c r="G34" s="53" t="s">
        <v>291</v>
      </c>
      <c r="H34" s="53" t="s">
        <v>281</v>
      </c>
    </row>
    <row r="35" spans="2:8" x14ac:dyDescent="0.4">
      <c r="B35" s="52" t="s">
        <v>292</v>
      </c>
      <c r="C35" s="76" t="str">
        <f>IF(기초자료입력!C9&lt;&gt;"",기초자료입력!C9,"")</f>
        <v/>
      </c>
      <c r="D35" s="76"/>
      <c r="E35" s="76"/>
      <c r="F35" s="53" t="s">
        <v>293</v>
      </c>
      <c r="G35" s="89"/>
      <c r="H35" s="89"/>
    </row>
    <row r="36" spans="2:8" x14ac:dyDescent="0.4">
      <c r="B36" s="52" t="s">
        <v>294</v>
      </c>
      <c r="C36" s="37"/>
      <c r="D36" s="52" t="s">
        <v>295</v>
      </c>
      <c r="E36" s="76"/>
      <c r="F36" s="89"/>
      <c r="G36" s="89"/>
      <c r="H36" s="89"/>
    </row>
    <row r="37" spans="2:8" x14ac:dyDescent="0.4">
      <c r="B37" s="52" t="s">
        <v>296</v>
      </c>
      <c r="C37" s="37"/>
      <c r="D37" s="52" t="s">
        <v>297</v>
      </c>
      <c r="E37" s="37"/>
      <c r="F37" s="53" t="s">
        <v>298</v>
      </c>
      <c r="G37" s="89"/>
      <c r="H37" s="89"/>
    </row>
  </sheetData>
  <mergeCells count="26">
    <mergeCell ref="B13:H13"/>
    <mergeCell ref="B3:H4"/>
    <mergeCell ref="C7:H7"/>
    <mergeCell ref="C8:H8"/>
    <mergeCell ref="C9:H9"/>
    <mergeCell ref="C11:H11"/>
    <mergeCell ref="B28:H28"/>
    <mergeCell ref="C15:H15"/>
    <mergeCell ref="C16:D16"/>
    <mergeCell ref="E16:H16"/>
    <mergeCell ref="C17:H17"/>
    <mergeCell ref="B18:H18"/>
    <mergeCell ref="B20:H20"/>
    <mergeCell ref="F21:H21"/>
    <mergeCell ref="F22:H22"/>
    <mergeCell ref="B24:H24"/>
    <mergeCell ref="B25:H25"/>
    <mergeCell ref="B26:H26"/>
    <mergeCell ref="E36:H36"/>
    <mergeCell ref="G37:H37"/>
    <mergeCell ref="B29:H29"/>
    <mergeCell ref="B30:H30"/>
    <mergeCell ref="B31:H31"/>
    <mergeCell ref="B32:H32"/>
    <mergeCell ref="C35:E35"/>
    <mergeCell ref="G35:H35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3AF38-EA5F-4D5D-B3E9-08B4A7BC540A}">
  <sheetPr codeName="Sheet20"/>
  <dimension ref="A1:I29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7.69921875" customWidth="1"/>
    <col min="4" max="5" width="9.69921875" customWidth="1"/>
    <col min="6" max="6" width="13.69921875" customWidth="1"/>
    <col min="7" max="8" width="9.69921875" customWidth="1"/>
  </cols>
  <sheetData>
    <row r="1" spans="1:9" x14ac:dyDescent="0.4">
      <c r="A1" s="20" t="s">
        <v>622</v>
      </c>
    </row>
    <row r="2" spans="1:9" x14ac:dyDescent="0.4">
      <c r="I2" s="35" t="s">
        <v>611</v>
      </c>
    </row>
    <row r="3" spans="1:9" x14ac:dyDescent="0.4">
      <c r="B3" s="87" t="s">
        <v>623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276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277</v>
      </c>
      <c r="C7" s="89">
        <f>IFERROR(INDEX(기초자료입력!$B$44:$B$53,I3),"")</f>
        <v>0</v>
      </c>
      <c r="D7" s="89"/>
      <c r="E7" s="89"/>
      <c r="F7" s="89"/>
      <c r="G7" s="89"/>
      <c r="H7" s="89"/>
    </row>
    <row r="8" spans="1:9" x14ac:dyDescent="0.4">
      <c r="B8" s="53" t="s">
        <v>284</v>
      </c>
      <c r="C8" s="89"/>
      <c r="D8" s="89"/>
      <c r="E8" s="89"/>
      <c r="F8" s="89"/>
      <c r="G8" s="89"/>
      <c r="H8" s="89"/>
    </row>
    <row r="9" spans="1:9" x14ac:dyDescent="0.4">
      <c r="B9" s="53" t="s">
        <v>278</v>
      </c>
      <c r="C9" s="91" t="str">
        <f>IF(기초자료입력!C22&lt;&gt;"",기초자료입력!C22,IF(기초자료입력!C5&lt;&gt;"",기초자료입력!C5,"20○○")&amp;"년도 교복 학교주관 구매 낙찰자 결정 통보")</f>
        <v>20○○년도 교복 학교주관 구매 낙찰자 결정 통보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81" t="s">
        <v>624</v>
      </c>
      <c r="C11" s="76"/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40.049999999999997" customHeight="1" x14ac:dyDescent="0.4">
      <c r="B13" s="86" t="str">
        <f>"2. 우리학교 "&amp;IF(기초자료입력!C5&lt;&gt;"",기초자료입력!C5,"20○○")&amp;"학년도 교복 학교주관구매 건에 대하여 귀사를 낙찰자로 결정하여 통보하오니 전자계약[나라장터(G2B)] 체결을 위해 아래 서류를 "&amp;IF(기초자료입력!C18&lt;&gt;"",TEXT(기초자료입력!C18,"yyyy.mm.dd."),"20○○.○○.○○")&amp;"까지 제출하여 주시기 바랍니다."</f>
        <v>2. 우리학교 20○○학년도 교복 학교주관구매 건에 대하여 귀사를 낙찰자로 결정하여 통보하오니 전자계약[나라장터(G2B)] 체결을 위해 아래 서류를 20○○.○○.○○까지 제출하여 주시기 바랍니다.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81" t="s">
        <v>625</v>
      </c>
      <c r="C15" s="76"/>
      <c r="D15" s="76"/>
      <c r="E15" s="76"/>
      <c r="F15" s="76"/>
      <c r="G15" s="76"/>
      <c r="H15" s="76"/>
    </row>
    <row r="16" spans="1:9" x14ac:dyDescent="0.4">
      <c r="B16" s="31" t="s">
        <v>60</v>
      </c>
      <c r="C16" s="31" t="s">
        <v>369</v>
      </c>
      <c r="D16" s="31" t="s">
        <v>56</v>
      </c>
      <c r="E16" s="31" t="s">
        <v>36</v>
      </c>
      <c r="F16" s="59" t="s">
        <v>626</v>
      </c>
      <c r="G16" s="31" t="s">
        <v>303</v>
      </c>
      <c r="H16" s="37"/>
    </row>
    <row r="17" spans="2:8" x14ac:dyDescent="0.4">
      <c r="B17" s="36">
        <f>IFERROR(INDEX(기초자료입력!$B$44:$B$53,I3),"")</f>
        <v>0</v>
      </c>
      <c r="C17" s="36"/>
      <c r="D17" s="57"/>
      <c r="E17" s="36" t="str">
        <f>IF(기초자료입력!C16&lt;&gt;"",기초자료입력!C16,"")</f>
        <v/>
      </c>
      <c r="F17" s="57"/>
      <c r="G17" s="36"/>
      <c r="H17" s="37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1" t="s">
        <v>627</v>
      </c>
      <c r="C19" s="76"/>
      <c r="D19" s="76"/>
      <c r="E19" s="76"/>
      <c r="F19" s="76"/>
      <c r="G19" s="76"/>
      <c r="H19" s="76"/>
    </row>
    <row r="20" spans="2:8" x14ac:dyDescent="0.4">
      <c r="B20" s="76" t="s">
        <v>628</v>
      </c>
      <c r="C20" s="76"/>
      <c r="D20" s="76"/>
      <c r="E20" s="76"/>
      <c r="F20" s="76"/>
      <c r="G20" s="76"/>
      <c r="H20" s="76"/>
    </row>
    <row r="21" spans="2:8" x14ac:dyDescent="0.4">
      <c r="B21" s="76" t="s">
        <v>629</v>
      </c>
      <c r="C21" s="76"/>
      <c r="D21" s="76"/>
      <c r="E21" s="76"/>
      <c r="F21" s="76"/>
      <c r="G21" s="76"/>
      <c r="H21" s="76"/>
    </row>
    <row r="22" spans="2:8" x14ac:dyDescent="0.4">
      <c r="B22" s="76" t="s">
        <v>630</v>
      </c>
      <c r="C22" s="76"/>
      <c r="D22" s="76"/>
      <c r="E22" s="76"/>
      <c r="F22" s="76"/>
      <c r="G22" s="76"/>
      <c r="H22" s="76"/>
    </row>
    <row r="23" spans="2:8" x14ac:dyDescent="0.4">
      <c r="B23" s="76" t="s">
        <v>631</v>
      </c>
      <c r="C23" s="76"/>
      <c r="D23" s="76"/>
      <c r="E23" s="76"/>
      <c r="F23" s="76"/>
      <c r="G23" s="76"/>
      <c r="H23" s="76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280</v>
      </c>
      <c r="G26" s="53" t="s">
        <v>291</v>
      </c>
      <c r="H26" s="53" t="s">
        <v>281</v>
      </c>
    </row>
    <row r="27" spans="2:8" x14ac:dyDescent="0.4">
      <c r="B27" s="52" t="s">
        <v>292</v>
      </c>
      <c r="C27" s="76" t="str">
        <f>IF(기초자료입력!C9&lt;&gt;"",기초자료입력!C9,"")</f>
        <v/>
      </c>
      <c r="D27" s="76"/>
      <c r="E27" s="76"/>
      <c r="F27" s="53" t="s">
        <v>293</v>
      </c>
      <c r="G27" s="89"/>
      <c r="H27" s="89"/>
    </row>
    <row r="28" spans="2:8" x14ac:dyDescent="0.4">
      <c r="B28" s="52" t="s">
        <v>294</v>
      </c>
      <c r="C28" s="37"/>
      <c r="D28" s="52" t="s">
        <v>295</v>
      </c>
      <c r="E28" s="76"/>
      <c r="F28" s="89"/>
      <c r="G28" s="89"/>
      <c r="H28" s="89"/>
    </row>
    <row r="29" spans="2:8" x14ac:dyDescent="0.4">
      <c r="B29" s="52" t="s">
        <v>296</v>
      </c>
      <c r="C29" s="37"/>
      <c r="D29" s="52" t="s">
        <v>297</v>
      </c>
      <c r="E29" s="37"/>
      <c r="F29" s="53" t="s">
        <v>298</v>
      </c>
      <c r="G29" s="89"/>
      <c r="H29" s="89"/>
    </row>
  </sheetData>
  <mergeCells count="16">
    <mergeCell ref="B13:H13"/>
    <mergeCell ref="B3:H4"/>
    <mergeCell ref="C7:H7"/>
    <mergeCell ref="C8:H8"/>
    <mergeCell ref="C9:H9"/>
    <mergeCell ref="B11:H11"/>
    <mergeCell ref="C27:E27"/>
    <mergeCell ref="G27:H27"/>
    <mergeCell ref="E28:H28"/>
    <mergeCell ref="G29:H29"/>
    <mergeCell ref="B15:H15"/>
    <mergeCell ref="B19:H19"/>
    <mergeCell ref="B20:H20"/>
    <mergeCell ref="B21:H21"/>
    <mergeCell ref="B22:H22"/>
    <mergeCell ref="B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B10EF-9B3B-45DB-A0BE-987801DEADD4}">
  <sheetPr codeName="Sheet21"/>
  <dimension ref="A1:I29"/>
  <sheetViews>
    <sheetView workbookViewId="0"/>
  </sheetViews>
  <sheetFormatPr defaultRowHeight="17.399999999999999" x14ac:dyDescent="0.4"/>
  <cols>
    <col min="1" max="1" width="3.19921875" customWidth="1"/>
    <col min="2" max="8" width="9.69921875" customWidth="1"/>
  </cols>
  <sheetData>
    <row r="1" spans="1:9" x14ac:dyDescent="0.4">
      <c r="A1" s="20" t="s">
        <v>610</v>
      </c>
    </row>
    <row r="2" spans="1:9" x14ac:dyDescent="0.4">
      <c r="I2" s="35" t="s">
        <v>611</v>
      </c>
    </row>
    <row r="3" spans="1:9" x14ac:dyDescent="0.4">
      <c r="B3" s="87" t="s">
        <v>612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276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277</v>
      </c>
      <c r="C7" s="89" t="s">
        <v>497</v>
      </c>
      <c r="D7" s="89"/>
      <c r="E7" s="89"/>
      <c r="F7" s="89"/>
      <c r="G7" s="89"/>
      <c r="H7" s="89"/>
    </row>
    <row r="8" spans="1:9" x14ac:dyDescent="0.4">
      <c r="B8" s="53" t="s">
        <v>284</v>
      </c>
      <c r="C8" s="89"/>
      <c r="D8" s="89"/>
      <c r="E8" s="89"/>
      <c r="F8" s="89"/>
      <c r="G8" s="89"/>
      <c r="H8" s="89"/>
    </row>
    <row r="9" spans="1:9" x14ac:dyDescent="0.4">
      <c r="B9" s="53" t="s">
        <v>278</v>
      </c>
      <c r="C9" s="91" t="str">
        <f>IF(기초자료입력!C22&lt;&gt;"",기초자료입력!C22,IF(기초자료입력!C5&lt;&gt;"",기초자료입력!C5,"20○○")&amp;"년도 교복 학교주관구매 낙찰자 결정")</f>
        <v>20○○년도 교복 학교주관구매 낙찰자 결정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285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28.05" customHeight="1" x14ac:dyDescent="0.4">
      <c r="B13" s="86" t="str">
        <f>"2. "&amp;IF(기초자료입력!C5&lt;&gt;"",기초자료입력!C5,"20○○")&amp;"년도 교복 학교주관구매 건에 대해 개찰 결과 예정가격 대비 최저가격으로 투찰하여 1순위가 된 아래 업체를 낙찰자로 결정하고자 합니다."</f>
        <v>2. 20○○년도 교복 학교주관구매 건에 대해 개찰 결과 예정가격 대비 최저가격으로 투찰하여 1순위가 된 아래 업체를 낙찰자로 결정하고자 합니다.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613</v>
      </c>
      <c r="C15" s="76" t="str">
        <f>IF(기초자료입력!C12&lt;&gt;"",IF(기초자료입력!C5&lt;&gt;"",기초자료입력!C5&amp;"학년도 ","")&amp;기초자료입력!C12,"")</f>
        <v/>
      </c>
      <c r="D15" s="76"/>
      <c r="E15" s="76"/>
      <c r="F15" s="76"/>
      <c r="G15" s="76"/>
      <c r="H15" s="76"/>
    </row>
    <row r="16" spans="1:9" x14ac:dyDescent="0.4">
      <c r="B16" s="52" t="s">
        <v>614</v>
      </c>
      <c r="C16" s="76" t="str">
        <f>IF(기초자료입력!C15&lt;&gt;"","금"&amp;TEXT(기초자료입력!C15,"#,##0")&amp;"원","")</f>
        <v/>
      </c>
      <c r="D16" s="76"/>
      <c r="E16" s="76"/>
      <c r="F16" s="76"/>
      <c r="G16" s="76"/>
      <c r="H16" s="76"/>
    </row>
    <row r="17" spans="2:8" x14ac:dyDescent="0.4">
      <c r="B17" s="52" t="s">
        <v>615</v>
      </c>
      <c r="C17" s="92"/>
      <c r="D17" s="76"/>
      <c r="E17" s="76"/>
      <c r="F17" s="76"/>
      <c r="G17" s="76"/>
      <c r="H17" s="76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1" t="s">
        <v>616</v>
      </c>
      <c r="C19" s="76"/>
      <c r="D19" s="76"/>
      <c r="E19" s="76"/>
      <c r="F19" s="76"/>
      <c r="G19" s="76"/>
      <c r="H19" s="76"/>
    </row>
    <row r="20" spans="2:8" x14ac:dyDescent="0.4">
      <c r="B20" s="31" t="s">
        <v>617</v>
      </c>
      <c r="C20" s="31" t="s">
        <v>60</v>
      </c>
      <c r="D20" s="31" t="s">
        <v>369</v>
      </c>
      <c r="E20" s="31" t="s">
        <v>618</v>
      </c>
      <c r="F20" s="31" t="s">
        <v>619</v>
      </c>
      <c r="G20" s="31" t="s">
        <v>620</v>
      </c>
      <c r="H20" s="37"/>
    </row>
    <row r="21" spans="2:8" x14ac:dyDescent="0.4">
      <c r="B21" s="36">
        <v>1</v>
      </c>
      <c r="C21" s="36">
        <f>IFERROR(INDEX(기초자료입력!$B$44:$B$53,I3),"")</f>
        <v>0</v>
      </c>
      <c r="D21" s="36"/>
      <c r="E21" s="57"/>
      <c r="F21" s="58"/>
      <c r="G21" s="36"/>
      <c r="H21" s="37"/>
    </row>
    <row r="22" spans="2:8" x14ac:dyDescent="0.4">
      <c r="B22" s="37"/>
      <c r="C22" s="37"/>
      <c r="D22" s="37"/>
      <c r="E22" s="37"/>
      <c r="F22" s="37"/>
      <c r="G22" s="37"/>
      <c r="H22" s="37"/>
    </row>
    <row r="23" spans="2:8" x14ac:dyDescent="0.4">
      <c r="B23" s="98" t="s">
        <v>621</v>
      </c>
      <c r="C23" s="86"/>
      <c r="D23" s="86"/>
      <c r="E23" s="86"/>
      <c r="F23" s="86"/>
      <c r="G23" s="86"/>
      <c r="H23" s="86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280</v>
      </c>
      <c r="G26" s="53" t="s">
        <v>291</v>
      </c>
      <c r="H26" s="53" t="s">
        <v>281</v>
      </c>
    </row>
    <row r="27" spans="2:8" x14ac:dyDescent="0.4">
      <c r="B27" s="52" t="s">
        <v>292</v>
      </c>
      <c r="C27" s="76" t="str">
        <f>IF(기초자료입력!C9&lt;&gt;"",기초자료입력!C9,"")</f>
        <v/>
      </c>
      <c r="D27" s="76"/>
      <c r="E27" s="76"/>
      <c r="F27" s="53" t="s">
        <v>293</v>
      </c>
      <c r="G27" s="89"/>
      <c r="H27" s="89"/>
    </row>
    <row r="28" spans="2:8" x14ac:dyDescent="0.4">
      <c r="B28" s="52" t="s">
        <v>294</v>
      </c>
      <c r="C28" s="37"/>
      <c r="D28" s="52" t="s">
        <v>295</v>
      </c>
      <c r="E28" s="76"/>
      <c r="F28" s="89"/>
      <c r="G28" s="89"/>
      <c r="H28" s="89"/>
    </row>
    <row r="29" spans="2:8" x14ac:dyDescent="0.4">
      <c r="B29" s="52" t="s">
        <v>296</v>
      </c>
      <c r="C29" s="37"/>
      <c r="D29" s="52" t="s">
        <v>297</v>
      </c>
      <c r="E29" s="37"/>
      <c r="F29" s="53" t="s">
        <v>298</v>
      </c>
      <c r="G29" s="89"/>
      <c r="H29" s="89"/>
    </row>
  </sheetData>
  <mergeCells count="15">
    <mergeCell ref="B13:H13"/>
    <mergeCell ref="B3:H4"/>
    <mergeCell ref="C7:H7"/>
    <mergeCell ref="C8:H8"/>
    <mergeCell ref="C9:H9"/>
    <mergeCell ref="C11:H11"/>
    <mergeCell ref="E28:H28"/>
    <mergeCell ref="G29:H29"/>
    <mergeCell ref="C15:H15"/>
    <mergeCell ref="C16:H16"/>
    <mergeCell ref="C17:H17"/>
    <mergeCell ref="B19:H19"/>
    <mergeCell ref="B23:H23"/>
    <mergeCell ref="C27:E27"/>
    <mergeCell ref="G27:H2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7D341-60CC-4F6E-AA8F-E29CA16C9AC3}">
  <sheetPr codeName="Sheet22"/>
  <dimension ref="A1:H40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591</v>
      </c>
    </row>
    <row r="3" spans="1:8" x14ac:dyDescent="0.4">
      <c r="B3" s="74" t="str">
        <f>IF(기초자료입력!C4&lt;&gt;"",기초자료입력!C4,"○○학교")&amp;" 교복 학교주관구매 계획(안)"</f>
        <v>○○학교 교복 학교주관구매 계획(안)</v>
      </c>
      <c r="C3" s="73"/>
      <c r="D3" s="73"/>
      <c r="E3" s="73"/>
      <c r="F3" s="73"/>
      <c r="G3" s="73"/>
      <c r="H3" s="73"/>
    </row>
    <row r="4" spans="1:8" x14ac:dyDescent="0.4">
      <c r="B4" s="73"/>
      <c r="C4" s="73"/>
      <c r="D4" s="73"/>
      <c r="E4" s="73"/>
      <c r="F4" s="73"/>
      <c r="G4" s="73"/>
      <c r="H4" s="73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25" t="s">
        <v>592</v>
      </c>
      <c r="C6" s="100"/>
      <c r="D6" s="100"/>
      <c r="E6" s="100"/>
      <c r="F6" s="100"/>
      <c r="G6" s="100"/>
      <c r="H6" s="100"/>
    </row>
    <row r="7" spans="1:8" x14ac:dyDescent="0.4">
      <c r="B7" s="25" t="s">
        <v>593</v>
      </c>
      <c r="C7" s="100"/>
      <c r="D7" s="100"/>
      <c r="E7" s="100"/>
      <c r="F7" s="100"/>
      <c r="G7" s="100"/>
      <c r="H7" s="100"/>
    </row>
    <row r="8" spans="1:8" x14ac:dyDescent="0.4">
      <c r="B8" s="25" t="s">
        <v>594</v>
      </c>
      <c r="C8" s="100"/>
      <c r="D8" s="100"/>
      <c r="E8" s="100"/>
      <c r="F8" s="100"/>
      <c r="G8" s="100"/>
      <c r="H8" s="100"/>
    </row>
    <row r="9" spans="1:8" x14ac:dyDescent="0.4">
      <c r="B9" s="25" t="s">
        <v>595</v>
      </c>
      <c r="C9" s="100"/>
      <c r="D9" s="100"/>
      <c r="E9" s="100"/>
      <c r="F9" s="100"/>
      <c r="G9" s="100"/>
      <c r="H9" s="100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84" t="s">
        <v>596</v>
      </c>
      <c r="C11" s="83"/>
      <c r="D11" s="83"/>
      <c r="E11" s="83"/>
      <c r="F11" s="83"/>
      <c r="G11" s="83"/>
      <c r="H11" s="83"/>
    </row>
    <row r="12" spans="1:8" x14ac:dyDescent="0.4">
      <c r="B12" s="83" t="s">
        <v>597</v>
      </c>
      <c r="C12" s="83"/>
      <c r="D12" s="83"/>
      <c r="E12" s="83"/>
      <c r="F12" s="83"/>
      <c r="G12" s="83"/>
      <c r="H12" s="83"/>
    </row>
    <row r="13" spans="1:8" ht="28.05" customHeight="1" x14ac:dyDescent="0.4">
      <c r="B13" s="72" t="str">
        <f>"❍ 교복 가격의 안정화 및 교복 구매의 효율성 제고를 위한 "&amp;IF(기초자료입력!C4&lt;&gt;"",기초자료입력!C4,"○○학교")&amp;" "&amp;IF(기초자료입력!C5&lt;&gt;"",기초자료입력!C5,"○○")&amp;"학년도 교복 학교주관구매 계획(안)을 심의하고자 함."</f>
        <v>❍ 교복 가격의 안정화 및 교복 구매의 효율성 제고를 위한 ○○학교 ○○학년도 교복 학교주관구매 계획(안)을 심의하고자 함.</v>
      </c>
      <c r="C13" s="72"/>
      <c r="D13" s="72"/>
      <c r="E13" s="72"/>
      <c r="F13" s="72"/>
      <c r="G13" s="72"/>
      <c r="H13" s="7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4" t="s">
        <v>598</v>
      </c>
      <c r="C15" s="83"/>
      <c r="D15" s="83"/>
      <c r="E15" s="83"/>
      <c r="F15" s="83"/>
      <c r="G15" s="83"/>
      <c r="H15" s="83"/>
    </row>
    <row r="16" spans="1:8" x14ac:dyDescent="0.4">
      <c r="B16" s="84" t="s">
        <v>599</v>
      </c>
      <c r="C16" s="83"/>
      <c r="D16" s="83"/>
      <c r="E16" s="83"/>
      <c r="F16" s="83"/>
      <c r="G16" s="83"/>
      <c r="H16" s="83"/>
    </row>
    <row r="17" spans="2:8" x14ac:dyDescent="0.4">
      <c r="B17" s="83" t="s">
        <v>600</v>
      </c>
      <c r="C17" s="83"/>
      <c r="D17" s="83"/>
      <c r="E17" s="83"/>
      <c r="F17" s="83"/>
      <c r="G17" s="83"/>
      <c r="H17" s="83"/>
    </row>
    <row r="18" spans="2:8" x14ac:dyDescent="0.4">
      <c r="B18" s="83" t="s">
        <v>601</v>
      </c>
      <c r="C18" s="83"/>
      <c r="D18" s="83"/>
      <c r="E18" s="83"/>
      <c r="F18" s="83"/>
      <c r="G18" s="83"/>
      <c r="H18" s="83"/>
    </row>
    <row r="19" spans="2:8" x14ac:dyDescent="0.4">
      <c r="B19" s="84" t="s">
        <v>602</v>
      </c>
      <c r="C19" s="83"/>
      <c r="D19" s="83"/>
      <c r="E19" s="83"/>
      <c r="F19" s="83"/>
      <c r="G19" s="83"/>
      <c r="H19" s="83"/>
    </row>
    <row r="20" spans="2:8" x14ac:dyDescent="0.4">
      <c r="B20" s="83" t="s">
        <v>603</v>
      </c>
      <c r="C20" s="83"/>
      <c r="D20" s="83"/>
      <c r="E20" s="83"/>
      <c r="F20" s="83"/>
      <c r="G20" s="83"/>
      <c r="H20" s="83"/>
    </row>
    <row r="21" spans="2:8" x14ac:dyDescent="0.4">
      <c r="B21" s="84" t="s">
        <v>604</v>
      </c>
      <c r="C21" s="83"/>
      <c r="D21" s="83"/>
      <c r="E21" s="83"/>
      <c r="F21" s="83"/>
      <c r="G21" s="83"/>
      <c r="H21" s="83"/>
    </row>
    <row r="22" spans="2:8" x14ac:dyDescent="0.4">
      <c r="B22" s="83" t="str">
        <f>"❍ 하복："&amp;IF(SUM(기초자료입력!$D$33:$D$34)=0,"○○,○○○",TEXT(SUM(기초자료입력!$D$33:$D$34),"#,##0"))&amp;"원, 동복："&amp;IF(SUM(기초자료입력!$D$29:$D$32)=0,"○○○,○○○",TEXT(SUM(기초자료입력!$D$29:$D$32),"#,##0"))&amp;"원("&amp;IF(기초자료입력!C5&lt;&gt;"",기초자료입력!C5,"20○○")&amp;"년 기준)"</f>
        <v>❍ 하복：○○,○○○원, 동복：○○○,○○○원(20○○년 기준)</v>
      </c>
      <c r="C22" s="83"/>
      <c r="D22" s="83"/>
      <c r="E22" s="83"/>
      <c r="F22" s="83"/>
      <c r="G22" s="83"/>
      <c r="H22" s="83"/>
    </row>
    <row r="23" spans="2:8" x14ac:dyDescent="0.4">
      <c r="B23" s="84" t="s">
        <v>605</v>
      </c>
      <c r="C23" s="83"/>
      <c r="D23" s="83"/>
      <c r="E23" s="83"/>
      <c r="F23" s="83"/>
      <c r="G23" s="83"/>
      <c r="H23" s="83"/>
    </row>
    <row r="24" spans="2:8" x14ac:dyDescent="0.4">
      <c r="B24" s="83" t="s">
        <v>606</v>
      </c>
      <c r="C24" s="83"/>
      <c r="D24" s="83"/>
      <c r="E24" s="83"/>
      <c r="F24" s="83"/>
      <c r="G24" s="83"/>
      <c r="H24" s="83"/>
    </row>
    <row r="25" spans="2:8" x14ac:dyDescent="0.4">
      <c r="B25" s="26" t="s">
        <v>507</v>
      </c>
      <c r="C25" s="26" t="s">
        <v>314</v>
      </c>
      <c r="D25" s="26" t="s">
        <v>607</v>
      </c>
      <c r="E25" s="26" t="s">
        <v>509</v>
      </c>
      <c r="F25" s="101" t="s">
        <v>303</v>
      </c>
      <c r="G25" s="102"/>
      <c r="H25" s="102"/>
    </row>
    <row r="26" spans="2:8" x14ac:dyDescent="0.4">
      <c r="B26" s="22" t="str">
        <f>IF(기초자료입력!B58&lt;&gt;"",1,"")</f>
        <v/>
      </c>
      <c r="C26" s="22" t="str">
        <f>IF(기초자료입력!B58&lt;&gt;"","위원장","")</f>
        <v/>
      </c>
      <c r="D26" s="22" t="str">
        <f>IF(기초자료입력!B58&lt;&gt;"",기초자료입력!B58,"")</f>
        <v/>
      </c>
      <c r="E26" s="22" t="str">
        <f>IF(기초자료입력!C58&lt;&gt;"",기초자료입력!C58,"")</f>
        <v/>
      </c>
      <c r="F26" s="100"/>
      <c r="G26" s="100"/>
      <c r="H26" s="100"/>
    </row>
    <row r="27" spans="2:8" x14ac:dyDescent="0.4">
      <c r="B27" s="22" t="str">
        <f>IF(기초자료입력!B59&lt;&gt;"",2,"")</f>
        <v/>
      </c>
      <c r="C27" s="22" t="str">
        <f>IF(기초자료입력!B59&lt;&gt;"","위원","")</f>
        <v/>
      </c>
      <c r="D27" s="22" t="str">
        <f>IF(기초자료입력!B59&lt;&gt;"",기초자료입력!B59,"")</f>
        <v/>
      </c>
      <c r="E27" s="22" t="str">
        <f>IF(기초자료입력!C59&lt;&gt;"",기초자료입력!C59,"")</f>
        <v/>
      </c>
      <c r="F27" s="100"/>
      <c r="G27" s="100"/>
      <c r="H27" s="100"/>
    </row>
    <row r="28" spans="2:8" x14ac:dyDescent="0.4">
      <c r="B28" s="22" t="str">
        <f>IF(기초자료입력!B60&lt;&gt;"",3,"")</f>
        <v/>
      </c>
      <c r="C28" s="22" t="str">
        <f>IF(기초자료입력!B60&lt;&gt;"","위원","")</f>
        <v/>
      </c>
      <c r="D28" s="22" t="str">
        <f>IF(기초자료입력!B60&lt;&gt;"",기초자료입력!B60,"")</f>
        <v/>
      </c>
      <c r="E28" s="22" t="str">
        <f>IF(기초자료입력!C60&lt;&gt;"",기초자료입력!C60,"")</f>
        <v/>
      </c>
      <c r="F28" s="100"/>
      <c r="G28" s="100"/>
      <c r="H28" s="100"/>
    </row>
    <row r="29" spans="2:8" x14ac:dyDescent="0.4">
      <c r="B29" s="22" t="str">
        <f>IF(기초자료입력!B61&lt;&gt;"",4,"")</f>
        <v/>
      </c>
      <c r="C29" s="22" t="str">
        <f>IF(기초자료입력!B61&lt;&gt;"","위원","")</f>
        <v/>
      </c>
      <c r="D29" s="22" t="str">
        <f>IF(기초자료입력!B61&lt;&gt;"",기초자료입력!B61,"")</f>
        <v/>
      </c>
      <c r="E29" s="22" t="str">
        <f>IF(기초자료입력!C61&lt;&gt;"",기초자료입력!C61,"")</f>
        <v/>
      </c>
      <c r="F29" s="100"/>
      <c r="G29" s="100"/>
      <c r="H29" s="100"/>
    </row>
    <row r="30" spans="2:8" x14ac:dyDescent="0.4">
      <c r="B30" s="22" t="str">
        <f>IF(기초자료입력!B62&lt;&gt;"",5,"")</f>
        <v/>
      </c>
      <c r="C30" s="22" t="str">
        <f>IF(기초자료입력!B62&lt;&gt;"","위원","")</f>
        <v/>
      </c>
      <c r="D30" s="22" t="str">
        <f>IF(기초자료입력!B62&lt;&gt;"",기초자료입력!B62,"")</f>
        <v/>
      </c>
      <c r="E30" s="22" t="str">
        <f>IF(기초자료입력!C62&lt;&gt;"",기초자료입력!C62,"")</f>
        <v/>
      </c>
      <c r="F30" s="100"/>
      <c r="G30" s="100"/>
      <c r="H30" s="100"/>
    </row>
    <row r="31" spans="2:8" x14ac:dyDescent="0.4">
      <c r="B31" s="22" t="str">
        <f>IF(기초자료입력!B63&lt;&gt;"",6,"")</f>
        <v/>
      </c>
      <c r="C31" s="22" t="str">
        <f>IF(기초자료입력!B63&lt;&gt;"","위원","")</f>
        <v/>
      </c>
      <c r="D31" s="22" t="str">
        <f>IF(기초자료입력!B63&lt;&gt;"",기초자료입력!B63,"")</f>
        <v/>
      </c>
      <c r="E31" s="22" t="str">
        <f>IF(기초자료입력!C63&lt;&gt;"",기초자료입력!C63,"")</f>
        <v/>
      </c>
      <c r="F31" s="100"/>
      <c r="G31" s="100"/>
      <c r="H31" s="100"/>
    </row>
    <row r="32" spans="2:8" x14ac:dyDescent="0.4">
      <c r="B32" s="22" t="str">
        <f>IF(기초자료입력!B64&lt;&gt;"",7,"")</f>
        <v/>
      </c>
      <c r="C32" s="22" t="str">
        <f>IF(기초자료입력!B64&lt;&gt;"","위원","")</f>
        <v/>
      </c>
      <c r="D32" s="22" t="str">
        <f>IF(기초자료입력!B64&lt;&gt;"",기초자료입력!B64,"")</f>
        <v/>
      </c>
      <c r="E32" s="22" t="str">
        <f>IF(기초자료입력!C64&lt;&gt;"",기초자료입력!C64,"")</f>
        <v/>
      </c>
      <c r="F32" s="100"/>
      <c r="G32" s="100"/>
      <c r="H32" s="100"/>
    </row>
    <row r="33" spans="2:8" x14ac:dyDescent="0.4">
      <c r="B33" s="22" t="str">
        <f>IF(기초자료입력!B65&lt;&gt;"",8,"")</f>
        <v/>
      </c>
      <c r="C33" s="22" t="str">
        <f>IF(기초자료입력!B65&lt;&gt;"","위원","")</f>
        <v/>
      </c>
      <c r="D33" s="22" t="str">
        <f>IF(기초자료입력!B65&lt;&gt;"",기초자료입력!B65,"")</f>
        <v/>
      </c>
      <c r="E33" s="22" t="str">
        <f>IF(기초자료입력!C65&lt;&gt;"",기초자료입력!C65,"")</f>
        <v/>
      </c>
      <c r="F33" s="100"/>
      <c r="G33" s="100"/>
      <c r="H33" s="100"/>
    </row>
    <row r="34" spans="2:8" x14ac:dyDescent="0.4">
      <c r="B34" s="22" t="str">
        <f>IF(기초자료입력!B66&lt;&gt;"",9,"")</f>
        <v/>
      </c>
      <c r="C34" s="22" t="str">
        <f>IF(기초자료입력!B66&lt;&gt;"","위원","")</f>
        <v/>
      </c>
      <c r="D34" s="22" t="str">
        <f>IF(기초자료입력!B66&lt;&gt;"",기초자료입력!B66,"")</f>
        <v/>
      </c>
      <c r="E34" s="22" t="str">
        <f>IF(기초자료입력!C66&lt;&gt;"",기초자료입력!C66,"")</f>
        <v/>
      </c>
      <c r="F34" s="100"/>
      <c r="G34" s="100"/>
      <c r="H34" s="100"/>
    </row>
    <row r="35" spans="2:8" x14ac:dyDescent="0.4">
      <c r="B35" s="22" t="str">
        <f>IF(기초자료입력!B67&lt;&gt;"",10,"")</f>
        <v/>
      </c>
      <c r="C35" s="22" t="str">
        <f>IF(기초자료입력!B67&lt;&gt;"","위원","")</f>
        <v/>
      </c>
      <c r="D35" s="22" t="str">
        <f>IF(기초자료입력!B67&lt;&gt;"",기초자료입력!B67,"")</f>
        <v/>
      </c>
      <c r="E35" s="22" t="str">
        <f>IF(기초자료입력!C67&lt;&gt;"",기초자료입력!C67,"")</f>
        <v/>
      </c>
      <c r="F35" s="100"/>
      <c r="G35" s="100"/>
      <c r="H35" s="100"/>
    </row>
    <row r="36" spans="2:8" x14ac:dyDescent="0.4">
      <c r="B36" s="83" t="s">
        <v>608</v>
      </c>
      <c r="C36" s="83"/>
      <c r="D36" s="83"/>
      <c r="E36" s="83"/>
      <c r="F36" s="83"/>
      <c r="G36" s="83"/>
      <c r="H36" s="83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83" t="str">
        <f>"붙임  "&amp;IF(기초자료입력!C5&lt;&gt;"",기초자료입력!C5,"○○")&amp;"학년도 "&amp;IF(기초자료입력!C4&lt;&gt;"",기초자료입력!C4,"○○학교")&amp;" 교복 학교주관구매 계획안 1부.  끝."</f>
        <v>붙임  ○○학년도 ○○학교 교복 학교주관구매 계획안 1부.  끝.</v>
      </c>
      <c r="C38" s="83"/>
      <c r="D38" s="83"/>
      <c r="E38" s="83"/>
      <c r="F38" s="83"/>
      <c r="G38" s="83"/>
      <c r="H38" s="83"/>
    </row>
    <row r="39" spans="2:8" x14ac:dyDescent="0.4">
      <c r="B39" s="21"/>
      <c r="C39" s="21"/>
      <c r="D39" s="21"/>
      <c r="E39" s="21"/>
      <c r="F39" s="21"/>
      <c r="G39" s="21"/>
      <c r="H39" s="21"/>
    </row>
    <row r="40" spans="2:8" x14ac:dyDescent="0.4">
      <c r="B40" s="83" t="s">
        <v>609</v>
      </c>
      <c r="C40" s="83"/>
      <c r="D40" s="83"/>
      <c r="E40" s="83"/>
      <c r="F40" s="83"/>
      <c r="G40" s="83"/>
      <c r="H40" s="83"/>
    </row>
  </sheetData>
  <mergeCells count="32">
    <mergeCell ref="B18:H18"/>
    <mergeCell ref="B3:H4"/>
    <mergeCell ref="C6:H6"/>
    <mergeCell ref="C7:H7"/>
    <mergeCell ref="C8:H8"/>
    <mergeCell ref="C9:H9"/>
    <mergeCell ref="B11:H11"/>
    <mergeCell ref="B12:H12"/>
    <mergeCell ref="B13:H13"/>
    <mergeCell ref="B15:H15"/>
    <mergeCell ref="B16:H16"/>
    <mergeCell ref="B17:H17"/>
    <mergeCell ref="F30:H30"/>
    <mergeCell ref="B19:H19"/>
    <mergeCell ref="B20:H20"/>
    <mergeCell ref="B21:H21"/>
    <mergeCell ref="B22:H22"/>
    <mergeCell ref="B23:H23"/>
    <mergeCell ref="B24:H24"/>
    <mergeCell ref="F25:H25"/>
    <mergeCell ref="F26:H26"/>
    <mergeCell ref="F27:H27"/>
    <mergeCell ref="F28:H28"/>
    <mergeCell ref="F29:H29"/>
    <mergeCell ref="B38:H38"/>
    <mergeCell ref="B40:H40"/>
    <mergeCell ref="F31:H31"/>
    <mergeCell ref="F32:H32"/>
    <mergeCell ref="F33:H33"/>
    <mergeCell ref="F34:H34"/>
    <mergeCell ref="F35:H35"/>
    <mergeCell ref="B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CC033-8B55-475F-9606-E4EA44A62F1E}">
  <sheetPr codeName="Sheet23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522</v>
      </c>
      <c r="B1" s="87" t="str">
        <f>"2026학년도 교복 학교주관구매 추진 계획(안)"</f>
        <v>2026학년도 교복 학교주관구매 추진 계획(안)</v>
      </c>
      <c r="C1" s="88"/>
      <c r="D1" s="88"/>
      <c r="E1" s="88"/>
      <c r="F1" s="88"/>
      <c r="G1" s="88"/>
    </row>
    <row r="2" spans="1:7" ht="16.95" customHeight="1" x14ac:dyDescent="0.4">
      <c r="B2" s="71" t="str">
        <f>IF(기초자료입력!C4&lt;&gt;"",기초자료입력!C4&amp;"장",  "○○○학교장")</f>
        <v>○○○학교장</v>
      </c>
      <c r="C2" s="71"/>
      <c r="D2" s="71"/>
      <c r="E2" s="71"/>
      <c r="F2" s="71"/>
      <c r="G2" s="71"/>
    </row>
    <row r="3" spans="1:7" ht="6" customHeight="1" x14ac:dyDescent="0.4">
      <c r="B3" s="46"/>
      <c r="C3" s="37"/>
      <c r="D3" s="37"/>
      <c r="E3" s="37"/>
      <c r="F3" s="37"/>
      <c r="G3" s="37"/>
    </row>
    <row r="4" spans="1:7" x14ac:dyDescent="0.4">
      <c r="B4" s="37"/>
      <c r="C4" s="37"/>
      <c r="D4" s="37"/>
      <c r="E4" s="37"/>
      <c r="F4" s="37"/>
      <c r="G4" s="37"/>
    </row>
    <row r="5" spans="1:7" x14ac:dyDescent="0.4">
      <c r="B5" s="103" t="str">
        <f>"1  개요"</f>
        <v>1  개요</v>
      </c>
      <c r="C5" s="76"/>
      <c r="D5" s="76"/>
      <c r="E5" s="76"/>
      <c r="F5" s="76"/>
      <c r="G5" s="76"/>
    </row>
    <row r="6" spans="1:7" ht="16.95" customHeight="1" x14ac:dyDescent="0.4">
      <c r="B6" s="86" t="str">
        <f>"❍ 사업명："&amp;IF(기초자료입력!C5&lt;&gt;"",기초자료입력!C5,"20○○")&amp;"학년도 교복 학교주관구매"</f>
        <v>❍ 사업명：20○○학년도 교복 학교주관구매</v>
      </c>
      <c r="C6" s="86"/>
      <c r="D6" s="86"/>
      <c r="E6" s="86"/>
      <c r="F6" s="86"/>
      <c r="G6" s="86"/>
    </row>
    <row r="7" spans="1:7" ht="30" customHeight="1" x14ac:dyDescent="0.4">
      <c r="B7" s="86" t="s">
        <v>523</v>
      </c>
      <c r="C7" s="86"/>
      <c r="D7" s="86"/>
      <c r="E7" s="86"/>
      <c r="F7" s="86"/>
      <c r="G7" s="86"/>
    </row>
    <row r="8" spans="1:7" ht="30" customHeight="1" x14ac:dyDescent="0.4">
      <c r="B8" s="86" t="s">
        <v>524</v>
      </c>
      <c r="C8" s="86"/>
      <c r="D8" s="86"/>
      <c r="E8" s="86"/>
      <c r="F8" s="86"/>
      <c r="G8" s="86"/>
    </row>
    <row r="9" spans="1:7" ht="16.95" customHeight="1" x14ac:dyDescent="0.4">
      <c r="B9" s="86" t="s">
        <v>525</v>
      </c>
      <c r="C9" s="86"/>
      <c r="D9" s="86"/>
      <c r="E9" s="86"/>
      <c r="F9" s="86"/>
      <c r="G9" s="86"/>
    </row>
    <row r="10" spans="1:7" ht="16.95" customHeight="1" x14ac:dyDescent="0.4">
      <c r="B10" s="86" t="s">
        <v>526</v>
      </c>
      <c r="C10" s="86"/>
      <c r="D10" s="86"/>
      <c r="E10" s="86"/>
      <c r="F10" s="86"/>
      <c r="G10" s="86"/>
    </row>
    <row r="11" spans="1:7" ht="6" customHeight="1" x14ac:dyDescent="0.4">
      <c r="B11" s="37"/>
      <c r="C11" s="37"/>
      <c r="D11" s="37"/>
      <c r="E11" s="37"/>
      <c r="F11" s="37"/>
      <c r="G11" s="37"/>
    </row>
    <row r="12" spans="1:7" x14ac:dyDescent="0.4">
      <c r="B12" s="37"/>
      <c r="C12" s="37"/>
      <c r="D12" s="37"/>
      <c r="E12" s="37"/>
      <c r="F12" s="37"/>
      <c r="G12" s="37"/>
    </row>
    <row r="13" spans="1:7" x14ac:dyDescent="0.4">
      <c r="B13" s="103" t="str">
        <f>"2  기본방향"</f>
        <v>2  기본방향</v>
      </c>
      <c r="C13" s="76"/>
      <c r="D13" s="76"/>
      <c r="E13" s="76"/>
      <c r="F13" s="76"/>
      <c r="G13" s="76"/>
    </row>
    <row r="14" spans="1:7" ht="30" customHeight="1" x14ac:dyDescent="0.4">
      <c r="B14" s="86" t="s">
        <v>527</v>
      </c>
      <c r="C14" s="86"/>
      <c r="D14" s="86"/>
      <c r="E14" s="86"/>
      <c r="F14" s="86"/>
      <c r="G14" s="86"/>
    </row>
    <row r="15" spans="1:7" ht="30" customHeight="1" x14ac:dyDescent="0.4">
      <c r="B15" s="86" t="s">
        <v>528</v>
      </c>
      <c r="C15" s="86"/>
      <c r="D15" s="86"/>
      <c r="E15" s="86"/>
      <c r="F15" s="86"/>
      <c r="G15" s="86"/>
    </row>
    <row r="16" spans="1:7" ht="30" customHeight="1" x14ac:dyDescent="0.4">
      <c r="B16" s="86" t="s">
        <v>529</v>
      </c>
      <c r="C16" s="86"/>
      <c r="D16" s="86"/>
      <c r="E16" s="86"/>
      <c r="F16" s="86"/>
      <c r="G16" s="86"/>
    </row>
    <row r="17" spans="2:7" ht="6" customHeight="1" x14ac:dyDescent="0.4">
      <c r="B17" s="37"/>
      <c r="C17" s="37"/>
      <c r="D17" s="37"/>
      <c r="E17" s="37"/>
      <c r="F17" s="37"/>
      <c r="G17" s="37"/>
    </row>
    <row r="18" spans="2:7" x14ac:dyDescent="0.4">
      <c r="B18" s="37"/>
      <c r="C18" s="37"/>
      <c r="D18" s="37"/>
      <c r="E18" s="37"/>
      <c r="F18" s="37"/>
      <c r="G18" s="37"/>
    </row>
    <row r="19" spans="2:7" x14ac:dyDescent="0.4">
      <c r="B19" s="103" t="str">
        <f>"3  추진 절차 개요"</f>
        <v>3  추진 절차 개요</v>
      </c>
      <c r="C19" s="76"/>
      <c r="D19" s="76"/>
      <c r="E19" s="76"/>
      <c r="F19" s="76"/>
      <c r="G19" s="76"/>
    </row>
    <row r="20" spans="2:7" x14ac:dyDescent="0.4">
      <c r="B20" s="75" t="s">
        <v>530</v>
      </c>
      <c r="C20" s="89"/>
      <c r="D20" s="75" t="s">
        <v>531</v>
      </c>
      <c r="E20" s="89"/>
      <c r="F20" s="89"/>
      <c r="G20" s="31" t="s">
        <v>280</v>
      </c>
    </row>
    <row r="21" spans="2:7" ht="43.05" customHeight="1" x14ac:dyDescent="0.4">
      <c r="B21" s="106" t="s">
        <v>532</v>
      </c>
      <c r="C21" s="106"/>
      <c r="D21" s="106" t="s">
        <v>533</v>
      </c>
      <c r="E21" s="106"/>
      <c r="F21" s="106"/>
      <c r="G21" s="36" t="s">
        <v>534</v>
      </c>
    </row>
    <row r="22" spans="2:7" ht="30" customHeight="1" x14ac:dyDescent="0.4">
      <c r="B22" s="106" t="s">
        <v>535</v>
      </c>
      <c r="C22" s="106"/>
      <c r="D22" s="106" t="s">
        <v>536</v>
      </c>
      <c r="E22" s="106"/>
      <c r="F22" s="106"/>
      <c r="G22" s="36" t="s">
        <v>534</v>
      </c>
    </row>
    <row r="23" spans="2:7" ht="43.05" customHeight="1" x14ac:dyDescent="0.4">
      <c r="B23" s="106" t="s">
        <v>537</v>
      </c>
      <c r="C23" s="106"/>
      <c r="D23" s="106" t="s">
        <v>538</v>
      </c>
      <c r="E23" s="106"/>
      <c r="F23" s="106"/>
      <c r="G23" s="36" t="s">
        <v>539</v>
      </c>
    </row>
    <row r="24" spans="2:7" ht="30" customHeight="1" x14ac:dyDescent="0.4">
      <c r="B24" s="106" t="s">
        <v>540</v>
      </c>
      <c r="C24" s="106"/>
      <c r="D24" s="106" t="s">
        <v>541</v>
      </c>
      <c r="E24" s="106"/>
      <c r="F24" s="106"/>
      <c r="G24" s="36" t="s">
        <v>542</v>
      </c>
    </row>
    <row r="25" spans="2:7" ht="16.95" customHeight="1" x14ac:dyDescent="0.4">
      <c r="B25" s="106" t="s">
        <v>543</v>
      </c>
      <c r="C25" s="106"/>
      <c r="D25" s="106" t="s">
        <v>544</v>
      </c>
      <c r="E25" s="106"/>
      <c r="F25" s="106"/>
      <c r="G25" s="36" t="s">
        <v>539</v>
      </c>
    </row>
    <row r="26" spans="2:7" ht="30" customHeight="1" x14ac:dyDescent="0.4">
      <c r="B26" s="106" t="s">
        <v>545</v>
      </c>
      <c r="C26" s="106"/>
      <c r="D26" s="106" t="s">
        <v>546</v>
      </c>
      <c r="E26" s="106"/>
      <c r="F26" s="106"/>
      <c r="G26" s="36" t="s">
        <v>542</v>
      </c>
    </row>
    <row r="27" spans="2:7" ht="30" customHeight="1" x14ac:dyDescent="0.4">
      <c r="B27" s="106" t="s">
        <v>547</v>
      </c>
      <c r="C27" s="106"/>
      <c r="D27" s="106" t="s">
        <v>548</v>
      </c>
      <c r="E27" s="106"/>
      <c r="F27" s="106"/>
      <c r="G27" s="36" t="s">
        <v>534</v>
      </c>
    </row>
    <row r="28" spans="2:7" ht="43.05" customHeight="1" x14ac:dyDescent="0.4">
      <c r="B28" s="106" t="s">
        <v>549</v>
      </c>
      <c r="C28" s="106"/>
      <c r="D28" s="106" t="s">
        <v>550</v>
      </c>
      <c r="E28" s="106"/>
      <c r="F28" s="106"/>
      <c r="G28" s="36" t="s">
        <v>534</v>
      </c>
    </row>
    <row r="29" spans="2:7" ht="30" customHeight="1" x14ac:dyDescent="0.4">
      <c r="B29" s="106" t="s">
        <v>551</v>
      </c>
      <c r="C29" s="106"/>
      <c r="D29" s="106" t="s">
        <v>552</v>
      </c>
      <c r="E29" s="106"/>
      <c r="F29" s="106"/>
      <c r="G29" s="36" t="s">
        <v>542</v>
      </c>
    </row>
    <row r="30" spans="2:7" ht="30" customHeight="1" x14ac:dyDescent="0.4">
      <c r="B30" s="106" t="s">
        <v>553</v>
      </c>
      <c r="C30" s="106"/>
      <c r="D30" s="106" t="s">
        <v>554</v>
      </c>
      <c r="E30" s="106"/>
      <c r="F30" s="106"/>
      <c r="G30" s="36" t="s">
        <v>539</v>
      </c>
    </row>
    <row r="31" spans="2:7" ht="43.05" customHeight="1" x14ac:dyDescent="0.4">
      <c r="B31" s="106" t="s">
        <v>555</v>
      </c>
      <c r="C31" s="106"/>
      <c r="D31" s="106" t="s">
        <v>556</v>
      </c>
      <c r="E31" s="106"/>
      <c r="F31" s="106"/>
      <c r="G31" s="36" t="s">
        <v>542</v>
      </c>
    </row>
    <row r="32" spans="2:7" ht="6" customHeight="1" x14ac:dyDescent="0.4">
      <c r="B32" s="37"/>
      <c r="C32" s="37"/>
      <c r="D32" s="37"/>
      <c r="E32" s="37"/>
      <c r="F32" s="37"/>
      <c r="G32" s="37"/>
    </row>
    <row r="33" spans="2:7" x14ac:dyDescent="0.4">
      <c r="B33" s="37"/>
      <c r="C33" s="37"/>
      <c r="D33" s="37"/>
      <c r="E33" s="37"/>
      <c r="F33" s="37"/>
      <c r="G33" s="37"/>
    </row>
    <row r="34" spans="2:7" x14ac:dyDescent="0.4">
      <c r="B34" s="103" t="str">
        <f>"4  세부 추진 절차"</f>
        <v>4  세부 추진 절차</v>
      </c>
      <c r="C34" s="76"/>
      <c r="D34" s="76"/>
      <c r="E34" s="76"/>
      <c r="F34" s="76"/>
      <c r="G34" s="76"/>
    </row>
    <row r="35" spans="2:7" x14ac:dyDescent="0.4">
      <c r="B35" s="81" t="s">
        <v>557</v>
      </c>
      <c r="C35" s="76"/>
      <c r="D35" s="76"/>
      <c r="E35" s="76"/>
      <c r="F35" s="76"/>
      <c r="G35" s="76"/>
    </row>
    <row r="36" spans="2:7" ht="16.95" customHeight="1" x14ac:dyDescent="0.4">
      <c r="B36" s="86" t="s">
        <v>558</v>
      </c>
      <c r="C36" s="86"/>
      <c r="D36" s="86"/>
      <c r="E36" s="86"/>
      <c r="F36" s="86"/>
      <c r="G36" s="86"/>
    </row>
    <row r="37" spans="2:7" ht="43.05" customHeight="1" x14ac:dyDescent="0.4">
      <c r="B37" s="86" t="s">
        <v>559</v>
      </c>
      <c r="C37" s="86"/>
      <c r="D37" s="86"/>
      <c r="E37" s="86"/>
      <c r="F37" s="86"/>
      <c r="G37" s="86"/>
    </row>
    <row r="38" spans="2:7" ht="25.95" customHeight="1" x14ac:dyDescent="0.4">
      <c r="B38" s="86" t="s">
        <v>560</v>
      </c>
      <c r="C38" s="86"/>
      <c r="D38" s="86"/>
      <c r="E38" s="86"/>
      <c r="F38" s="86"/>
      <c r="G38" s="86"/>
    </row>
    <row r="39" spans="2:7" ht="6" customHeight="1" x14ac:dyDescent="0.4">
      <c r="B39" s="37"/>
      <c r="C39" s="37"/>
      <c r="D39" s="37"/>
      <c r="E39" s="37"/>
      <c r="F39" s="37"/>
      <c r="G39" s="37"/>
    </row>
    <row r="40" spans="2:7" x14ac:dyDescent="0.4">
      <c r="B40" s="81" t="s">
        <v>561</v>
      </c>
      <c r="C40" s="76"/>
      <c r="D40" s="76"/>
      <c r="E40" s="76"/>
      <c r="F40" s="76"/>
      <c r="G40" s="76"/>
    </row>
    <row r="41" spans="2:7" ht="30" customHeight="1" x14ac:dyDescent="0.4">
      <c r="B41" s="86" t="s">
        <v>562</v>
      </c>
      <c r="C41" s="86"/>
      <c r="D41" s="86"/>
      <c r="E41" s="86"/>
      <c r="F41" s="86"/>
      <c r="G41" s="86"/>
    </row>
    <row r="42" spans="2:7" x14ac:dyDescent="0.4">
      <c r="B42" s="31" t="s">
        <v>507</v>
      </c>
      <c r="C42" s="31" t="s">
        <v>314</v>
      </c>
      <c r="D42" s="31" t="s">
        <v>508</v>
      </c>
      <c r="E42" s="31" t="s">
        <v>509</v>
      </c>
      <c r="F42" s="75" t="s">
        <v>303</v>
      </c>
      <c r="G42" s="75"/>
    </row>
    <row r="43" spans="2:7" x14ac:dyDescent="0.4">
      <c r="B43" s="56" t="str">
        <f>IF(기초자료입력!B58&lt;&gt;"",1,"")</f>
        <v/>
      </c>
      <c r="C43" s="56" t="str">
        <f>IF(기초자료입력!B58&lt;&gt;"","위원장","")</f>
        <v/>
      </c>
      <c r="D43" s="56" t="str">
        <f>IF(기초자료입력!B58&lt;&gt;"",기초자료입력!B58,"")</f>
        <v/>
      </c>
      <c r="E43" s="56" t="str">
        <f>IF(기초자료입력!C58&lt;&gt;"",기초자료입력!C58,"")</f>
        <v/>
      </c>
      <c r="F43" s="105"/>
      <c r="G43" s="105"/>
    </row>
    <row r="44" spans="2:7" x14ac:dyDescent="0.4">
      <c r="B44" s="56" t="str">
        <f>IF(기초자료입력!B59&lt;&gt;"",2,"")</f>
        <v/>
      </c>
      <c r="C44" s="56" t="str">
        <f>IF(기초자료입력!B59&lt;&gt;"","위원","")</f>
        <v/>
      </c>
      <c r="D44" s="56" t="str">
        <f>IF(기초자료입력!B59&lt;&gt;"",기초자료입력!B59,"")</f>
        <v/>
      </c>
      <c r="E44" s="56" t="str">
        <f>IF(기초자료입력!C59&lt;&gt;"",기초자료입력!C59,"")</f>
        <v/>
      </c>
      <c r="F44" s="105"/>
      <c r="G44" s="105"/>
    </row>
    <row r="45" spans="2:7" x14ac:dyDescent="0.4">
      <c r="B45" s="56" t="str">
        <f>IF(기초자료입력!B60&lt;&gt;"",3,"")</f>
        <v/>
      </c>
      <c r="C45" s="56" t="str">
        <f>IF(기초자료입력!B60&lt;&gt;"","위원","")</f>
        <v/>
      </c>
      <c r="D45" s="56" t="str">
        <f>IF(기초자료입력!B60&lt;&gt;"",기초자료입력!B60,"")</f>
        <v/>
      </c>
      <c r="E45" s="56" t="str">
        <f>IF(기초자료입력!C60&lt;&gt;"",기초자료입력!C60,"")</f>
        <v/>
      </c>
      <c r="F45" s="105"/>
      <c r="G45" s="105"/>
    </row>
    <row r="46" spans="2:7" x14ac:dyDescent="0.4">
      <c r="B46" s="56" t="str">
        <f>IF(기초자료입력!B61&lt;&gt;"",4,"")</f>
        <v/>
      </c>
      <c r="C46" s="56" t="str">
        <f>IF(기초자료입력!B61&lt;&gt;"","위원","")</f>
        <v/>
      </c>
      <c r="D46" s="56" t="str">
        <f>IF(기초자료입력!B61&lt;&gt;"",기초자료입력!B61,"")</f>
        <v/>
      </c>
      <c r="E46" s="56" t="str">
        <f>IF(기초자료입력!C61&lt;&gt;"",기초자료입력!C61,"")</f>
        <v/>
      </c>
      <c r="F46" s="105"/>
      <c r="G46" s="105"/>
    </row>
    <row r="47" spans="2:7" x14ac:dyDescent="0.4">
      <c r="B47" s="56" t="str">
        <f>IF(기초자료입력!B62&lt;&gt;"",5,"")</f>
        <v/>
      </c>
      <c r="C47" s="56" t="str">
        <f>IF(기초자료입력!B62&lt;&gt;"","위원","")</f>
        <v/>
      </c>
      <c r="D47" s="56" t="str">
        <f>IF(기초자료입력!B62&lt;&gt;"",기초자료입력!B62,"")</f>
        <v/>
      </c>
      <c r="E47" s="56" t="str">
        <f>IF(기초자료입력!C62&lt;&gt;"",기초자료입력!C62,"")</f>
        <v/>
      </c>
      <c r="F47" s="105"/>
      <c r="G47" s="105"/>
    </row>
    <row r="48" spans="2:7" x14ac:dyDescent="0.4">
      <c r="B48" s="56" t="str">
        <f>IF(기초자료입력!B63&lt;&gt;"",6,"")</f>
        <v/>
      </c>
      <c r="C48" s="56" t="str">
        <f>IF(기초자료입력!B63&lt;&gt;"","위원","")</f>
        <v/>
      </c>
      <c r="D48" s="56" t="str">
        <f>IF(기초자료입력!B63&lt;&gt;"",기초자료입력!B63,"")</f>
        <v/>
      </c>
      <c r="E48" s="56" t="str">
        <f>IF(기초자료입력!C63&lt;&gt;"",기초자료입력!C63,"")</f>
        <v/>
      </c>
      <c r="F48" s="105"/>
      <c r="G48" s="105"/>
    </row>
    <row r="49" spans="2:7" x14ac:dyDescent="0.4">
      <c r="B49" s="56" t="str">
        <f>IF(기초자료입력!B64&lt;&gt;"",7,"")</f>
        <v/>
      </c>
      <c r="C49" s="56" t="str">
        <f>IF(기초자료입력!B64&lt;&gt;"","위원","")</f>
        <v/>
      </c>
      <c r="D49" s="56" t="str">
        <f>IF(기초자료입력!B64&lt;&gt;"",기초자료입력!B64,"")</f>
        <v/>
      </c>
      <c r="E49" s="56" t="str">
        <f>IF(기초자료입력!C64&lt;&gt;"",기초자료입력!C64,"")</f>
        <v/>
      </c>
      <c r="F49" s="105"/>
      <c r="G49" s="105"/>
    </row>
    <row r="50" spans="2:7" x14ac:dyDescent="0.4">
      <c r="B50" s="56" t="str">
        <f>IF(기초자료입력!B65&lt;&gt;"",8,"")</f>
        <v/>
      </c>
      <c r="C50" s="56" t="str">
        <f>IF(기초자료입력!B65&lt;&gt;"","위원","")</f>
        <v/>
      </c>
      <c r="D50" s="56" t="str">
        <f>IF(기초자료입력!B65&lt;&gt;"",기초자료입력!B65,"")</f>
        <v/>
      </c>
      <c r="E50" s="56" t="str">
        <f>IF(기초자료입력!C65&lt;&gt;"",기초자료입력!C65,"")</f>
        <v/>
      </c>
      <c r="F50" s="105"/>
      <c r="G50" s="105"/>
    </row>
    <row r="51" spans="2:7" x14ac:dyDescent="0.4">
      <c r="B51" s="56" t="str">
        <f>IF(기초자료입력!B66&lt;&gt;"",9,"")</f>
        <v/>
      </c>
      <c r="C51" s="56" t="str">
        <f>IF(기초자료입력!B66&lt;&gt;"","위원","")</f>
        <v/>
      </c>
      <c r="D51" s="56" t="str">
        <f>IF(기초자료입력!B66&lt;&gt;"",기초자료입력!B66,"")</f>
        <v/>
      </c>
      <c r="E51" s="56" t="str">
        <f>IF(기초자료입력!C66&lt;&gt;"",기초자료입력!C66,"")</f>
        <v/>
      </c>
      <c r="F51" s="105"/>
      <c r="G51" s="105"/>
    </row>
    <row r="52" spans="2:7" x14ac:dyDescent="0.4">
      <c r="B52" s="56" t="str">
        <f>IF(기초자료입력!B67&lt;&gt;"",10,"")</f>
        <v/>
      </c>
      <c r="C52" s="56" t="str">
        <f>IF(기초자료입력!B67&lt;&gt;"","위원","")</f>
        <v/>
      </c>
      <c r="D52" s="56" t="str">
        <f>IF(기초자료입력!B67&lt;&gt;"",기초자료입력!B67,"")</f>
        <v/>
      </c>
      <c r="E52" s="56" t="str">
        <f>IF(기초자료입력!C67&lt;&gt;"",기초자료입력!C67,"")</f>
        <v/>
      </c>
      <c r="F52" s="105"/>
      <c r="G52" s="105"/>
    </row>
    <row r="53" spans="2:7" ht="94.95" customHeight="1" x14ac:dyDescent="0.4">
      <c r="B53" s="104" t="s">
        <v>563</v>
      </c>
      <c r="C53" s="104"/>
      <c r="D53" s="104"/>
      <c r="E53" s="104"/>
      <c r="F53" s="104"/>
      <c r="G53" s="104"/>
    </row>
    <row r="54" spans="2:7" ht="25.95" customHeight="1" x14ac:dyDescent="0.4">
      <c r="B54" s="86" t="s">
        <v>564</v>
      </c>
      <c r="C54" s="86"/>
      <c r="D54" s="86"/>
      <c r="E54" s="86"/>
      <c r="F54" s="86"/>
      <c r="G54" s="86"/>
    </row>
    <row r="55" spans="2:7" ht="6" customHeight="1" x14ac:dyDescent="0.4">
      <c r="B55" s="37"/>
      <c r="C55" s="37"/>
      <c r="D55" s="37"/>
      <c r="E55" s="37"/>
      <c r="F55" s="37"/>
      <c r="G55" s="37"/>
    </row>
    <row r="56" spans="2:7" x14ac:dyDescent="0.4">
      <c r="B56" s="81" t="s">
        <v>565</v>
      </c>
      <c r="C56" s="76"/>
      <c r="D56" s="76"/>
      <c r="E56" s="76"/>
      <c r="F56" s="76"/>
      <c r="G56" s="76"/>
    </row>
    <row r="57" spans="2:7" ht="43.05" customHeight="1" x14ac:dyDescent="0.4">
      <c r="B57" s="86" t="s">
        <v>566</v>
      </c>
      <c r="C57" s="86"/>
      <c r="D57" s="86"/>
      <c r="E57" s="86"/>
      <c r="F57" s="86"/>
      <c r="G57" s="86"/>
    </row>
    <row r="58" spans="2:7" ht="43.05" customHeight="1" x14ac:dyDescent="0.4">
      <c r="B58" s="86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86"/>
      <c r="D58" s="86"/>
      <c r="E58" s="86"/>
      <c r="F58" s="86"/>
      <c r="G58" s="86"/>
    </row>
    <row r="59" spans="2:7" ht="30" customHeight="1" x14ac:dyDescent="0.4">
      <c r="B59" s="86" t="s">
        <v>567</v>
      </c>
      <c r="C59" s="86"/>
      <c r="D59" s="86"/>
      <c r="E59" s="86"/>
      <c r="F59" s="86"/>
      <c r="G59" s="86"/>
    </row>
    <row r="60" spans="2:7" ht="6" customHeight="1" x14ac:dyDescent="0.4">
      <c r="B60" s="37"/>
      <c r="C60" s="37"/>
      <c r="D60" s="37"/>
      <c r="E60" s="37"/>
      <c r="F60" s="37"/>
      <c r="G60" s="37"/>
    </row>
    <row r="61" spans="2:7" x14ac:dyDescent="0.4">
      <c r="B61" s="81" t="s">
        <v>568</v>
      </c>
      <c r="C61" s="76"/>
      <c r="D61" s="76"/>
      <c r="E61" s="76"/>
      <c r="F61" s="76"/>
      <c r="G61" s="76"/>
    </row>
    <row r="62" spans="2:7" ht="43.05" customHeight="1" x14ac:dyDescent="0.4">
      <c r="B62" s="86" t="s">
        <v>569</v>
      </c>
      <c r="C62" s="86"/>
      <c r="D62" s="86"/>
      <c r="E62" s="86"/>
      <c r="F62" s="86"/>
      <c r="G62" s="86"/>
    </row>
    <row r="63" spans="2:7" ht="55.95" customHeight="1" x14ac:dyDescent="0.4">
      <c r="B63" s="86" t="s">
        <v>570</v>
      </c>
      <c r="C63" s="86"/>
      <c r="D63" s="86"/>
      <c r="E63" s="86"/>
      <c r="F63" s="86"/>
      <c r="G63" s="86"/>
    </row>
    <row r="64" spans="2:7" ht="30" customHeight="1" x14ac:dyDescent="0.4">
      <c r="B64" s="86" t="s">
        <v>571</v>
      </c>
      <c r="C64" s="86"/>
      <c r="D64" s="86"/>
      <c r="E64" s="86"/>
      <c r="F64" s="86"/>
      <c r="G64" s="86"/>
    </row>
    <row r="65" spans="2:7" ht="16.95" customHeight="1" x14ac:dyDescent="0.4">
      <c r="B65" s="86" t="s">
        <v>572</v>
      </c>
      <c r="C65" s="86"/>
      <c r="D65" s="86"/>
      <c r="E65" s="86"/>
      <c r="F65" s="86"/>
      <c r="G65" s="86"/>
    </row>
    <row r="66" spans="2:7" ht="43.05" customHeight="1" x14ac:dyDescent="0.4">
      <c r="B66" s="86" t="s">
        <v>573</v>
      </c>
      <c r="C66" s="86"/>
      <c r="D66" s="86"/>
      <c r="E66" s="86"/>
      <c r="F66" s="86"/>
      <c r="G66" s="86"/>
    </row>
    <row r="67" spans="2:7" ht="30" customHeight="1" x14ac:dyDescent="0.4">
      <c r="B67" s="86" t="s">
        <v>574</v>
      </c>
      <c r="C67" s="86"/>
      <c r="D67" s="86"/>
      <c r="E67" s="86"/>
      <c r="F67" s="86"/>
      <c r="G67" s="86"/>
    </row>
    <row r="68" spans="2:7" ht="6" customHeight="1" x14ac:dyDescent="0.4">
      <c r="B68" s="37"/>
      <c r="C68" s="37"/>
      <c r="D68" s="37"/>
      <c r="E68" s="37"/>
      <c r="F68" s="37"/>
      <c r="G68" s="37"/>
    </row>
    <row r="69" spans="2:7" x14ac:dyDescent="0.4">
      <c r="B69" s="81" t="s">
        <v>575</v>
      </c>
      <c r="C69" s="76"/>
      <c r="D69" s="76"/>
      <c r="E69" s="76"/>
      <c r="F69" s="76"/>
      <c r="G69" s="76"/>
    </row>
    <row r="70" spans="2:7" ht="30" customHeight="1" x14ac:dyDescent="0.4">
      <c r="B70" s="86" t="s">
        <v>576</v>
      </c>
      <c r="C70" s="86"/>
      <c r="D70" s="86"/>
      <c r="E70" s="86"/>
      <c r="F70" s="86"/>
      <c r="G70" s="86"/>
    </row>
    <row r="71" spans="2:7" ht="43.05" customHeight="1" x14ac:dyDescent="0.4">
      <c r="B71" s="86" t="s">
        <v>577</v>
      </c>
      <c r="C71" s="86"/>
      <c r="D71" s="86"/>
      <c r="E71" s="86"/>
      <c r="F71" s="86"/>
      <c r="G71" s="86"/>
    </row>
    <row r="72" spans="2:7" ht="43.05" customHeight="1" x14ac:dyDescent="0.4">
      <c r="B72" s="86" t="s">
        <v>578</v>
      </c>
      <c r="C72" s="86"/>
      <c r="D72" s="86"/>
      <c r="E72" s="86"/>
      <c r="F72" s="86"/>
      <c r="G72" s="86"/>
    </row>
    <row r="73" spans="2:7" ht="43.05" customHeight="1" x14ac:dyDescent="0.4">
      <c r="B73" s="86" t="s">
        <v>579</v>
      </c>
      <c r="C73" s="86"/>
      <c r="D73" s="86"/>
      <c r="E73" s="86"/>
      <c r="F73" s="86"/>
      <c r="G73" s="86"/>
    </row>
    <row r="74" spans="2:7" ht="37.049999999999997" customHeight="1" x14ac:dyDescent="0.4">
      <c r="B74" s="86" t="s">
        <v>580</v>
      </c>
      <c r="C74" s="86"/>
      <c r="D74" s="86"/>
      <c r="E74" s="86"/>
      <c r="F74" s="86"/>
      <c r="G74" s="86"/>
    </row>
    <row r="75" spans="2:7" ht="6" customHeight="1" x14ac:dyDescent="0.4">
      <c r="B75" s="37"/>
      <c r="C75" s="37"/>
      <c r="D75" s="37"/>
      <c r="E75" s="37"/>
      <c r="F75" s="37"/>
      <c r="G75" s="37"/>
    </row>
    <row r="76" spans="2:7" x14ac:dyDescent="0.4">
      <c r="B76" s="81" t="s">
        <v>581</v>
      </c>
      <c r="C76" s="76"/>
      <c r="D76" s="76"/>
      <c r="E76" s="76"/>
      <c r="F76" s="76"/>
      <c r="G76" s="76"/>
    </row>
    <row r="77" spans="2:7" ht="30" customHeight="1" x14ac:dyDescent="0.4">
      <c r="B77" s="86" t="s">
        <v>582</v>
      </c>
      <c r="C77" s="86"/>
      <c r="D77" s="86"/>
      <c r="E77" s="86"/>
      <c r="F77" s="86"/>
      <c r="G77" s="86"/>
    </row>
    <row r="78" spans="2:7" ht="15" customHeight="1" x14ac:dyDescent="0.4">
      <c r="B78" s="86" t="s">
        <v>583</v>
      </c>
      <c r="C78" s="86"/>
      <c r="D78" s="86"/>
      <c r="E78" s="86"/>
      <c r="F78" s="86"/>
      <c r="G78" s="86"/>
    </row>
    <row r="79" spans="2:7" ht="6" customHeight="1" x14ac:dyDescent="0.4">
      <c r="B79" s="37"/>
      <c r="C79" s="37"/>
      <c r="D79" s="37"/>
      <c r="E79" s="37"/>
      <c r="F79" s="37"/>
      <c r="G79" s="37"/>
    </row>
    <row r="80" spans="2:7" x14ac:dyDescent="0.4">
      <c r="B80" s="81" t="s">
        <v>584</v>
      </c>
      <c r="C80" s="76"/>
      <c r="D80" s="76"/>
      <c r="E80" s="76"/>
      <c r="F80" s="76"/>
      <c r="G80" s="76"/>
    </row>
    <row r="81" spans="2:7" ht="30" customHeight="1" x14ac:dyDescent="0.4">
      <c r="B81" s="86" t="s">
        <v>585</v>
      </c>
      <c r="C81" s="86"/>
      <c r="D81" s="86"/>
      <c r="E81" s="86"/>
      <c r="F81" s="86"/>
      <c r="G81" s="86"/>
    </row>
    <row r="82" spans="2:7" ht="43.05" customHeight="1" x14ac:dyDescent="0.4">
      <c r="B82" s="86" t="s">
        <v>586</v>
      </c>
      <c r="C82" s="86"/>
      <c r="D82" s="86"/>
      <c r="E82" s="86"/>
      <c r="F82" s="86"/>
      <c r="G82" s="86"/>
    </row>
    <row r="83" spans="2:7" ht="16.95" customHeight="1" x14ac:dyDescent="0.4">
      <c r="B83" s="86" t="s">
        <v>587</v>
      </c>
      <c r="C83" s="86"/>
      <c r="D83" s="86"/>
      <c r="E83" s="86"/>
      <c r="F83" s="86"/>
      <c r="G83" s="86"/>
    </row>
    <row r="84" spans="2:7" ht="30" customHeight="1" x14ac:dyDescent="0.4">
      <c r="B84" s="86" t="s">
        <v>588</v>
      </c>
      <c r="C84" s="86"/>
      <c r="D84" s="86"/>
      <c r="E84" s="86"/>
      <c r="F84" s="86"/>
      <c r="G84" s="86"/>
    </row>
    <row r="85" spans="2:7" ht="6" customHeight="1" x14ac:dyDescent="0.4">
      <c r="B85" s="37"/>
      <c r="C85" s="37"/>
      <c r="D85" s="37"/>
      <c r="E85" s="37"/>
      <c r="F85" s="37"/>
      <c r="G85" s="37"/>
    </row>
    <row r="86" spans="2:7" x14ac:dyDescent="0.4">
      <c r="B86" s="37"/>
      <c r="C86" s="37"/>
      <c r="D86" s="37"/>
      <c r="E86" s="37"/>
      <c r="F86" s="37"/>
      <c r="G86" s="37"/>
    </row>
    <row r="87" spans="2:7" x14ac:dyDescent="0.4">
      <c r="B87" s="103" t="str">
        <f>"5  기대효과"</f>
        <v>5  기대효과</v>
      </c>
      <c r="C87" s="76"/>
      <c r="D87" s="76"/>
      <c r="E87" s="76"/>
      <c r="F87" s="76"/>
      <c r="G87" s="76"/>
    </row>
    <row r="88" spans="2:7" ht="43.05" customHeight="1" x14ac:dyDescent="0.4">
      <c r="B88" s="86" t="s">
        <v>589</v>
      </c>
      <c r="C88" s="86"/>
      <c r="D88" s="86"/>
      <c r="E88" s="86"/>
      <c r="F88" s="86"/>
      <c r="G88" s="86"/>
    </row>
    <row r="89" spans="2:7" ht="6" customHeight="1" x14ac:dyDescent="0.4">
      <c r="B89" s="37"/>
      <c r="C89" s="37"/>
      <c r="D89" s="37"/>
      <c r="E89" s="37"/>
      <c r="F89" s="37"/>
      <c r="G89" s="37"/>
    </row>
    <row r="90" spans="2:7" ht="16.95" customHeight="1" x14ac:dyDescent="0.4">
      <c r="B90" s="86" t="s">
        <v>590</v>
      </c>
      <c r="C90" s="86"/>
      <c r="D90" s="86"/>
      <c r="E90" s="86"/>
      <c r="F90" s="86"/>
      <c r="G90" s="86"/>
    </row>
  </sheetData>
  <mergeCells count="85">
    <mergeCell ref="B8:G8"/>
    <mergeCell ref="B1:G1"/>
    <mergeCell ref="B2:G2"/>
    <mergeCell ref="B5:G5"/>
    <mergeCell ref="B6:G6"/>
    <mergeCell ref="B7:G7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C30"/>
    <mergeCell ref="D30:F30"/>
    <mergeCell ref="B31:C31"/>
    <mergeCell ref="D31:F31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651E5-8597-4C01-B5FB-6EE753651F53}">
  <sheetPr codeName="Sheet24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520</v>
      </c>
    </row>
    <row r="3" spans="1:8" ht="24" x14ac:dyDescent="0.4">
      <c r="B3" s="87" t="s">
        <v>521</v>
      </c>
      <c r="C3" s="88"/>
      <c r="D3" s="88"/>
      <c r="E3" s="88"/>
      <c r="F3" s="88"/>
      <c r="G3" s="88"/>
      <c r="H3" s="88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276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277</v>
      </c>
      <c r="C7" s="100" t="s">
        <v>497</v>
      </c>
      <c r="D7" s="100"/>
      <c r="E7" s="100"/>
      <c r="F7" s="100"/>
      <c r="G7" s="100"/>
      <c r="H7" s="100"/>
    </row>
    <row r="8" spans="1:8" x14ac:dyDescent="0.4">
      <c r="B8" s="25" t="s">
        <v>284</v>
      </c>
      <c r="C8" s="100"/>
      <c r="D8" s="100"/>
      <c r="E8" s="100"/>
      <c r="F8" s="100"/>
      <c r="G8" s="100"/>
      <c r="H8" s="100"/>
    </row>
    <row r="9" spans="1:8" x14ac:dyDescent="0.4">
      <c r="B9" s="25" t="s">
        <v>278</v>
      </c>
      <c r="C9" s="102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100"/>
      <c r="E9" s="100"/>
      <c r="F9" s="100"/>
      <c r="G9" s="100"/>
      <c r="H9" s="100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285</v>
      </c>
      <c r="C11" s="83" t="str">
        <f>IF(기초자료입력!C23&lt;&gt;"",기초자료입력!C23,"")</f>
        <v/>
      </c>
      <c r="D11" s="83"/>
      <c r="E11" s="83"/>
      <c r="F11" s="83"/>
      <c r="G11" s="83"/>
      <c r="H11" s="83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2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72"/>
      <c r="D13" s="72"/>
      <c r="E13" s="72"/>
      <c r="F13" s="72"/>
      <c r="G13" s="72"/>
      <c r="H13" s="7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4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83"/>
      <c r="D15" s="83"/>
      <c r="E15" s="83"/>
      <c r="F15" s="83"/>
      <c r="G15" s="83"/>
      <c r="H15" s="83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280</v>
      </c>
      <c r="G17" s="22" t="s">
        <v>291</v>
      </c>
      <c r="H17" s="22" t="s">
        <v>281</v>
      </c>
    </row>
    <row r="18" spans="2:8" x14ac:dyDescent="0.4">
      <c r="B18" s="25" t="s">
        <v>292</v>
      </c>
      <c r="C18" s="100" t="str">
        <f>IF(기초자료입력!C9&lt;&gt;"",기초자료입력!C9,"")</f>
        <v/>
      </c>
      <c r="D18" s="100"/>
      <c r="E18" s="100"/>
      <c r="F18" s="25" t="s">
        <v>293</v>
      </c>
      <c r="G18" s="100"/>
      <c r="H18" s="100"/>
    </row>
    <row r="19" spans="2:8" x14ac:dyDescent="0.4">
      <c r="B19" s="25" t="s">
        <v>294</v>
      </c>
      <c r="C19" s="22"/>
      <c r="D19" s="25" t="s">
        <v>295</v>
      </c>
      <c r="E19" s="100"/>
      <c r="F19" s="100"/>
      <c r="G19" s="100"/>
      <c r="H19" s="100"/>
    </row>
    <row r="20" spans="2:8" x14ac:dyDescent="0.4">
      <c r="B20" s="25" t="s">
        <v>296</v>
      </c>
      <c r="C20" s="22"/>
      <c r="D20" s="25" t="s">
        <v>297</v>
      </c>
      <c r="E20" s="22"/>
      <c r="F20" s="25" t="s">
        <v>298</v>
      </c>
      <c r="G20" s="100"/>
      <c r="H20" s="100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9392C-6962-4131-BB21-14257629D367}">
  <sheetPr codeName="Sheet25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518</v>
      </c>
    </row>
    <row r="3" spans="1:5" ht="25.95" customHeight="1" x14ac:dyDescent="0.4">
      <c r="B3" s="109" t="s">
        <v>519</v>
      </c>
      <c r="C3" s="107"/>
      <c r="D3" s="107"/>
      <c r="E3" s="107"/>
    </row>
    <row r="4" spans="1:5" ht="25.95" customHeight="1" x14ac:dyDescent="0.4">
      <c r="B4" s="107"/>
      <c r="C4" s="107"/>
      <c r="D4" s="107"/>
      <c r="E4" s="107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10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110"/>
      <c r="D6" s="110"/>
      <c r="E6" s="110"/>
    </row>
    <row r="7" spans="1:5" ht="10.050000000000001" customHeight="1" x14ac:dyDescent="0.4">
      <c r="B7" s="54"/>
      <c r="C7" s="54"/>
      <c r="D7" s="54"/>
      <c r="E7" s="54"/>
    </row>
    <row r="8" spans="1:5" ht="25.95" customHeight="1" x14ac:dyDescent="0.4">
      <c r="B8" s="110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110"/>
      <c r="D8" s="110"/>
      <c r="E8" s="110"/>
    </row>
    <row r="9" spans="1:5" ht="25.95" customHeight="1" x14ac:dyDescent="0.4">
      <c r="B9" s="110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110"/>
      <c r="D9" s="110"/>
      <c r="E9" s="110"/>
    </row>
    <row r="10" spans="1:5" ht="25.95" customHeight="1" x14ac:dyDescent="0.4">
      <c r="B10" s="110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110"/>
      <c r="D10" s="110"/>
      <c r="E10" s="110"/>
    </row>
    <row r="11" spans="1:5" ht="25.95" customHeight="1" x14ac:dyDescent="0.4">
      <c r="B11" s="110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110"/>
      <c r="D11" s="110"/>
      <c r="E11" s="110"/>
    </row>
    <row r="12" spans="1:5" ht="10.050000000000001" customHeight="1" x14ac:dyDescent="0.4">
      <c r="B12" s="54"/>
      <c r="C12" s="54"/>
      <c r="D12" s="54"/>
      <c r="E12" s="54"/>
    </row>
    <row r="13" spans="1:5" ht="13.95" customHeight="1" x14ac:dyDescent="0.4">
      <c r="B13" s="54"/>
      <c r="C13" s="54"/>
      <c r="D13" s="54"/>
      <c r="E13" s="54"/>
    </row>
    <row r="14" spans="1:5" ht="19.95" customHeight="1" x14ac:dyDescent="0.4">
      <c r="B14" s="107" t="str">
        <f>"20      년      월      일"</f>
        <v>20      년      월      일</v>
      </c>
      <c r="C14" s="107"/>
      <c r="D14" s="107"/>
      <c r="E14" s="107"/>
    </row>
    <row r="15" spans="1:5" ht="13.95" customHeight="1" x14ac:dyDescent="0.4">
      <c r="B15" s="54"/>
      <c r="C15" s="54"/>
      <c r="D15" s="54"/>
      <c r="E15" s="54"/>
    </row>
    <row r="16" spans="1:5" ht="13.95" customHeight="1" x14ac:dyDescent="0.4">
      <c r="B16" s="54"/>
      <c r="C16" s="54"/>
      <c r="D16" s="54"/>
      <c r="E16" s="54"/>
    </row>
    <row r="17" spans="2:5" ht="22.05" customHeight="1" x14ac:dyDescent="0.4">
      <c r="B17" s="108" t="str">
        <f>"서 약 자 성 명 :                              (인)"</f>
        <v>서 약 자 성 명 :                              (인)</v>
      </c>
      <c r="C17" s="108"/>
      <c r="D17" s="108"/>
      <c r="E17" s="108"/>
    </row>
    <row r="18" spans="2:5" ht="13.95" customHeight="1" x14ac:dyDescent="0.4">
      <c r="B18" s="54"/>
      <c r="C18" s="54"/>
      <c r="D18" s="54"/>
      <c r="E18" s="54"/>
    </row>
    <row r="19" spans="2:5" ht="10.050000000000001" customHeight="1" x14ac:dyDescent="0.4">
      <c r="B19" s="54"/>
      <c r="C19" s="54"/>
      <c r="D19" s="54"/>
      <c r="E19" s="54"/>
    </row>
    <row r="20" spans="2:5" ht="19.95" customHeight="1" x14ac:dyDescent="0.4">
      <c r="B20" s="107" t="str">
        <f>IF(기초자료입력!$C$4="","○○○학교장 귀하",기초자료입력!$C$4&amp;"장 귀하")</f>
        <v>○○○학교장 귀하</v>
      </c>
      <c r="C20" s="107"/>
      <c r="D20" s="107"/>
      <c r="E20" s="107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DED1B-FB94-4120-85E4-CDFE20D3B54D}">
  <sheetPr codeName="Sheet26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512</v>
      </c>
    </row>
    <row r="3" spans="1:5" ht="25.95" customHeight="1" x14ac:dyDescent="0.4">
      <c r="B3" s="109" t="s">
        <v>513</v>
      </c>
      <c r="C3" s="107"/>
      <c r="D3" s="107"/>
      <c r="E3" s="107"/>
    </row>
    <row r="4" spans="1:5" ht="25.95" customHeight="1" x14ac:dyDescent="0.4">
      <c r="B4" s="107"/>
      <c r="C4" s="107"/>
      <c r="D4" s="107"/>
      <c r="E4" s="107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10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110"/>
      <c r="D6" s="110"/>
      <c r="E6" s="110"/>
    </row>
    <row r="7" spans="1:5" ht="28.05" customHeight="1" x14ac:dyDescent="0.4">
      <c r="B7" s="110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110"/>
      <c r="D7" s="110"/>
      <c r="E7" s="110"/>
    </row>
    <row r="8" spans="1:5" ht="28.05" customHeight="1" x14ac:dyDescent="0.4">
      <c r="B8" s="110" t="s">
        <v>514</v>
      </c>
      <c r="C8" s="110"/>
      <c r="D8" s="110"/>
      <c r="E8" s="110"/>
    </row>
    <row r="9" spans="1:5" ht="13.95" customHeight="1" x14ac:dyDescent="0.4">
      <c r="B9" s="54"/>
      <c r="C9" s="54"/>
      <c r="D9" s="54"/>
      <c r="E9" s="54"/>
    </row>
    <row r="10" spans="1:5" ht="13.95" customHeight="1" x14ac:dyDescent="0.4">
      <c r="B10" s="54"/>
      <c r="C10" s="54"/>
      <c r="D10" s="54"/>
      <c r="E10" s="54"/>
    </row>
    <row r="11" spans="1:5" ht="10.050000000000001" customHeight="1" x14ac:dyDescent="0.4">
      <c r="B11" s="54"/>
      <c r="C11" s="54"/>
      <c r="D11" s="54"/>
      <c r="E11" s="54"/>
    </row>
    <row r="12" spans="1:5" ht="19.95" customHeight="1" x14ac:dyDescent="0.4">
      <c r="B12" s="107" t="str">
        <f>IF(기초자료입력!$C$5="","20○○.  ○○  .  ○○  .","20"&amp;RIGHT(기초자료입력!$C$5,2)&amp;".  ○○  .  ○○  .")</f>
        <v>20○○.  ○○  .  ○○  .</v>
      </c>
      <c r="C12" s="107"/>
      <c r="D12" s="107"/>
      <c r="E12" s="107"/>
    </row>
    <row r="13" spans="1:5" ht="13.95" customHeight="1" x14ac:dyDescent="0.4">
      <c r="B13" s="54"/>
      <c r="C13" s="54"/>
      <c r="D13" s="54"/>
      <c r="E13" s="54"/>
    </row>
    <row r="14" spans="1:5" ht="22.05" customHeight="1" x14ac:dyDescent="0.4">
      <c r="B14" s="108" t="s">
        <v>515</v>
      </c>
      <c r="C14" s="108"/>
      <c r="D14" s="108"/>
      <c r="E14" s="108"/>
    </row>
    <row r="15" spans="1:5" ht="13.95" customHeight="1" x14ac:dyDescent="0.4">
      <c r="B15" s="55"/>
      <c r="C15" s="55"/>
      <c r="D15" s="55"/>
      <c r="E15" s="55"/>
    </row>
    <row r="16" spans="1:5" ht="22.05" customHeight="1" x14ac:dyDescent="0.4">
      <c r="B16" s="108" t="s">
        <v>516</v>
      </c>
      <c r="C16" s="108"/>
      <c r="D16" s="108"/>
      <c r="E16" s="108"/>
    </row>
    <row r="17" spans="2:5" ht="13.95" customHeight="1" x14ac:dyDescent="0.4">
      <c r="B17" s="55"/>
      <c r="C17" s="55"/>
      <c r="D17" s="55"/>
      <c r="E17" s="55"/>
    </row>
    <row r="18" spans="2:5" ht="22.05" customHeight="1" x14ac:dyDescent="0.4">
      <c r="B18" s="108" t="s">
        <v>517</v>
      </c>
      <c r="C18" s="108"/>
      <c r="D18" s="108"/>
      <c r="E18" s="108"/>
    </row>
    <row r="19" spans="2:5" ht="13.95" customHeight="1" x14ac:dyDescent="0.4">
      <c r="B19" s="54"/>
      <c r="C19" s="54"/>
      <c r="D19" s="54"/>
      <c r="E19" s="54"/>
    </row>
    <row r="20" spans="2:5" ht="10.050000000000001" customHeight="1" x14ac:dyDescent="0.4">
      <c r="B20" s="54"/>
      <c r="C20" s="54"/>
      <c r="D20" s="54"/>
      <c r="E20" s="54"/>
    </row>
    <row r="21" spans="2:5" ht="19.95" customHeight="1" x14ac:dyDescent="0.4">
      <c r="B21" s="107" t="str">
        <f>IF(기초자료입력!$C$4="","○○학교장 귀하",기초자료입력!$C$4&amp;"장 귀하")</f>
        <v>○○학교장 귀하</v>
      </c>
      <c r="C21" s="107"/>
      <c r="D21" s="107"/>
      <c r="E21" s="107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730A4-DBF7-42BC-ACC9-4D767ADDC7AA}">
  <sheetPr codeName="Sheet27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495</v>
      </c>
    </row>
    <row r="3" spans="1:8" ht="24" customHeight="1" x14ac:dyDescent="0.4">
      <c r="B3" s="87" t="s">
        <v>496</v>
      </c>
      <c r="C3" s="88"/>
      <c r="D3" s="88"/>
      <c r="E3" s="88"/>
      <c r="F3" s="88"/>
      <c r="G3" s="88"/>
      <c r="H3" s="88"/>
    </row>
    <row r="5" spans="1:8" ht="14.55" customHeight="1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276</v>
      </c>
      <c r="F5" s="36" t="str">
        <f>IF(기초자료입력!C8&lt;&gt;"",TEXT(기초자료입력!C8,"yyyy-mm-dd"),"")</f>
        <v/>
      </c>
      <c r="G5" s="36"/>
      <c r="H5" s="36"/>
    </row>
    <row r="6" spans="1:8" ht="14.55" customHeight="1" x14ac:dyDescent="0.4">
      <c r="B6" s="36"/>
      <c r="C6" s="36"/>
      <c r="D6" s="36"/>
      <c r="E6" s="36"/>
      <c r="F6" s="36"/>
      <c r="G6" s="36"/>
      <c r="H6" s="36"/>
    </row>
    <row r="7" spans="1:8" ht="14.55" customHeight="1" x14ac:dyDescent="0.4">
      <c r="B7" s="53" t="s">
        <v>277</v>
      </c>
      <c r="C7" s="89" t="s">
        <v>497</v>
      </c>
      <c r="D7" s="89"/>
      <c r="E7" s="89"/>
      <c r="F7" s="89"/>
      <c r="G7" s="89"/>
      <c r="H7" s="89"/>
    </row>
    <row r="8" spans="1:8" ht="14.55" customHeight="1" x14ac:dyDescent="0.4">
      <c r="B8" s="53" t="s">
        <v>284</v>
      </c>
      <c r="C8" s="89"/>
      <c r="D8" s="89"/>
      <c r="E8" s="89"/>
      <c r="F8" s="89"/>
      <c r="G8" s="89"/>
      <c r="H8" s="89"/>
    </row>
    <row r="9" spans="1:8" ht="14.55" customHeight="1" x14ac:dyDescent="0.4">
      <c r="B9" s="53" t="s">
        <v>278</v>
      </c>
      <c r="C9" s="91" t="str">
        <f>IF(기초자료입력!C5&lt;&gt;"",기초자료입력!C5&amp;"학년도 교복선정위원회 구성(안)","교복선정위원회 구성(안)")</f>
        <v>교복선정위원회 구성(안)</v>
      </c>
      <c r="D9" s="89"/>
      <c r="E9" s="89"/>
      <c r="F9" s="89"/>
      <c r="G9" s="89"/>
      <c r="H9" s="89"/>
    </row>
    <row r="10" spans="1:8" ht="14.55" customHeight="1" x14ac:dyDescent="0.4">
      <c r="B10" s="36"/>
      <c r="C10" s="36"/>
      <c r="D10" s="36"/>
      <c r="E10" s="36"/>
      <c r="F10" s="36"/>
      <c r="G10" s="36"/>
      <c r="H10" s="36"/>
    </row>
    <row r="11" spans="1:8" ht="14.55" customHeight="1" x14ac:dyDescent="0.4">
      <c r="B11" s="53" t="s">
        <v>285</v>
      </c>
      <c r="C11" s="89" t="str">
        <f>IF(기초자료입력!C23&lt;&gt;"",기초자료입력!C23,"")</f>
        <v/>
      </c>
      <c r="D11" s="89"/>
      <c r="E11" s="89"/>
      <c r="F11" s="89"/>
      <c r="G11" s="89"/>
      <c r="H11" s="89"/>
    </row>
    <row r="12" spans="1:8" ht="14.55" customHeight="1" x14ac:dyDescent="0.4">
      <c r="B12" s="36"/>
      <c r="C12" s="36"/>
      <c r="D12" s="36"/>
      <c r="E12" s="36"/>
      <c r="F12" s="36"/>
      <c r="G12" s="36"/>
      <c r="H12" s="36"/>
    </row>
    <row r="13" spans="1:8" ht="25.95" customHeight="1" x14ac:dyDescent="0.4">
      <c r="B13" s="106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106"/>
      <c r="D13" s="106"/>
      <c r="E13" s="106"/>
      <c r="F13" s="106"/>
      <c r="G13" s="106"/>
      <c r="H13" s="106"/>
    </row>
    <row r="14" spans="1:8" ht="14.55" customHeight="1" x14ac:dyDescent="0.4">
      <c r="B14" s="36"/>
      <c r="C14" s="36"/>
      <c r="D14" s="36"/>
      <c r="E14" s="36"/>
      <c r="F14" s="36"/>
      <c r="G14" s="36"/>
      <c r="H14" s="36"/>
    </row>
    <row r="15" spans="1:8" ht="14.55" customHeight="1" x14ac:dyDescent="0.4">
      <c r="B15" s="91" t="s">
        <v>498</v>
      </c>
      <c r="C15" s="89"/>
      <c r="D15" s="89"/>
      <c r="E15" s="89"/>
      <c r="F15" s="89"/>
      <c r="G15" s="89"/>
      <c r="H15" s="89"/>
    </row>
    <row r="16" spans="1:8" ht="19.95" customHeight="1" x14ac:dyDescent="0.4">
      <c r="B16" s="111" t="s">
        <v>499</v>
      </c>
      <c r="C16" s="106"/>
      <c r="D16" s="106"/>
      <c r="E16" s="106"/>
      <c r="F16" s="106"/>
      <c r="G16" s="106"/>
      <c r="H16" s="106"/>
    </row>
    <row r="17" spans="2:8" ht="12" customHeight="1" x14ac:dyDescent="0.4">
      <c r="B17" s="106" t="s">
        <v>500</v>
      </c>
      <c r="C17" s="106"/>
      <c r="D17" s="106"/>
      <c r="E17" s="106"/>
      <c r="F17" s="106"/>
      <c r="G17" s="106"/>
      <c r="H17" s="106"/>
    </row>
    <row r="18" spans="2:8" ht="14.55" customHeight="1" x14ac:dyDescent="0.4">
      <c r="B18" s="91" t="s">
        <v>501</v>
      </c>
      <c r="C18" s="89"/>
      <c r="D18" s="89"/>
      <c r="E18" s="89"/>
      <c r="F18" s="89"/>
      <c r="G18" s="89"/>
      <c r="H18" s="89"/>
    </row>
    <row r="19" spans="2:8" ht="14.55" customHeight="1" x14ac:dyDescent="0.4">
      <c r="B19" s="89" t="s">
        <v>502</v>
      </c>
      <c r="C19" s="89"/>
      <c r="D19" s="89"/>
      <c r="E19" s="89"/>
      <c r="F19" s="89"/>
      <c r="G19" s="89"/>
      <c r="H19" s="89"/>
    </row>
    <row r="20" spans="2:8" ht="14.55" customHeight="1" x14ac:dyDescent="0.4">
      <c r="B20" s="89" t="s">
        <v>503</v>
      </c>
      <c r="C20" s="89"/>
      <c r="D20" s="89"/>
      <c r="E20" s="89"/>
      <c r="F20" s="89"/>
      <c r="G20" s="89"/>
      <c r="H20" s="89"/>
    </row>
    <row r="21" spans="2:8" ht="14.55" customHeight="1" x14ac:dyDescent="0.4">
      <c r="B21" s="89" t="s">
        <v>504</v>
      </c>
      <c r="C21" s="89"/>
      <c r="D21" s="89"/>
      <c r="E21" s="89"/>
      <c r="F21" s="89"/>
      <c r="G21" s="89"/>
      <c r="H21" s="89"/>
    </row>
    <row r="22" spans="2:8" ht="14.55" customHeight="1" x14ac:dyDescent="0.4">
      <c r="B22" s="89" t="s">
        <v>505</v>
      </c>
      <c r="C22" s="89"/>
      <c r="D22" s="89"/>
      <c r="E22" s="89"/>
      <c r="F22" s="89"/>
      <c r="G22" s="89"/>
      <c r="H22" s="89"/>
    </row>
    <row r="23" spans="2:8" ht="14.55" customHeight="1" x14ac:dyDescent="0.4">
      <c r="B23" s="36"/>
      <c r="C23" s="36"/>
      <c r="D23" s="36"/>
      <c r="E23" s="36"/>
      <c r="F23" s="36"/>
      <c r="G23" s="36"/>
      <c r="H23" s="36"/>
    </row>
    <row r="24" spans="2:8" ht="14.55" customHeight="1" x14ac:dyDescent="0.4">
      <c r="B24" s="91" t="s">
        <v>506</v>
      </c>
      <c r="C24" s="89"/>
      <c r="D24" s="89"/>
      <c r="E24" s="89"/>
      <c r="F24" s="89"/>
      <c r="G24" s="89"/>
      <c r="H24" s="89"/>
    </row>
    <row r="25" spans="2:8" ht="14.55" customHeight="1" x14ac:dyDescent="0.4">
      <c r="B25" s="31" t="s">
        <v>507</v>
      </c>
      <c r="C25" s="31" t="s">
        <v>314</v>
      </c>
      <c r="D25" s="31" t="s">
        <v>508</v>
      </c>
      <c r="E25" s="31" t="s">
        <v>509</v>
      </c>
      <c r="F25" s="75" t="s">
        <v>303</v>
      </c>
      <c r="G25" s="89"/>
      <c r="H25" s="89"/>
    </row>
    <row r="26" spans="2:8" ht="14.55" customHeight="1" x14ac:dyDescent="0.4">
      <c r="B26" s="36" t="str">
        <f>IF(기초자료입력!B58&lt;&gt;"",1,"")</f>
        <v/>
      </c>
      <c r="C26" s="36" t="str">
        <f>IF(기초자료입력!B58&lt;&gt;"","위원장","")</f>
        <v/>
      </c>
      <c r="D26" s="36" t="str">
        <f>IF(기초자료입력!B58&lt;&gt;"",기초자료입력!B58,"")</f>
        <v/>
      </c>
      <c r="E26" s="36" t="str">
        <f>IF(기초자료입력!C58&lt;&gt;"",기초자료입력!C58,"")</f>
        <v/>
      </c>
      <c r="F26" s="89"/>
      <c r="G26" s="89"/>
      <c r="H26" s="89"/>
    </row>
    <row r="27" spans="2:8" ht="14.55" customHeight="1" x14ac:dyDescent="0.4">
      <c r="B27" s="36" t="str">
        <f>IF(기초자료입력!B59&lt;&gt;"",2,"")</f>
        <v/>
      </c>
      <c r="C27" s="36" t="str">
        <f>IF(기초자료입력!B59&lt;&gt;"","위원","")</f>
        <v/>
      </c>
      <c r="D27" s="36" t="str">
        <f>IF(기초자료입력!B59&lt;&gt;"",기초자료입력!B59,"")</f>
        <v/>
      </c>
      <c r="E27" s="36" t="str">
        <f>IF(기초자료입력!C59&lt;&gt;"",기초자료입력!C59,"")</f>
        <v/>
      </c>
      <c r="F27" s="89"/>
      <c r="G27" s="89"/>
      <c r="H27" s="89"/>
    </row>
    <row r="28" spans="2:8" ht="14.55" customHeight="1" x14ac:dyDescent="0.4">
      <c r="B28" s="36" t="str">
        <f>IF(기초자료입력!B60&lt;&gt;"",3,"")</f>
        <v/>
      </c>
      <c r="C28" s="36" t="str">
        <f>IF(기초자료입력!B60&lt;&gt;"","위원","")</f>
        <v/>
      </c>
      <c r="D28" s="36" t="str">
        <f>IF(기초자료입력!B60&lt;&gt;"",기초자료입력!B60,"")</f>
        <v/>
      </c>
      <c r="E28" s="36" t="str">
        <f>IF(기초자료입력!C60&lt;&gt;"",기초자료입력!C60,"")</f>
        <v/>
      </c>
      <c r="F28" s="89"/>
      <c r="G28" s="89"/>
      <c r="H28" s="89"/>
    </row>
    <row r="29" spans="2:8" ht="14.55" customHeight="1" x14ac:dyDescent="0.4">
      <c r="B29" s="36" t="str">
        <f>IF(기초자료입력!B61&lt;&gt;"",4,"")</f>
        <v/>
      </c>
      <c r="C29" s="36" t="str">
        <f>IF(기초자료입력!B61&lt;&gt;"","위원","")</f>
        <v/>
      </c>
      <c r="D29" s="36" t="str">
        <f>IF(기초자료입력!B61&lt;&gt;"",기초자료입력!B61,"")</f>
        <v/>
      </c>
      <c r="E29" s="36" t="str">
        <f>IF(기초자료입력!C61&lt;&gt;"",기초자료입력!C61,"")</f>
        <v/>
      </c>
      <c r="F29" s="89"/>
      <c r="G29" s="89"/>
      <c r="H29" s="89"/>
    </row>
    <row r="30" spans="2:8" ht="14.55" customHeight="1" x14ac:dyDescent="0.4">
      <c r="B30" s="36" t="str">
        <f>IF(기초자료입력!B62&lt;&gt;"",5,"")</f>
        <v/>
      </c>
      <c r="C30" s="36" t="str">
        <f>IF(기초자료입력!B62&lt;&gt;"","위원","")</f>
        <v/>
      </c>
      <c r="D30" s="36" t="str">
        <f>IF(기초자료입력!B62&lt;&gt;"",기초자료입력!B62,"")</f>
        <v/>
      </c>
      <c r="E30" s="36" t="str">
        <f>IF(기초자료입력!C62&lt;&gt;"",기초자료입력!C62,"")</f>
        <v/>
      </c>
      <c r="F30" s="89"/>
      <c r="G30" s="89"/>
      <c r="H30" s="89"/>
    </row>
    <row r="31" spans="2:8" ht="14.55" customHeight="1" x14ac:dyDescent="0.4">
      <c r="B31" s="36" t="str">
        <f>IF(기초자료입력!B63&lt;&gt;"",6,"")</f>
        <v/>
      </c>
      <c r="C31" s="36" t="str">
        <f>IF(기초자료입력!B63&lt;&gt;"","위원","")</f>
        <v/>
      </c>
      <c r="D31" s="36" t="str">
        <f>IF(기초자료입력!B63&lt;&gt;"",기초자료입력!B63,"")</f>
        <v/>
      </c>
      <c r="E31" s="36" t="str">
        <f>IF(기초자료입력!C63&lt;&gt;"",기초자료입력!C63,"")</f>
        <v/>
      </c>
      <c r="F31" s="89"/>
      <c r="G31" s="89"/>
      <c r="H31" s="89"/>
    </row>
    <row r="32" spans="2:8" ht="14.55" customHeight="1" x14ac:dyDescent="0.4">
      <c r="B32" s="36" t="str">
        <f>IF(기초자료입력!B64&lt;&gt;"",7,"")</f>
        <v/>
      </c>
      <c r="C32" s="36" t="str">
        <f>IF(기초자료입력!B64&lt;&gt;"","위원","")</f>
        <v/>
      </c>
      <c r="D32" s="36" t="str">
        <f>IF(기초자료입력!B64&lt;&gt;"",기초자료입력!B64,"")</f>
        <v/>
      </c>
      <c r="E32" s="36" t="str">
        <f>IF(기초자료입력!C64&lt;&gt;"",기초자료입력!C64,"")</f>
        <v/>
      </c>
      <c r="F32" s="89"/>
      <c r="G32" s="89"/>
      <c r="H32" s="89"/>
    </row>
    <row r="33" spans="2:8" ht="14.55" customHeight="1" x14ac:dyDescent="0.4">
      <c r="B33" s="36" t="str">
        <f>IF(기초자료입력!B65&lt;&gt;"",8,"")</f>
        <v/>
      </c>
      <c r="C33" s="36" t="str">
        <f>IF(기초자료입력!B65&lt;&gt;"","위원","")</f>
        <v/>
      </c>
      <c r="D33" s="36" t="str">
        <f>IF(기초자료입력!B65&lt;&gt;"",기초자료입력!B65,"")</f>
        <v/>
      </c>
      <c r="E33" s="36" t="str">
        <f>IF(기초자료입력!C65&lt;&gt;"",기초자료입력!C65,"")</f>
        <v/>
      </c>
      <c r="F33" s="89"/>
      <c r="G33" s="89"/>
      <c r="H33" s="89"/>
    </row>
    <row r="34" spans="2:8" ht="14.55" customHeight="1" x14ac:dyDescent="0.4">
      <c r="B34" s="36" t="str">
        <f>IF(기초자료입력!B66&lt;&gt;"",9,"")</f>
        <v/>
      </c>
      <c r="C34" s="36" t="str">
        <f>IF(기초자료입력!B66&lt;&gt;"","위원","")</f>
        <v/>
      </c>
      <c r="D34" s="36" t="str">
        <f>IF(기초자료입력!B66&lt;&gt;"",기초자료입력!B66,"")</f>
        <v/>
      </c>
      <c r="E34" s="36" t="str">
        <f>IF(기초자료입력!C66&lt;&gt;"",기초자료입력!C66,"")</f>
        <v/>
      </c>
      <c r="F34" s="89"/>
      <c r="G34" s="89"/>
      <c r="H34" s="89"/>
    </row>
    <row r="35" spans="2:8" ht="14.55" customHeight="1" x14ac:dyDescent="0.4">
      <c r="B35" s="36" t="str">
        <f>IF(기초자료입력!B67&lt;&gt;"",10,"")</f>
        <v/>
      </c>
      <c r="C35" s="36" t="str">
        <f>IF(기초자료입력!B67&lt;&gt;"","위원","")</f>
        <v/>
      </c>
      <c r="D35" s="36" t="str">
        <f>IF(기초자료입력!B67&lt;&gt;"",기초자료입력!B67,"")</f>
        <v/>
      </c>
      <c r="E35" s="36" t="str">
        <f>IF(기초자료입력!C67&lt;&gt;"",기초자료입력!C67,"")</f>
        <v/>
      </c>
      <c r="F35" s="89"/>
      <c r="G35" s="89"/>
      <c r="H35" s="89"/>
    </row>
    <row r="36" spans="2:8" ht="14.55" customHeight="1" x14ac:dyDescent="0.4">
      <c r="B36" s="37"/>
      <c r="C36" s="37"/>
      <c r="D36" s="37"/>
      <c r="E36" s="37"/>
      <c r="F36" s="37"/>
      <c r="G36" s="37"/>
      <c r="H36" s="37"/>
    </row>
    <row r="37" spans="2:8" ht="14.55" customHeight="1" x14ac:dyDescent="0.4">
      <c r="B37" s="81" t="s">
        <v>510</v>
      </c>
      <c r="C37" s="76"/>
      <c r="D37" s="76"/>
      <c r="E37" s="76"/>
      <c r="F37" s="76"/>
      <c r="G37" s="76"/>
      <c r="H37" s="76"/>
    </row>
    <row r="38" spans="2:8" ht="14.55" customHeight="1" x14ac:dyDescent="0.4">
      <c r="B38" s="76" t="s">
        <v>511</v>
      </c>
      <c r="C38" s="76"/>
      <c r="D38" s="76"/>
      <c r="E38" s="76"/>
      <c r="F38" s="76"/>
      <c r="G38" s="76"/>
      <c r="H38" s="76"/>
    </row>
    <row r="39" spans="2:8" ht="14.55" customHeight="1" x14ac:dyDescent="0.4">
      <c r="B39" s="37"/>
      <c r="C39" s="37"/>
      <c r="D39" s="37"/>
      <c r="E39" s="37"/>
      <c r="F39" s="37"/>
      <c r="G39" s="37"/>
      <c r="H39" s="37"/>
    </row>
    <row r="40" spans="2:8" ht="14.55" customHeight="1" x14ac:dyDescent="0.4">
      <c r="B40" s="37"/>
      <c r="C40" s="37"/>
      <c r="D40" s="37"/>
      <c r="E40" s="37"/>
      <c r="F40" s="53" t="s">
        <v>280</v>
      </c>
      <c r="G40" s="53" t="s">
        <v>291</v>
      </c>
      <c r="H40" s="53" t="s">
        <v>281</v>
      </c>
    </row>
    <row r="41" spans="2:8" ht="14.55" customHeight="1" x14ac:dyDescent="0.4">
      <c r="B41" s="52" t="s">
        <v>292</v>
      </c>
      <c r="C41" s="76" t="str">
        <f>IF(기초자료입력!C9&lt;&gt;"",기초자료입력!C9,"")</f>
        <v/>
      </c>
      <c r="D41" s="76"/>
      <c r="E41" s="76"/>
      <c r="F41" s="53" t="s">
        <v>293</v>
      </c>
      <c r="G41" s="89"/>
      <c r="H41" s="89"/>
    </row>
    <row r="42" spans="2:8" ht="14.55" customHeight="1" x14ac:dyDescent="0.4">
      <c r="B42" s="52" t="s">
        <v>294</v>
      </c>
      <c r="C42" s="37"/>
      <c r="D42" s="52" t="s">
        <v>295</v>
      </c>
      <c r="E42" s="76"/>
      <c r="F42" s="89"/>
      <c r="G42" s="89"/>
      <c r="H42" s="89"/>
    </row>
    <row r="43" spans="2:8" ht="14.55" customHeight="1" x14ac:dyDescent="0.4">
      <c r="B43" s="52" t="s">
        <v>296</v>
      </c>
      <c r="C43" s="37"/>
      <c r="D43" s="52" t="s">
        <v>297</v>
      </c>
      <c r="E43" s="37"/>
      <c r="F43" s="53" t="s">
        <v>298</v>
      </c>
      <c r="G43" s="89"/>
      <c r="H43" s="89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CFE8D-31C8-4576-9268-91EA26CECFAB}">
  <sheetPr codeName="Sheet28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116" t="s">
        <v>477</v>
      </c>
      <c r="C1" s="117"/>
      <c r="D1" s="117"/>
      <c r="E1" s="117"/>
    </row>
    <row r="2" spans="2:7" ht="7.95" customHeight="1" x14ac:dyDescent="0.4">
      <c r="G2" s="35" t="s">
        <v>325</v>
      </c>
    </row>
    <row r="3" spans="2:7" ht="25.95" customHeight="1" x14ac:dyDescent="0.4">
      <c r="B3" s="101" t="s">
        <v>200</v>
      </c>
      <c r="C3" s="93"/>
      <c r="D3" s="93"/>
      <c r="E3" s="93"/>
      <c r="G3">
        <v>1</v>
      </c>
    </row>
    <row r="4" spans="2:7" ht="25.95" customHeight="1" x14ac:dyDescent="0.4">
      <c r="B4" s="93"/>
      <c r="C4" s="93"/>
      <c r="D4" s="93"/>
      <c r="E4" s="93"/>
    </row>
    <row r="5" spans="2:7" ht="6" customHeight="1" x14ac:dyDescent="0.4">
      <c r="B5" s="48"/>
      <c r="C5" s="48"/>
      <c r="D5" s="48"/>
      <c r="E5" s="48"/>
    </row>
    <row r="6" spans="2:7" ht="18" customHeight="1" x14ac:dyDescent="0.4">
      <c r="B6" s="114" t="s">
        <v>478</v>
      </c>
      <c r="C6" s="112"/>
      <c r="D6" s="112"/>
      <c r="E6" s="112"/>
    </row>
    <row r="7" spans="2:7" ht="19.95" customHeight="1" x14ac:dyDescent="0.4">
      <c r="B7" s="113" t="s">
        <v>479</v>
      </c>
      <c r="C7" s="113"/>
      <c r="D7" s="113"/>
      <c r="E7" s="113"/>
    </row>
    <row r="8" spans="2:7" ht="6" customHeight="1" x14ac:dyDescent="0.4">
      <c r="B8" s="48"/>
      <c r="C8" s="48"/>
      <c r="D8" s="48"/>
      <c r="E8" s="48"/>
    </row>
    <row r="9" spans="2:7" ht="18" customHeight="1" x14ac:dyDescent="0.4">
      <c r="B9" s="114" t="s">
        <v>480</v>
      </c>
      <c r="C9" s="112"/>
      <c r="D9" s="112"/>
      <c r="E9" s="112"/>
    </row>
    <row r="10" spans="2:7" ht="19.95" customHeight="1" x14ac:dyDescent="0.4">
      <c r="B10" s="113" t="s">
        <v>481</v>
      </c>
      <c r="C10" s="113"/>
      <c r="D10" s="113"/>
      <c r="E10" s="113"/>
    </row>
    <row r="11" spans="2:7" ht="19.95" customHeight="1" x14ac:dyDescent="0.4">
      <c r="B11" s="113" t="s">
        <v>482</v>
      </c>
      <c r="C11" s="113"/>
      <c r="D11" s="113"/>
      <c r="E11" s="113"/>
    </row>
    <row r="12" spans="2:7" ht="19.95" customHeight="1" x14ac:dyDescent="0.4">
      <c r="B12" s="113" t="s">
        <v>483</v>
      </c>
      <c r="C12" s="113"/>
      <c r="D12" s="113"/>
      <c r="E12" s="113"/>
    </row>
    <row r="13" spans="2:7" ht="19.95" customHeight="1" x14ac:dyDescent="0.4">
      <c r="B13" s="113" t="s">
        <v>484</v>
      </c>
      <c r="C13" s="113"/>
      <c r="D13" s="113"/>
      <c r="E13" s="113"/>
    </row>
    <row r="14" spans="2:7" ht="6" customHeight="1" x14ac:dyDescent="0.4">
      <c r="B14" s="48"/>
      <c r="C14" s="48"/>
      <c r="D14" s="48"/>
      <c r="E14" s="48"/>
    </row>
    <row r="15" spans="2:7" ht="25.95" customHeight="1" x14ac:dyDescent="0.4">
      <c r="B15" s="115" t="s">
        <v>485</v>
      </c>
      <c r="C15" s="113"/>
      <c r="D15" s="113"/>
      <c r="E15" s="113"/>
    </row>
    <row r="16" spans="2:7" ht="18" customHeight="1" x14ac:dyDescent="0.4">
      <c r="B16" s="113" t="s">
        <v>486</v>
      </c>
      <c r="C16" s="113"/>
      <c r="D16" s="113"/>
      <c r="E16" s="113"/>
    </row>
    <row r="17" spans="2:5" ht="18" customHeight="1" x14ac:dyDescent="0.4">
      <c r="B17" s="113" t="s">
        <v>487</v>
      </c>
      <c r="C17" s="113"/>
      <c r="D17" s="113"/>
      <c r="E17" s="113"/>
    </row>
    <row r="18" spans="2:5" ht="19.95" customHeight="1" x14ac:dyDescent="0.4">
      <c r="B18" s="113" t="s">
        <v>488</v>
      </c>
      <c r="C18" s="113"/>
      <c r="D18" s="113"/>
      <c r="E18" s="113"/>
    </row>
    <row r="19" spans="2:5" ht="6" customHeight="1" x14ac:dyDescent="0.4">
      <c r="B19" s="48"/>
      <c r="C19" s="48"/>
      <c r="D19" s="48"/>
      <c r="E19" s="48"/>
    </row>
    <row r="20" spans="2:5" ht="18" customHeight="1" x14ac:dyDescent="0.4">
      <c r="B20" s="114" t="s">
        <v>489</v>
      </c>
      <c r="C20" s="112"/>
      <c r="D20" s="112"/>
      <c r="E20" s="112"/>
    </row>
    <row r="21" spans="2:5" ht="19.95" customHeight="1" x14ac:dyDescent="0.4">
      <c r="B21" s="113" t="s">
        <v>490</v>
      </c>
      <c r="C21" s="113"/>
      <c r="D21" s="113"/>
      <c r="E21" s="113"/>
    </row>
    <row r="22" spans="2:5" ht="18" customHeight="1" x14ac:dyDescent="0.4">
      <c r="B22" s="113" t="s">
        <v>491</v>
      </c>
      <c r="C22" s="113"/>
      <c r="D22" s="113"/>
      <c r="E22" s="113"/>
    </row>
    <row r="23" spans="2:5" ht="22.05" customHeight="1" x14ac:dyDescent="0.4">
      <c r="B23" s="113" t="s">
        <v>492</v>
      </c>
      <c r="C23" s="113"/>
      <c r="D23" s="113"/>
      <c r="E23" s="113"/>
    </row>
    <row r="24" spans="2:5" ht="22.05" customHeight="1" x14ac:dyDescent="0.4">
      <c r="B24" s="113"/>
      <c r="C24" s="113"/>
      <c r="D24" s="113"/>
      <c r="E24" s="113"/>
    </row>
    <row r="25" spans="2:5" ht="18" customHeight="1" x14ac:dyDescent="0.4">
      <c r="B25" s="113" t="s">
        <v>493</v>
      </c>
      <c r="C25" s="113"/>
      <c r="D25" s="113"/>
      <c r="E25" s="113"/>
    </row>
    <row r="26" spans="2:5" ht="18" customHeight="1" x14ac:dyDescent="0.4">
      <c r="B26" s="112" t="s">
        <v>494</v>
      </c>
      <c r="C26" s="112"/>
      <c r="D26" s="112"/>
      <c r="E26" s="112"/>
    </row>
    <row r="27" spans="2:5" ht="18" customHeight="1" x14ac:dyDescent="0.4">
      <c r="B27" s="112" t="s">
        <v>494</v>
      </c>
      <c r="C27" s="112"/>
      <c r="D27" s="112"/>
      <c r="E27" s="112"/>
    </row>
    <row r="28" spans="2:5" ht="7.95" customHeight="1" x14ac:dyDescent="0.4">
      <c r="B28" s="48"/>
      <c r="C28" s="48"/>
      <c r="D28" s="48"/>
      <c r="E28" s="48"/>
    </row>
    <row r="29" spans="2:5" ht="18" customHeight="1" x14ac:dyDescent="0.4">
      <c r="B29" s="93" t="str">
        <f>IF(기초자료입력!$C$5="","20○○년   월   일","20"&amp;RIGHT(기초자료입력!$C$5,2)&amp;"년   월   일")</f>
        <v>20○○년   월   일</v>
      </c>
      <c r="C29" s="93"/>
      <c r="D29" s="93"/>
      <c r="E29" s="93"/>
    </row>
    <row r="30" spans="2:5" ht="18" customHeight="1" x14ac:dyDescent="0.4">
      <c r="B30" s="93" t="s">
        <v>462</v>
      </c>
      <c r="C30" s="93"/>
      <c r="D30" s="93"/>
      <c r="E30" s="93"/>
    </row>
    <row r="31" spans="2:5" ht="18" customHeight="1" x14ac:dyDescent="0.4">
      <c r="B31" s="93" t="str">
        <f>IF(기초자료입력!$C$4="","○○○○학교장 귀하",기초자료입력!$C$4&amp;"장 귀하")</f>
        <v>○○○○학교장 귀하</v>
      </c>
      <c r="C31" s="93"/>
      <c r="D31" s="93"/>
      <c r="E31" s="93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D396B-E6CE-4504-8685-CC541AB49570}">
  <sheetPr codeName="Sheet29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116" t="s">
        <v>463</v>
      </c>
      <c r="C1" s="117"/>
      <c r="D1" s="117"/>
      <c r="E1" s="117"/>
    </row>
    <row r="2" spans="2:7" ht="7.95" customHeight="1" x14ac:dyDescent="0.4">
      <c r="G2" s="35" t="s">
        <v>325</v>
      </c>
    </row>
    <row r="3" spans="2:7" ht="24" customHeight="1" x14ac:dyDescent="0.4">
      <c r="B3" s="101" t="s">
        <v>464</v>
      </c>
      <c r="C3" s="93"/>
      <c r="D3" s="93"/>
      <c r="E3" s="93"/>
      <c r="G3">
        <v>1</v>
      </c>
    </row>
    <row r="4" spans="2:7" ht="24" customHeight="1" x14ac:dyDescent="0.4">
      <c r="B4" s="93"/>
      <c r="C4" s="93"/>
      <c r="D4" s="93"/>
      <c r="E4" s="93"/>
    </row>
    <row r="5" spans="2:7" ht="19.95" customHeight="1" x14ac:dyDescent="0.4">
      <c r="B5" s="93" t="str">
        <f>"(제안자: "&amp;IFERROR(IF(INDEX(기초자료입력!$B$44:$B$53,$G$3)=0,"",INDEX(기초자료입력!$B$44:$B$53,$G$3)),"")&amp;")"</f>
        <v>(제안자: )</v>
      </c>
      <c r="C5" s="93"/>
      <c r="D5" s="93"/>
      <c r="E5" s="93"/>
    </row>
    <row r="6" spans="2:7" ht="16.05" customHeight="1" x14ac:dyDescent="0.4">
      <c r="B6" s="93" t="s">
        <v>465</v>
      </c>
      <c r="C6" s="93"/>
      <c r="D6" s="93"/>
      <c r="E6" s="93"/>
    </row>
    <row r="7" spans="2:7" ht="18" customHeight="1" x14ac:dyDescent="0.4">
      <c r="B7" s="114" t="s">
        <v>466</v>
      </c>
      <c r="C7" s="112"/>
      <c r="D7" s="112"/>
      <c r="E7" s="112"/>
    </row>
    <row r="8" spans="2:7" ht="6" customHeight="1" x14ac:dyDescent="0.4">
      <c r="B8" s="48"/>
      <c r="C8" s="48"/>
      <c r="D8" s="48"/>
      <c r="E8" s="48"/>
    </row>
    <row r="9" spans="2:7" ht="22.05" customHeight="1" x14ac:dyDescent="0.4">
      <c r="B9" s="49" t="s">
        <v>314</v>
      </c>
      <c r="C9" s="49" t="s">
        <v>467</v>
      </c>
      <c r="D9" s="49" t="s">
        <v>468</v>
      </c>
      <c r="E9" s="49" t="s">
        <v>469</v>
      </c>
    </row>
    <row r="10" spans="2:7" ht="22.05" customHeight="1" x14ac:dyDescent="0.4">
      <c r="B10" s="93" t="s">
        <v>304</v>
      </c>
      <c r="C10" s="50" t="s">
        <v>470</v>
      </c>
      <c r="D10" s="50"/>
      <c r="E10" s="50"/>
    </row>
    <row r="11" spans="2:7" ht="22.05" customHeight="1" x14ac:dyDescent="0.4">
      <c r="B11" s="93"/>
      <c r="C11" s="50" t="s">
        <v>471</v>
      </c>
      <c r="D11" s="50"/>
      <c r="E11" s="50"/>
    </row>
    <row r="12" spans="2:7" ht="22.05" customHeight="1" x14ac:dyDescent="0.4">
      <c r="B12" s="93"/>
      <c r="C12" s="50" t="s">
        <v>472</v>
      </c>
      <c r="D12" s="50"/>
      <c r="E12" s="50"/>
    </row>
    <row r="13" spans="2:7" ht="22.05" customHeight="1" x14ac:dyDescent="0.4">
      <c r="B13" s="93"/>
      <c r="C13" s="50" t="s">
        <v>473</v>
      </c>
      <c r="D13" s="50"/>
      <c r="E13" s="50"/>
    </row>
    <row r="14" spans="2:7" ht="22.05" customHeight="1" x14ac:dyDescent="0.4">
      <c r="B14" s="93" t="s">
        <v>305</v>
      </c>
      <c r="C14" s="50" t="s">
        <v>474</v>
      </c>
      <c r="D14" s="50"/>
      <c r="E14" s="50"/>
    </row>
    <row r="15" spans="2:7" ht="22.05" customHeight="1" x14ac:dyDescent="0.4">
      <c r="B15" s="93"/>
      <c r="C15" s="50" t="s">
        <v>475</v>
      </c>
      <c r="D15" s="50"/>
      <c r="E15" s="50"/>
    </row>
    <row r="16" spans="2:7" ht="6" customHeight="1" x14ac:dyDescent="0.4">
      <c r="B16" s="48"/>
      <c r="C16" s="48"/>
      <c r="D16" s="48"/>
      <c r="E16" s="48"/>
    </row>
    <row r="17" spans="2:5" ht="19.95" customHeight="1" x14ac:dyDescent="0.4">
      <c r="B17" s="113" t="s">
        <v>476</v>
      </c>
      <c r="C17" s="113"/>
      <c r="D17" s="113"/>
      <c r="E17" s="113"/>
    </row>
    <row r="18" spans="2:5" ht="7.95" customHeight="1" x14ac:dyDescent="0.4">
      <c r="B18" s="48"/>
      <c r="C18" s="48"/>
      <c r="D18" s="48"/>
      <c r="E18" s="48"/>
    </row>
    <row r="19" spans="2:5" ht="18" customHeight="1" x14ac:dyDescent="0.4">
      <c r="B19" s="93" t="str">
        <f>IF(기초자료입력!$C$5="","20○○.  .  .","20"&amp;RIGHT(기초자료입력!$C$5,2)&amp;".  .  .")</f>
        <v>20○○.  .  .</v>
      </c>
      <c r="C19" s="93"/>
      <c r="D19" s="93"/>
      <c r="E19" s="93"/>
    </row>
    <row r="20" spans="2:5" ht="18" customHeight="1" x14ac:dyDescent="0.4">
      <c r="B20" s="93" t="s">
        <v>462</v>
      </c>
      <c r="C20" s="93"/>
      <c r="D20" s="93"/>
      <c r="E20" s="93"/>
    </row>
    <row r="21" spans="2:5" ht="18" customHeight="1" x14ac:dyDescent="0.4">
      <c r="B21" s="93" t="str">
        <f>IF(기초자료입력!$C$4="","○○○○학교장 귀하",기초자료입력!$C$4&amp;"장 귀하")</f>
        <v>○○○○학교장 귀하</v>
      </c>
      <c r="C21" s="93"/>
      <c r="D21" s="93"/>
      <c r="E21" s="93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3A33C-A88B-4CE5-A904-ABF7C79FA8C7}">
  <sheetPr codeName="Sheet30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116" t="s">
        <v>454</v>
      </c>
      <c r="C1" s="117"/>
      <c r="D1" s="117"/>
      <c r="E1" s="117"/>
      <c r="F1" s="117"/>
      <c r="G1" s="117"/>
    </row>
    <row r="2" spans="2:9" ht="7.95" customHeight="1" x14ac:dyDescent="0.4">
      <c r="I2" s="35" t="s">
        <v>325</v>
      </c>
    </row>
    <row r="3" spans="2:9" ht="24" customHeight="1" x14ac:dyDescent="0.4">
      <c r="B3" s="101" t="s">
        <v>191</v>
      </c>
      <c r="C3" s="93"/>
      <c r="D3" s="93"/>
      <c r="E3" s="93"/>
      <c r="F3" s="93"/>
      <c r="G3" s="93"/>
      <c r="I3">
        <v>1</v>
      </c>
    </row>
    <row r="4" spans="2:9" ht="24" customHeight="1" x14ac:dyDescent="0.4">
      <c r="B4" s="93"/>
      <c r="C4" s="93"/>
      <c r="D4" s="93"/>
      <c r="E4" s="93"/>
      <c r="F4" s="93"/>
      <c r="G4" s="93"/>
    </row>
    <row r="5" spans="2:9" ht="19.95" customHeight="1" x14ac:dyDescent="0.4">
      <c r="B5" s="93" t="str">
        <f>"(제안자: "&amp;IFERROR(IF(INDEX(기초자료입력!$B$44:$B$53,$I$3)=0,"",INDEX(기초자료입력!$B$44:$B$53,$I$3)),"")&amp;")"</f>
        <v>(제안자: )</v>
      </c>
      <c r="C5" s="93"/>
      <c r="D5" s="93"/>
      <c r="E5" s="93"/>
      <c r="F5" s="93"/>
      <c r="G5" s="93"/>
    </row>
    <row r="6" spans="2:9" ht="6" customHeight="1" x14ac:dyDescent="0.4">
      <c r="B6" s="48"/>
      <c r="C6" s="48"/>
      <c r="D6" s="48"/>
      <c r="E6" s="48"/>
      <c r="F6" s="48"/>
      <c r="G6" s="48"/>
    </row>
    <row r="7" spans="2:9" ht="19.95" customHeight="1" x14ac:dyDescent="0.4">
      <c r="B7" s="101" t="s">
        <v>455</v>
      </c>
      <c r="C7" s="93"/>
      <c r="D7" s="93"/>
      <c r="E7" s="93"/>
      <c r="F7" s="93"/>
      <c r="G7" s="93"/>
    </row>
    <row r="8" spans="2:9" ht="6" customHeight="1" x14ac:dyDescent="0.4">
      <c r="B8" s="48"/>
      <c r="C8" s="48"/>
      <c r="D8" s="48"/>
      <c r="E8" s="48"/>
      <c r="F8" s="48"/>
      <c r="G8" s="48"/>
    </row>
    <row r="9" spans="2:9" ht="30" customHeight="1" x14ac:dyDescent="0.4">
      <c r="B9" s="49" t="s">
        <v>86</v>
      </c>
      <c r="C9" s="49" t="s">
        <v>456</v>
      </c>
      <c r="D9" s="49" t="s">
        <v>457</v>
      </c>
      <c r="E9" s="49" t="s">
        <v>458</v>
      </c>
      <c r="F9" s="49" t="s">
        <v>459</v>
      </c>
      <c r="G9" s="49" t="s">
        <v>303</v>
      </c>
    </row>
    <row r="10" spans="2:9" ht="24" customHeight="1" x14ac:dyDescent="0.4">
      <c r="B10" s="50">
        <v>1</v>
      </c>
      <c r="C10" s="51"/>
      <c r="D10" s="51"/>
      <c r="E10" s="51"/>
      <c r="F10" s="51"/>
      <c r="G10" s="51"/>
    </row>
    <row r="11" spans="2:9" ht="24" customHeight="1" x14ac:dyDescent="0.4">
      <c r="B11" s="50">
        <v>2</v>
      </c>
      <c r="C11" s="51"/>
      <c r="D11" s="51"/>
      <c r="E11" s="51"/>
      <c r="F11" s="51"/>
      <c r="G11" s="51"/>
    </row>
    <row r="12" spans="2:9" ht="24" customHeight="1" x14ac:dyDescent="0.4">
      <c r="B12" s="50">
        <v>3</v>
      </c>
      <c r="C12" s="51"/>
      <c r="D12" s="51"/>
      <c r="E12" s="51"/>
      <c r="F12" s="51"/>
      <c r="G12" s="51"/>
    </row>
    <row r="13" spans="2:9" ht="24" customHeight="1" x14ac:dyDescent="0.4">
      <c r="B13" s="50">
        <v>4</v>
      </c>
      <c r="C13" s="51"/>
      <c r="D13" s="51"/>
      <c r="E13" s="51"/>
      <c r="F13" s="51"/>
      <c r="G13" s="51"/>
    </row>
    <row r="14" spans="2:9" ht="24" customHeight="1" x14ac:dyDescent="0.4">
      <c r="B14" s="50">
        <v>5</v>
      </c>
      <c r="C14" s="51"/>
      <c r="D14" s="51"/>
      <c r="E14" s="51"/>
      <c r="F14" s="51"/>
      <c r="G14" s="51"/>
    </row>
    <row r="15" spans="2:9" ht="24" customHeight="1" x14ac:dyDescent="0.4">
      <c r="B15" s="50">
        <v>6</v>
      </c>
      <c r="C15" s="51"/>
      <c r="D15" s="51"/>
      <c r="E15" s="51"/>
      <c r="F15" s="51"/>
      <c r="G15" s="51"/>
    </row>
    <row r="16" spans="2:9" ht="24" customHeight="1" x14ac:dyDescent="0.4">
      <c r="B16" s="50">
        <v>7</v>
      </c>
      <c r="C16" s="51"/>
      <c r="D16" s="51"/>
      <c r="E16" s="51"/>
      <c r="F16" s="51"/>
      <c r="G16" s="51"/>
    </row>
    <row r="17" spans="2:7" ht="24" customHeight="1" x14ac:dyDescent="0.4">
      <c r="B17" s="50">
        <v>8</v>
      </c>
      <c r="C17" s="51"/>
      <c r="D17" s="51"/>
      <c r="E17" s="51"/>
      <c r="F17" s="51"/>
      <c r="G17" s="51"/>
    </row>
    <row r="18" spans="2:7" ht="24" customHeight="1" x14ac:dyDescent="0.4">
      <c r="B18" s="50">
        <v>9</v>
      </c>
      <c r="C18" s="51"/>
      <c r="D18" s="51"/>
      <c r="E18" s="51"/>
      <c r="F18" s="51"/>
      <c r="G18" s="51"/>
    </row>
    <row r="19" spans="2:7" ht="6" customHeight="1" x14ac:dyDescent="0.4">
      <c r="B19" s="48"/>
      <c r="C19" s="48"/>
      <c r="D19" s="48"/>
      <c r="E19" s="48"/>
      <c r="F19" s="48"/>
      <c r="G19" s="48"/>
    </row>
    <row r="20" spans="2:7" ht="18" customHeight="1" x14ac:dyDescent="0.4">
      <c r="B20" s="112" t="s">
        <v>460</v>
      </c>
      <c r="C20" s="112"/>
      <c r="D20" s="112"/>
      <c r="E20" s="112"/>
      <c r="F20" s="112"/>
      <c r="G20" s="112"/>
    </row>
    <row r="21" spans="2:7" ht="18" customHeight="1" x14ac:dyDescent="0.4">
      <c r="B21" s="112" t="s">
        <v>461</v>
      </c>
      <c r="C21" s="112"/>
      <c r="D21" s="112"/>
      <c r="E21" s="112"/>
      <c r="F21" s="112"/>
      <c r="G21" s="112"/>
    </row>
    <row r="22" spans="2:7" ht="7.95" customHeight="1" x14ac:dyDescent="0.4">
      <c r="B22" s="48"/>
      <c r="C22" s="48"/>
      <c r="D22" s="48"/>
      <c r="E22" s="48"/>
      <c r="F22" s="48"/>
      <c r="G22" s="48"/>
    </row>
    <row r="23" spans="2:7" ht="18" customHeight="1" x14ac:dyDescent="0.4">
      <c r="B23" s="93" t="str">
        <f>IF(기초자료입력!$C$5="","20○○.  .  .","20"&amp;RIGHT(기초자료입력!$C$5,2)&amp;".  .  .")</f>
        <v>20○○.  .  .</v>
      </c>
      <c r="C23" s="93"/>
      <c r="D23" s="93"/>
      <c r="E23" s="93"/>
      <c r="F23" s="93"/>
      <c r="G23" s="93"/>
    </row>
    <row r="24" spans="2:7" ht="18" customHeight="1" x14ac:dyDescent="0.4">
      <c r="B24" s="93" t="s">
        <v>462</v>
      </c>
      <c r="C24" s="93"/>
      <c r="D24" s="93"/>
      <c r="E24" s="93"/>
      <c r="F24" s="93"/>
      <c r="G24" s="93"/>
    </row>
    <row r="25" spans="2:7" ht="18" customHeight="1" x14ac:dyDescent="0.4">
      <c r="B25" s="93" t="str">
        <f>IF(기초자료입력!$C$4="","○○○○학교장 귀하",기초자료입력!$C$4&amp;"장 귀하")</f>
        <v>○○○○학교장 귀하</v>
      </c>
      <c r="C25" s="93"/>
      <c r="D25" s="93"/>
      <c r="E25" s="93"/>
      <c r="F25" s="93"/>
      <c r="G25" s="93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F7056-BB66-434F-B880-E3D1B7CAF531}">
  <sheetPr codeName="Sheet31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116" t="s">
        <v>441</v>
      </c>
      <c r="C1" s="117"/>
      <c r="D1" s="117"/>
      <c r="E1" s="117"/>
    </row>
    <row r="2" spans="2:7" ht="7.95" customHeight="1" x14ac:dyDescent="0.4">
      <c r="G2" s="35" t="s">
        <v>325</v>
      </c>
    </row>
    <row r="3" spans="2:7" ht="25.05" customHeight="1" x14ac:dyDescent="0.4">
      <c r="B3" s="118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119"/>
      <c r="D3" s="119"/>
      <c r="E3" s="119"/>
      <c r="G3">
        <v>1</v>
      </c>
    </row>
    <row r="4" spans="2:7" ht="25.05" customHeight="1" x14ac:dyDescent="0.4">
      <c r="B4" s="119"/>
      <c r="C4" s="119"/>
      <c r="D4" s="119"/>
      <c r="E4" s="119"/>
    </row>
    <row r="5" spans="2:7" ht="28.05" customHeight="1" x14ac:dyDescent="0.4">
      <c r="B5" s="120" t="s">
        <v>442</v>
      </c>
      <c r="C5" s="72"/>
      <c r="D5" s="72"/>
      <c r="E5" s="72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114" t="s">
        <v>443</v>
      </c>
      <c r="C7" s="112"/>
      <c r="D7" s="112"/>
      <c r="E7" s="112"/>
    </row>
    <row r="8" spans="2:7" ht="18" customHeight="1" x14ac:dyDescent="0.4">
      <c r="B8" s="47" t="s">
        <v>444</v>
      </c>
      <c r="C8" s="112" t="str">
        <f>IFERROR(IF(INDEX(기초자료입력!$B$44:$B$53,$G$3)=0,"",INDEX(기초자료입력!$B$44:$B$53,$G$3)),"")</f>
        <v/>
      </c>
      <c r="D8" s="112"/>
      <c r="E8" s="112"/>
    </row>
    <row r="9" spans="2:7" ht="18" customHeight="1" x14ac:dyDescent="0.4">
      <c r="B9" s="47" t="s">
        <v>369</v>
      </c>
      <c r="C9" s="112"/>
      <c r="D9" s="112"/>
      <c r="E9" s="112"/>
    </row>
    <row r="10" spans="2:7" ht="18" customHeight="1" x14ac:dyDescent="0.4">
      <c r="B10" s="47" t="s">
        <v>445</v>
      </c>
      <c r="C10" s="112"/>
      <c r="D10" s="112"/>
      <c r="E10" s="112"/>
    </row>
    <row r="11" spans="2:7" ht="18" customHeight="1" x14ac:dyDescent="0.4">
      <c r="B11" s="47" t="s">
        <v>295</v>
      </c>
      <c r="C11" s="112"/>
      <c r="D11" s="112"/>
      <c r="E11" s="112"/>
    </row>
    <row r="12" spans="2:7" ht="18" customHeight="1" x14ac:dyDescent="0.4">
      <c r="B12" s="47" t="s">
        <v>370</v>
      </c>
      <c r="C12" s="112" t="s">
        <v>449</v>
      </c>
      <c r="D12" s="112"/>
      <c r="E12" s="112"/>
    </row>
    <row r="13" spans="2:7" ht="18" customHeight="1" x14ac:dyDescent="0.4">
      <c r="B13" s="47" t="s">
        <v>446</v>
      </c>
      <c r="C13" s="112"/>
      <c r="D13" s="112"/>
      <c r="E13" s="112"/>
    </row>
    <row r="14" spans="2:7" ht="18" customHeight="1" x14ac:dyDescent="0.4">
      <c r="B14" s="47" t="s">
        <v>447</v>
      </c>
      <c r="C14" s="112"/>
      <c r="D14" s="112"/>
      <c r="E14" s="112"/>
    </row>
    <row r="15" spans="2:7" ht="18" customHeight="1" x14ac:dyDescent="0.4">
      <c r="B15" s="47" t="s">
        <v>448</v>
      </c>
      <c r="C15" s="112"/>
      <c r="D15" s="112"/>
      <c r="E15" s="112"/>
    </row>
    <row r="16" spans="2:7" ht="24" customHeight="1" x14ac:dyDescent="0.4">
      <c r="B16" s="112" t="s">
        <v>450</v>
      </c>
      <c r="C16" s="112"/>
      <c r="D16" s="112"/>
      <c r="E16" s="112"/>
    </row>
    <row r="17" spans="2:5" ht="24" customHeight="1" x14ac:dyDescent="0.4">
      <c r="B17" s="112"/>
      <c r="C17" s="112"/>
      <c r="D17" s="112"/>
      <c r="E17" s="112"/>
    </row>
    <row r="18" spans="2:5" ht="6" customHeight="1" x14ac:dyDescent="0.4">
      <c r="B18" s="48"/>
      <c r="C18" s="48"/>
      <c r="D18" s="48"/>
      <c r="E18" s="48"/>
    </row>
    <row r="19" spans="2:5" ht="18" customHeight="1" x14ac:dyDescent="0.4">
      <c r="B19" s="114" t="s">
        <v>451</v>
      </c>
      <c r="C19" s="112"/>
      <c r="D19" s="112"/>
      <c r="E19" s="112"/>
    </row>
    <row r="20" spans="2:5" ht="16.05" customHeight="1" x14ac:dyDescent="0.4">
      <c r="B20" s="113" t="s">
        <v>452</v>
      </c>
      <c r="C20" s="113"/>
      <c r="D20" s="113"/>
      <c r="E20" s="113"/>
    </row>
    <row r="21" spans="2:5" ht="16.05" customHeight="1" x14ac:dyDescent="0.4">
      <c r="B21" s="113"/>
      <c r="C21" s="113"/>
      <c r="D21" s="113"/>
      <c r="E21" s="113"/>
    </row>
    <row r="22" spans="2:5" ht="16.05" customHeight="1" x14ac:dyDescent="0.4">
      <c r="B22" s="113"/>
      <c r="C22" s="113"/>
      <c r="D22" s="113"/>
      <c r="E22" s="113"/>
    </row>
    <row r="23" spans="2:5" ht="16.05" customHeight="1" x14ac:dyDescent="0.4">
      <c r="B23" s="113"/>
      <c r="C23" s="113"/>
      <c r="D23" s="113"/>
      <c r="E23" s="113"/>
    </row>
    <row r="24" spans="2:5" ht="16.05" customHeight="1" x14ac:dyDescent="0.4">
      <c r="B24" s="113"/>
      <c r="C24" s="113"/>
      <c r="D24" s="113"/>
      <c r="E24" s="113"/>
    </row>
    <row r="25" spans="2:5" ht="16.05" customHeight="1" x14ac:dyDescent="0.4">
      <c r="B25" s="113"/>
      <c r="C25" s="113"/>
      <c r="D25" s="113"/>
      <c r="E25" s="113"/>
    </row>
    <row r="26" spans="2:5" ht="16.05" customHeight="1" x14ac:dyDescent="0.4">
      <c r="B26" s="113"/>
      <c r="C26" s="113"/>
      <c r="D26" s="113"/>
      <c r="E26" s="113"/>
    </row>
    <row r="27" spans="2:5" ht="16.05" customHeight="1" x14ac:dyDescent="0.4">
      <c r="B27" s="113"/>
      <c r="C27" s="113"/>
      <c r="D27" s="113"/>
      <c r="E27" s="113"/>
    </row>
    <row r="28" spans="2:5" ht="6" customHeight="1" x14ac:dyDescent="0.4">
      <c r="B28" s="48"/>
      <c r="C28" s="48"/>
      <c r="D28" s="48"/>
      <c r="E28" s="48"/>
    </row>
    <row r="29" spans="2:5" ht="18" customHeight="1" x14ac:dyDescent="0.4">
      <c r="B29" s="93" t="str">
        <f>IF(기초자료입력!$C$5="","20○○. ○○. ○○","20"&amp;RIGHT(기초자료입력!$C$5,2)&amp;". ○○. ○○")</f>
        <v>20○○. ○○. ○○</v>
      </c>
      <c r="C29" s="93"/>
      <c r="D29" s="93"/>
      <c r="E29" s="93"/>
    </row>
    <row r="30" spans="2:5" ht="18" customHeight="1" x14ac:dyDescent="0.4">
      <c r="B30" s="93" t="s">
        <v>453</v>
      </c>
      <c r="C30" s="93"/>
      <c r="D30" s="93"/>
      <c r="E30" s="93"/>
    </row>
    <row r="31" spans="2:5" ht="18" customHeight="1" x14ac:dyDescent="0.4">
      <c r="B31" s="93" t="str">
        <f>IF(기초자료입력!$C$4="","○○○○학교장 귀하",기초자료입력!$C$4&amp;"장 귀하")</f>
        <v>○○○○학교장 귀하</v>
      </c>
      <c r="C31" s="93"/>
      <c r="D31" s="93"/>
      <c r="E31" s="93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0BAB5-5DA2-40F8-9EF6-017FEFD6FB41}">
  <sheetPr codeName="Sheet32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433</v>
      </c>
    </row>
    <row r="2" spans="1:7" ht="10.050000000000001" customHeight="1" x14ac:dyDescent="0.4">
      <c r="G2" s="35" t="s">
        <v>325</v>
      </c>
    </row>
    <row r="3" spans="1:7" ht="22.05" customHeight="1" x14ac:dyDescent="0.4">
      <c r="B3" s="101" t="s">
        <v>434</v>
      </c>
      <c r="C3" s="93"/>
      <c r="D3" s="93"/>
      <c r="E3" s="93"/>
      <c r="G3">
        <v>1</v>
      </c>
    </row>
    <row r="4" spans="1:7" ht="22.05" customHeight="1" x14ac:dyDescent="0.4">
      <c r="B4" s="93"/>
      <c r="C4" s="93"/>
      <c r="D4" s="93"/>
      <c r="E4" s="93"/>
    </row>
    <row r="5" spans="1:7" ht="28.05" customHeight="1" x14ac:dyDescent="0.4">
      <c r="B5" s="113" t="s">
        <v>435</v>
      </c>
      <c r="C5" s="113"/>
      <c r="D5" s="113"/>
      <c r="E5" s="113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7" t="s">
        <v>436</v>
      </c>
      <c r="C7" s="112" t="str">
        <f>IFERROR(IF(INDEX(기초자료입력!$B$44:$B$53,$G$3)=0,"",INDEX(기초자료입력!$B$44:$B$53,$G$3)),"")</f>
        <v/>
      </c>
      <c r="D7" s="112"/>
      <c r="E7" s="112"/>
    </row>
    <row r="8" spans="1:7" ht="19.95" customHeight="1" x14ac:dyDescent="0.4">
      <c r="B8" s="47" t="s">
        <v>437</v>
      </c>
      <c r="C8" s="112"/>
      <c r="D8" s="112"/>
      <c r="E8" s="112"/>
    </row>
    <row r="9" spans="1:7" ht="19.95" customHeight="1" x14ac:dyDescent="0.4">
      <c r="B9" s="47" t="s">
        <v>438</v>
      </c>
      <c r="C9" s="112"/>
      <c r="D9" s="112"/>
      <c r="E9" s="112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113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113"/>
      <c r="D11" s="113"/>
      <c r="E11" s="113"/>
    </row>
    <row r="12" spans="1:7" ht="18" customHeight="1" x14ac:dyDescent="0.4">
      <c r="B12" s="113"/>
      <c r="C12" s="113"/>
      <c r="D12" s="113"/>
      <c r="E12" s="113"/>
    </row>
    <row r="13" spans="1:7" ht="18" customHeight="1" x14ac:dyDescent="0.4">
      <c r="B13" s="113"/>
      <c r="C13" s="113"/>
      <c r="D13" s="113"/>
      <c r="E13" s="113"/>
    </row>
    <row r="14" spans="1:7" ht="7.95" customHeight="1" x14ac:dyDescent="0.4">
      <c r="B14" s="48"/>
      <c r="C14" s="48"/>
      <c r="D14" s="48"/>
      <c r="E14" s="48"/>
    </row>
    <row r="15" spans="1:7" ht="22.05" customHeight="1" x14ac:dyDescent="0.4">
      <c r="B15" s="113" t="s">
        <v>439</v>
      </c>
      <c r="C15" s="113"/>
      <c r="D15" s="113"/>
      <c r="E15" s="113"/>
    </row>
    <row r="16" spans="1:7" ht="22.05" customHeight="1" x14ac:dyDescent="0.4">
      <c r="B16" s="113"/>
      <c r="C16" s="113"/>
      <c r="D16" s="113"/>
      <c r="E16" s="113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93" t="str">
        <f>IF(기초자료입력!$C$5="","20○○. ○○. ○○","20"&amp;RIGHT(기초자료입력!$C$5,2)&amp;". ○○. ○○")</f>
        <v>20○○. ○○. ○○</v>
      </c>
      <c r="C18" s="93"/>
      <c r="D18" s="93"/>
      <c r="E18" s="93"/>
    </row>
    <row r="19" spans="2:5" ht="19.95" customHeight="1" x14ac:dyDescent="0.4">
      <c r="B19" s="93" t="s">
        <v>440</v>
      </c>
      <c r="C19" s="93"/>
      <c r="D19" s="93"/>
      <c r="E19" s="93"/>
    </row>
    <row r="20" spans="2:5" ht="19.95" customHeight="1" x14ac:dyDescent="0.4">
      <c r="B20" s="93" t="str">
        <f>IF(기초자료입력!$C$4="","○○○○학교장 귀하",기초자료입력!$C$4&amp;"장 귀하")</f>
        <v>○○○○학교장 귀하</v>
      </c>
      <c r="C20" s="93"/>
      <c r="D20" s="93"/>
      <c r="E20" s="93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D5064-B0E9-4098-B767-B7DE4BAC209B}">
  <sheetPr codeName="Sheet33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414</v>
      </c>
    </row>
    <row r="2" spans="1:14" ht="10.050000000000001" customHeight="1" x14ac:dyDescent="0.4">
      <c r="N2" s="35" t="s">
        <v>325</v>
      </c>
    </row>
    <row r="3" spans="1:14" ht="30" customHeight="1" x14ac:dyDescent="0.4">
      <c r="B3" s="122" t="s">
        <v>415</v>
      </c>
      <c r="C3" s="80"/>
      <c r="D3" s="80"/>
      <c r="E3" s="80"/>
      <c r="F3" s="80"/>
      <c r="G3" s="80"/>
      <c r="H3" s="80"/>
      <c r="I3" s="80"/>
      <c r="J3" s="80"/>
      <c r="K3" s="80" t="s">
        <v>416</v>
      </c>
      <c r="L3" s="80"/>
      <c r="N3">
        <v>1</v>
      </c>
    </row>
    <row r="4" spans="1:14" ht="24" customHeight="1" x14ac:dyDescent="0.4"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</row>
    <row r="5" spans="1:14" x14ac:dyDescent="0.4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</row>
    <row r="6" spans="1:14" ht="22.95" customHeight="1" x14ac:dyDescent="0.4">
      <c r="B6" s="80" t="s">
        <v>417</v>
      </c>
      <c r="C6" s="80"/>
      <c r="D6" s="80" t="s">
        <v>418</v>
      </c>
      <c r="E6" s="79"/>
      <c r="F6" s="79" t="str">
        <f>IFERROR(IF(INDEX(기초자료입력!$B$44:$B$53,$N$3)=0,"",INDEX(기초자료입력!$B$44:$B$53,$N$3)),"")</f>
        <v/>
      </c>
      <c r="G6" s="79"/>
      <c r="H6" s="79"/>
      <c r="I6" s="28" t="s">
        <v>419</v>
      </c>
      <c r="J6" s="79"/>
      <c r="K6" s="79"/>
      <c r="L6" s="79"/>
    </row>
    <row r="7" spans="1:14" ht="22.95" customHeight="1" x14ac:dyDescent="0.4">
      <c r="B7" s="80"/>
      <c r="C7" s="80"/>
      <c r="D7" s="79" t="s">
        <v>420</v>
      </c>
      <c r="E7" s="79"/>
      <c r="F7" s="79"/>
      <c r="G7" s="79"/>
      <c r="H7" s="79"/>
      <c r="I7" s="28" t="s">
        <v>421</v>
      </c>
      <c r="J7" s="79"/>
      <c r="K7" s="79"/>
      <c r="L7" s="79"/>
    </row>
    <row r="8" spans="1:14" ht="22.95" customHeight="1" x14ac:dyDescent="0.4">
      <c r="B8" s="80"/>
      <c r="C8" s="80"/>
      <c r="D8" s="79" t="s">
        <v>369</v>
      </c>
      <c r="E8" s="79"/>
      <c r="F8" s="79"/>
      <c r="G8" s="79"/>
      <c r="H8" s="79"/>
      <c r="I8" s="28" t="s">
        <v>422</v>
      </c>
      <c r="J8" s="79"/>
      <c r="K8" s="79"/>
      <c r="L8" s="79"/>
    </row>
    <row r="9" spans="1:14" ht="22.95" customHeight="1" x14ac:dyDescent="0.4"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</row>
    <row r="10" spans="1:14" ht="22.95" customHeight="1" x14ac:dyDescent="0.4">
      <c r="B10" s="80" t="s">
        <v>423</v>
      </c>
      <c r="C10" s="80"/>
      <c r="D10" s="80" t="s">
        <v>424</v>
      </c>
      <c r="E10" s="79"/>
      <c r="F10" s="79" t="str">
        <f>IF(기초자료입력!$C$4="","",기초자료입력!$C$4&amp;" 공고 제20○○-00호")</f>
        <v/>
      </c>
      <c r="G10" s="79"/>
      <c r="H10" s="79"/>
      <c r="I10" s="28" t="s">
        <v>425</v>
      </c>
      <c r="J10" s="79"/>
      <c r="K10" s="79"/>
      <c r="L10" s="79"/>
    </row>
    <row r="11" spans="1:14" ht="22.95" customHeight="1" x14ac:dyDescent="0.4">
      <c r="B11" s="80"/>
      <c r="C11" s="80"/>
      <c r="D11" s="79" t="s">
        <v>426</v>
      </c>
      <c r="E11" s="79"/>
      <c r="F11" s="79" t="str">
        <f>IF(OR(기초자료입력!$C$4="",기초자료입력!$C$5=""),"",기초자료입력!$C$4&amp;" "&amp;기초자료입력!$C$5&amp;"학년도 교복 학교주관 구매 입찰")</f>
        <v/>
      </c>
      <c r="G11" s="79"/>
      <c r="H11" s="79"/>
      <c r="I11" s="79"/>
      <c r="J11" s="79"/>
      <c r="K11" s="79"/>
      <c r="L11" s="79"/>
    </row>
    <row r="12" spans="1:14" x14ac:dyDescent="0.4"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</row>
    <row r="13" spans="1:14" ht="40.049999999999997" customHeight="1" x14ac:dyDescent="0.4">
      <c r="B13" s="79" t="s">
        <v>427</v>
      </c>
      <c r="C13" s="79"/>
      <c r="D13" s="80" t="s">
        <v>428</v>
      </c>
      <c r="E13" s="80"/>
      <c r="F13" s="80"/>
      <c r="G13" s="80"/>
      <c r="H13" s="80"/>
      <c r="I13" s="80"/>
      <c r="J13" s="80"/>
      <c r="K13" s="80"/>
      <c r="L13" s="80"/>
    </row>
    <row r="14" spans="1:14" x14ac:dyDescent="0.4"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4" ht="22.05" customHeight="1" x14ac:dyDescent="0.4">
      <c r="B15" s="80" t="s">
        <v>429</v>
      </c>
      <c r="C15" s="80"/>
      <c r="D15" s="80" t="s">
        <v>430</v>
      </c>
      <c r="E15" s="80"/>
      <c r="F15" s="80"/>
      <c r="G15" s="80"/>
      <c r="H15" s="80"/>
      <c r="I15" s="80" t="s">
        <v>431</v>
      </c>
      <c r="J15" s="80"/>
      <c r="K15" s="80"/>
      <c r="L15" s="80"/>
    </row>
    <row r="16" spans="1:14" ht="22.05" customHeight="1" x14ac:dyDescent="0.4"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</row>
    <row r="17" spans="2:12" ht="22.05" customHeight="1" x14ac:dyDescent="0.4"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</row>
    <row r="18" spans="2:12" ht="22.05" customHeight="1" x14ac:dyDescent="0.4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</row>
    <row r="19" spans="2:12" x14ac:dyDescent="0.4"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</row>
    <row r="20" spans="2:12" ht="42" customHeight="1" x14ac:dyDescent="0.4">
      <c r="B20" s="86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86"/>
      <c r="D20" s="86"/>
      <c r="E20" s="86"/>
      <c r="F20" s="86"/>
      <c r="G20" s="86"/>
      <c r="H20" s="86"/>
      <c r="I20" s="86"/>
      <c r="J20" s="86"/>
      <c r="K20" s="86"/>
      <c r="L20" s="86"/>
    </row>
    <row r="21" spans="2:12" x14ac:dyDescent="0.4">
      <c r="B21" s="121" t="s">
        <v>432</v>
      </c>
      <c r="C21" s="121"/>
      <c r="D21" s="121"/>
      <c r="E21" s="121"/>
      <c r="F21" s="121"/>
      <c r="G21" s="121"/>
      <c r="H21" s="121"/>
      <c r="I21" s="121"/>
      <c r="J21" s="121"/>
      <c r="K21" s="121"/>
      <c r="L21" s="121"/>
    </row>
    <row r="22" spans="2:12" x14ac:dyDescent="0.4"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</row>
    <row r="23" spans="2:12" x14ac:dyDescent="0.4">
      <c r="B23" s="121" t="str">
        <f>IF(OR(기초자료입력!$C$4="",기초자료입력!$C$5=""),"","20"&amp;RIGHT(기초자료입력!$C$5,2)&amp;". . .")</f>
        <v/>
      </c>
      <c r="C23" s="121"/>
      <c r="D23" s="121"/>
      <c r="E23" s="121"/>
      <c r="F23" s="121"/>
      <c r="G23" s="121"/>
      <c r="H23" s="121"/>
      <c r="I23" s="121"/>
      <c r="J23" s="121"/>
      <c r="K23" s="121"/>
      <c r="L23" s="121"/>
    </row>
    <row r="24" spans="2:12" x14ac:dyDescent="0.4">
      <c r="B24" s="121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121"/>
      <c r="D24" s="121"/>
      <c r="E24" s="121"/>
      <c r="F24" s="121"/>
      <c r="G24" s="121"/>
      <c r="H24" s="121"/>
      <c r="I24" s="121"/>
      <c r="J24" s="121"/>
      <c r="K24" s="121"/>
      <c r="L24" s="121"/>
    </row>
    <row r="25" spans="2:12" x14ac:dyDescent="0.4">
      <c r="B25" s="121" t="str">
        <f>IF(기초자료입력!$C$4="","○○○○학교장 귀하",기초자료입력!$C$4&amp;"장 귀하")</f>
        <v>○○○○학교장 귀하</v>
      </c>
      <c r="C25" s="121"/>
      <c r="D25" s="121"/>
      <c r="E25" s="121"/>
      <c r="F25" s="121"/>
      <c r="G25" s="121"/>
      <c r="H25" s="121"/>
      <c r="I25" s="121"/>
      <c r="J25" s="121"/>
      <c r="K25" s="121"/>
      <c r="L25" s="121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A7629-4586-49FE-A7D2-12F077EDFCB1}">
  <sheetPr codeName="Sheet34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402</v>
      </c>
    </row>
    <row r="2" spans="1:9" x14ac:dyDescent="0.4">
      <c r="I2" s="35" t="s">
        <v>325</v>
      </c>
    </row>
    <row r="3" spans="1:9" x14ac:dyDescent="0.4">
      <c r="B3" s="77" t="s">
        <v>403</v>
      </c>
      <c r="C3" s="78"/>
      <c r="D3" s="78"/>
      <c r="E3" s="78"/>
      <c r="F3" s="78"/>
      <c r="I3">
        <v>1</v>
      </c>
    </row>
    <row r="4" spans="1:9" ht="28.05" customHeight="1" x14ac:dyDescent="0.4">
      <c r="B4" s="86" t="s">
        <v>404</v>
      </c>
      <c r="C4" s="86"/>
      <c r="D4" s="86"/>
      <c r="E4" s="86"/>
      <c r="F4" s="86"/>
    </row>
    <row r="5" spans="1:9" x14ac:dyDescent="0.4">
      <c r="B5" s="28" t="s">
        <v>60</v>
      </c>
      <c r="C5" s="124" t="str">
        <f>IFERROR(IF(INDEX(기초자료입력!$B$44:$B$53,$I$3)=0,"",INDEX(기초자료입력!$B$44:$B$53,$I$3)),"")</f>
        <v/>
      </c>
      <c r="D5" s="124"/>
      <c r="E5" s="124"/>
      <c r="F5" s="79"/>
    </row>
    <row r="6" spans="1:9" x14ac:dyDescent="0.4">
      <c r="B6" s="30"/>
      <c r="C6" s="30"/>
      <c r="D6" s="30"/>
      <c r="E6" s="30"/>
      <c r="F6" s="30"/>
    </row>
    <row r="7" spans="1:9" x14ac:dyDescent="0.4">
      <c r="B7" s="31" t="s">
        <v>314</v>
      </c>
      <c r="C7" s="31" t="s">
        <v>81</v>
      </c>
      <c r="D7" s="31" t="s">
        <v>315</v>
      </c>
      <c r="E7" s="31" t="s">
        <v>82</v>
      </c>
      <c r="F7" s="31" t="s">
        <v>405</v>
      </c>
    </row>
    <row r="8" spans="1:9" ht="22.05" customHeight="1" x14ac:dyDescent="0.4">
      <c r="B8" s="80" t="s">
        <v>330</v>
      </c>
      <c r="C8" s="106" t="s">
        <v>406</v>
      </c>
      <c r="D8" s="32" t="s">
        <v>332</v>
      </c>
      <c r="E8" s="28">
        <v>10</v>
      </c>
      <c r="F8" s="79" t="str">
        <f>IFERROR(IF(INDEX(기초자료입력!$B$44:$B$53,$I$3)=0,"",INDEX(기초자료입력!$N$44:$N$53,$I$3)),"")</f>
        <v/>
      </c>
    </row>
    <row r="9" spans="1:9" ht="22.05" customHeight="1" x14ac:dyDescent="0.4">
      <c r="B9" s="80"/>
      <c r="C9" s="106"/>
      <c r="D9" s="32" t="s">
        <v>333</v>
      </c>
      <c r="E9" s="28">
        <v>8</v>
      </c>
      <c r="F9" s="79"/>
    </row>
    <row r="10" spans="1:9" ht="22.05" customHeight="1" x14ac:dyDescent="0.4">
      <c r="B10" s="80"/>
      <c r="C10" s="106"/>
      <c r="D10" s="32" t="s">
        <v>407</v>
      </c>
      <c r="E10" s="28">
        <v>6</v>
      </c>
      <c r="F10" s="79"/>
    </row>
    <row r="11" spans="1:9" ht="22.05" customHeight="1" x14ac:dyDescent="0.4">
      <c r="B11" s="80"/>
      <c r="C11" s="106"/>
      <c r="D11" s="32" t="s">
        <v>335</v>
      </c>
      <c r="E11" s="28">
        <v>4</v>
      </c>
      <c r="F11" s="79"/>
    </row>
    <row r="12" spans="1:9" ht="22.05" customHeight="1" x14ac:dyDescent="0.4">
      <c r="B12" s="80"/>
      <c r="C12" s="106" t="s">
        <v>408</v>
      </c>
      <c r="D12" s="32" t="s">
        <v>337</v>
      </c>
      <c r="E12" s="28">
        <v>10</v>
      </c>
      <c r="F12" s="79" t="str">
        <f>IFERROR(IF(INDEX(기초자료입력!$B$44:$B$53,$I$3)=0,"",INDEX(기초자료입력!$O$44:$O$53,$I$3)),"")</f>
        <v/>
      </c>
    </row>
    <row r="13" spans="1:9" ht="22.05" customHeight="1" x14ac:dyDescent="0.4">
      <c r="B13" s="80"/>
      <c r="C13" s="106"/>
      <c r="D13" s="32" t="s">
        <v>338</v>
      </c>
      <c r="E13" s="28">
        <v>8</v>
      </c>
      <c r="F13" s="79"/>
    </row>
    <row r="14" spans="1:9" ht="22.05" customHeight="1" x14ac:dyDescent="0.4">
      <c r="B14" s="80"/>
      <c r="C14" s="106"/>
      <c r="D14" s="32" t="s">
        <v>339</v>
      </c>
      <c r="E14" s="28">
        <v>5</v>
      </c>
      <c r="F14" s="79"/>
    </row>
    <row r="15" spans="1:9" ht="22.05" customHeight="1" x14ac:dyDescent="0.4">
      <c r="B15" s="80"/>
      <c r="C15" s="106" t="s">
        <v>409</v>
      </c>
      <c r="D15" s="32" t="s">
        <v>341</v>
      </c>
      <c r="E15" s="28">
        <v>15</v>
      </c>
      <c r="F15" s="79" t="str">
        <f>IFERROR(IF(INDEX(기초자료입력!$B$44:$B$53,$I$3)=0,"",INDEX(기초자료입력!$P$44:$P$53,$I$3)),"")</f>
        <v/>
      </c>
    </row>
    <row r="16" spans="1:9" ht="22.05" customHeight="1" x14ac:dyDescent="0.4">
      <c r="B16" s="80"/>
      <c r="C16" s="106"/>
      <c r="D16" s="32" t="s">
        <v>410</v>
      </c>
      <c r="E16" s="28">
        <v>12</v>
      </c>
      <c r="F16" s="79"/>
    </row>
    <row r="17" spans="2:6" ht="22.05" customHeight="1" x14ac:dyDescent="0.4">
      <c r="B17" s="80"/>
      <c r="C17" s="106"/>
      <c r="D17" s="32" t="s">
        <v>411</v>
      </c>
      <c r="E17" s="28">
        <v>9</v>
      </c>
      <c r="F17" s="79"/>
    </row>
    <row r="18" spans="2:6" ht="22.05" customHeight="1" x14ac:dyDescent="0.4">
      <c r="B18" s="80"/>
      <c r="C18" s="106"/>
      <c r="D18" s="32" t="s">
        <v>412</v>
      </c>
      <c r="E18" s="28">
        <v>5</v>
      </c>
      <c r="F18" s="79"/>
    </row>
    <row r="19" spans="2:6" ht="22.05" customHeight="1" x14ac:dyDescent="0.4">
      <c r="B19" s="80"/>
      <c r="C19" s="106" t="s">
        <v>345</v>
      </c>
      <c r="D19" s="32" t="s">
        <v>346</v>
      </c>
      <c r="E19" s="28">
        <v>15</v>
      </c>
      <c r="F19" s="79" t="str">
        <f>IFERROR(IF(INDEX(기초자료입력!$B$44:$B$53,$I$3)=0,"",INDEX(기초자료입력!$Q$44:$Q$53,$I$3)),"")</f>
        <v/>
      </c>
    </row>
    <row r="20" spans="2:6" ht="22.05" customHeight="1" x14ac:dyDescent="0.4">
      <c r="B20" s="80"/>
      <c r="C20" s="106"/>
      <c r="D20" s="32" t="s">
        <v>347</v>
      </c>
      <c r="E20" s="28">
        <v>0</v>
      </c>
      <c r="F20" s="79"/>
    </row>
    <row r="21" spans="2:6" x14ac:dyDescent="0.4">
      <c r="B21" s="75" t="s">
        <v>282</v>
      </c>
      <c r="C21" s="123"/>
      <c r="D21" s="123" t="s">
        <v>348</v>
      </c>
      <c r="E21" s="75"/>
      <c r="F21" s="31" t="str">
        <f>IF(OR(F8="",F12="",F15="",F19=""),"",F8+F12+F15+F19)</f>
        <v/>
      </c>
    </row>
    <row r="22" spans="2:6" x14ac:dyDescent="0.4">
      <c r="B22" s="30"/>
      <c r="C22" s="30"/>
      <c r="D22" s="30"/>
      <c r="E22" s="30"/>
      <c r="F22" s="30"/>
    </row>
    <row r="23" spans="2:6" ht="28.05" customHeight="1" x14ac:dyDescent="0.4">
      <c r="B23" s="86" t="s">
        <v>413</v>
      </c>
      <c r="C23" s="86"/>
      <c r="D23" s="86"/>
      <c r="E23" s="86"/>
      <c r="F23" s="86"/>
    </row>
    <row r="24" spans="2:6" x14ac:dyDescent="0.4">
      <c r="B24" s="30"/>
      <c r="C24" s="30"/>
      <c r="D24" s="30"/>
      <c r="E24" s="30"/>
      <c r="F24" s="30"/>
    </row>
    <row r="25" spans="2:6" x14ac:dyDescent="0.4">
      <c r="B25" s="121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121"/>
      <c r="D25" s="121"/>
      <c r="E25" s="121"/>
      <c r="F25" s="121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CB7D9-0FF4-4628-95D4-61E50B701D33}">
  <sheetPr codeName="Sheet35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367</v>
      </c>
    </row>
    <row r="2" spans="1:7" x14ac:dyDescent="0.4">
      <c r="G2" s="35" t="s">
        <v>325</v>
      </c>
    </row>
    <row r="3" spans="1:7" x14ac:dyDescent="0.4">
      <c r="B3" s="125" t="str">
        <f>IF(기초자료입력!C5&lt;&gt;"",기초자료입력!C5,"20○○")&amp;"년도 신입생 교복 제출서류 자기확인서"</f>
        <v>20○○년도 신입생 교복 제출서류 자기확인서</v>
      </c>
      <c r="C3" s="126"/>
      <c r="D3" s="126"/>
      <c r="E3" s="126"/>
      <c r="G3">
        <v>1</v>
      </c>
    </row>
    <row r="4" spans="1:7" x14ac:dyDescent="0.4">
      <c r="B4" s="38"/>
      <c r="C4" s="38"/>
      <c r="D4" s="38"/>
      <c r="E4" s="38"/>
    </row>
    <row r="5" spans="1:7" ht="19.95" customHeight="1" x14ac:dyDescent="0.4">
      <c r="B5" s="120" t="s">
        <v>368</v>
      </c>
      <c r="C5" s="120"/>
      <c r="D5" s="120"/>
      <c r="E5" s="120"/>
    </row>
    <row r="6" spans="1:7" x14ac:dyDescent="0.4">
      <c r="B6" s="38"/>
      <c r="C6" s="38"/>
      <c r="D6" s="38"/>
      <c r="E6" s="38"/>
    </row>
    <row r="7" spans="1:7" ht="24" customHeight="1" x14ac:dyDescent="0.4">
      <c r="B7" s="39" t="s">
        <v>60</v>
      </c>
      <c r="C7" s="39" t="s">
        <v>369</v>
      </c>
      <c r="D7" s="39" t="s">
        <v>370</v>
      </c>
      <c r="E7" s="39" t="s">
        <v>371</v>
      </c>
    </row>
    <row r="8" spans="1:7" ht="19.95" customHeight="1" x14ac:dyDescent="0.4">
      <c r="B8" s="40" t="str">
        <f>IFERROR(IF(INDEX(기초자료입력!$B$44:$B$53,$G$3)=0,"",INDEX(기초자료입력!$B$44:$B$53,$G$3)),"")</f>
        <v/>
      </c>
      <c r="C8" s="41"/>
      <c r="D8" s="41"/>
      <c r="E8" s="40"/>
    </row>
    <row r="9" spans="1:7" x14ac:dyDescent="0.4">
      <c r="B9" s="42"/>
      <c r="C9" s="43"/>
      <c r="D9" s="43"/>
      <c r="E9" s="42"/>
    </row>
    <row r="10" spans="1:7" ht="24" customHeight="1" x14ac:dyDescent="0.4">
      <c r="B10" s="39" t="s">
        <v>372</v>
      </c>
      <c r="C10" s="39" t="s">
        <v>55</v>
      </c>
      <c r="D10" s="39" t="s">
        <v>373</v>
      </c>
      <c r="E10" s="39" t="s">
        <v>374</v>
      </c>
    </row>
    <row r="11" spans="1:7" ht="16.05" customHeight="1" x14ac:dyDescent="0.4">
      <c r="B11" s="44" t="s">
        <v>375</v>
      </c>
      <c r="C11" s="45" t="s">
        <v>376</v>
      </c>
      <c r="D11" s="45"/>
      <c r="E11" s="44"/>
    </row>
    <row r="12" spans="1:7" ht="16.05" customHeight="1" x14ac:dyDescent="0.4">
      <c r="B12" s="44" t="s">
        <v>377</v>
      </c>
      <c r="C12" s="45" t="s">
        <v>376</v>
      </c>
      <c r="D12" s="45"/>
      <c r="E12" s="44"/>
    </row>
    <row r="13" spans="1:7" ht="16.05" customHeight="1" x14ac:dyDescent="0.4">
      <c r="B13" s="44" t="s">
        <v>378</v>
      </c>
      <c r="C13" s="45" t="s">
        <v>376</v>
      </c>
      <c r="D13" s="45"/>
      <c r="E13" s="44"/>
    </row>
    <row r="14" spans="1:7" ht="16.05" customHeight="1" x14ac:dyDescent="0.4">
      <c r="B14" s="44" t="s">
        <v>379</v>
      </c>
      <c r="C14" s="45" t="s">
        <v>376</v>
      </c>
      <c r="D14" s="45"/>
      <c r="E14" s="44" t="s">
        <v>380</v>
      </c>
    </row>
    <row r="15" spans="1:7" ht="16.05" customHeight="1" x14ac:dyDescent="0.4">
      <c r="B15" s="44" t="s">
        <v>381</v>
      </c>
      <c r="C15" s="45" t="s">
        <v>376</v>
      </c>
      <c r="D15" s="45"/>
      <c r="E15" s="44"/>
    </row>
    <row r="16" spans="1:7" ht="16.05" customHeight="1" x14ac:dyDescent="0.4">
      <c r="B16" s="44" t="s">
        <v>382</v>
      </c>
      <c r="C16" s="45" t="s">
        <v>376</v>
      </c>
      <c r="D16" s="45"/>
      <c r="E16" s="44"/>
    </row>
    <row r="17" spans="2:5" ht="16.05" customHeight="1" x14ac:dyDescent="0.4">
      <c r="B17" s="44" t="s">
        <v>383</v>
      </c>
      <c r="C17" s="45" t="s">
        <v>376</v>
      </c>
      <c r="D17" s="45"/>
      <c r="E17" s="44"/>
    </row>
    <row r="18" spans="2:5" ht="16.05" customHeight="1" x14ac:dyDescent="0.4">
      <c r="B18" s="44" t="s">
        <v>384</v>
      </c>
      <c r="C18" s="45" t="s">
        <v>376</v>
      </c>
      <c r="D18" s="45"/>
      <c r="E18" s="44"/>
    </row>
    <row r="19" spans="2:5" ht="16.05" customHeight="1" x14ac:dyDescent="0.4">
      <c r="B19" s="44" t="s">
        <v>385</v>
      </c>
      <c r="C19" s="45" t="s">
        <v>376</v>
      </c>
      <c r="D19" s="45"/>
      <c r="E19" s="44"/>
    </row>
    <row r="20" spans="2:5" ht="16.05" customHeight="1" x14ac:dyDescent="0.4">
      <c r="B20" s="44" t="s">
        <v>386</v>
      </c>
      <c r="C20" s="45" t="s">
        <v>376</v>
      </c>
      <c r="D20" s="45"/>
      <c r="E20" s="44"/>
    </row>
    <row r="21" spans="2:5" ht="16.05" customHeight="1" x14ac:dyDescent="0.4">
      <c r="B21" s="44" t="s">
        <v>387</v>
      </c>
      <c r="C21" s="45" t="s">
        <v>376</v>
      </c>
      <c r="D21" s="45"/>
      <c r="E21" s="44"/>
    </row>
    <row r="22" spans="2:5" ht="24" customHeight="1" x14ac:dyDescent="0.4">
      <c r="B22" s="44" t="s">
        <v>388</v>
      </c>
      <c r="C22" s="45" t="s">
        <v>376</v>
      </c>
      <c r="D22" s="45"/>
      <c r="E22" s="44" t="s">
        <v>389</v>
      </c>
    </row>
    <row r="23" spans="2:5" ht="16.05" customHeight="1" x14ac:dyDescent="0.4">
      <c r="B23" s="44" t="s">
        <v>390</v>
      </c>
      <c r="C23" s="45" t="s">
        <v>391</v>
      </c>
      <c r="D23" s="45"/>
      <c r="E23" s="44" t="s">
        <v>392</v>
      </c>
    </row>
    <row r="24" spans="2:5" ht="16.05" customHeight="1" x14ac:dyDescent="0.4">
      <c r="B24" s="44" t="s">
        <v>393</v>
      </c>
      <c r="C24" s="45" t="s">
        <v>391</v>
      </c>
      <c r="D24" s="45"/>
      <c r="E24" s="44" t="s">
        <v>392</v>
      </c>
    </row>
    <row r="25" spans="2:5" ht="16.05" customHeight="1" x14ac:dyDescent="0.4">
      <c r="B25" s="44" t="s">
        <v>394</v>
      </c>
      <c r="C25" s="45" t="s">
        <v>391</v>
      </c>
      <c r="D25" s="45"/>
      <c r="E25" s="44" t="s">
        <v>392</v>
      </c>
    </row>
    <row r="26" spans="2:5" ht="16.05" customHeight="1" x14ac:dyDescent="0.4">
      <c r="B26" s="44" t="s">
        <v>395</v>
      </c>
      <c r="C26" s="45" t="s">
        <v>391</v>
      </c>
      <c r="D26" s="45"/>
      <c r="E26" s="44" t="s">
        <v>392</v>
      </c>
    </row>
    <row r="27" spans="2:5" ht="16.05" customHeight="1" x14ac:dyDescent="0.4">
      <c r="B27" s="44" t="s">
        <v>396</v>
      </c>
      <c r="C27" s="45" t="s">
        <v>391</v>
      </c>
      <c r="D27" s="45"/>
      <c r="E27" s="44" t="s">
        <v>392</v>
      </c>
    </row>
    <row r="28" spans="2:5" ht="16.05" customHeight="1" x14ac:dyDescent="0.4">
      <c r="B28" s="44" t="s">
        <v>397</v>
      </c>
      <c r="C28" s="45" t="s">
        <v>391</v>
      </c>
      <c r="D28" s="45"/>
      <c r="E28" s="44" t="s">
        <v>392</v>
      </c>
    </row>
    <row r="29" spans="2:5" ht="16.05" customHeight="1" x14ac:dyDescent="0.4">
      <c r="B29" s="44" t="s">
        <v>398</v>
      </c>
      <c r="C29" s="45" t="s">
        <v>391</v>
      </c>
      <c r="D29" s="45"/>
      <c r="E29" s="44" t="s">
        <v>392</v>
      </c>
    </row>
    <row r="30" spans="2:5" ht="16.05" customHeight="1" x14ac:dyDescent="0.4">
      <c r="B30" s="44" t="s">
        <v>399</v>
      </c>
      <c r="C30" s="45" t="s">
        <v>400</v>
      </c>
      <c r="D30" s="45"/>
      <c r="E30" s="44" t="s">
        <v>401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7DDB4-2F01-4D52-AF46-454DF9C1F45F}">
  <sheetPr codeName="Sheet36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350</v>
      </c>
    </row>
    <row r="2" spans="1:9" x14ac:dyDescent="0.4">
      <c r="I2" s="35" t="s">
        <v>325</v>
      </c>
    </row>
    <row r="3" spans="1:9" x14ac:dyDescent="0.4">
      <c r="B3" s="77" t="s">
        <v>351</v>
      </c>
      <c r="C3" s="78"/>
      <c r="D3" s="78"/>
      <c r="E3" s="78"/>
      <c r="F3" s="78"/>
      <c r="I3">
        <v>1</v>
      </c>
    </row>
    <row r="4" spans="1:9" x14ac:dyDescent="0.4">
      <c r="B4" s="77" t="s">
        <v>352</v>
      </c>
      <c r="C4" s="78"/>
      <c r="D4" s="78"/>
      <c r="E4" s="78"/>
      <c r="F4" s="78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353</v>
      </c>
    </row>
    <row r="6" spans="1:9" x14ac:dyDescent="0.4">
      <c r="B6" s="78">
        <f>IFERROR(INDEX(기초자료입력!$B$44:$B$53,I3),"")</f>
        <v>0</v>
      </c>
      <c r="C6" s="78"/>
      <c r="D6" s="78"/>
      <c r="E6" s="78"/>
      <c r="F6" s="78"/>
    </row>
    <row r="7" spans="1:9" ht="24" customHeight="1" x14ac:dyDescent="0.4">
      <c r="B7" s="86" t="s">
        <v>329</v>
      </c>
      <c r="C7" s="86"/>
      <c r="D7" s="86"/>
      <c r="E7" s="86"/>
      <c r="F7" s="86"/>
    </row>
    <row r="8" spans="1:9" x14ac:dyDescent="0.4">
      <c r="B8" s="31" t="s">
        <v>314</v>
      </c>
      <c r="C8" s="31" t="s">
        <v>81</v>
      </c>
      <c r="D8" s="31" t="s">
        <v>315</v>
      </c>
      <c r="E8" s="31" t="s">
        <v>82</v>
      </c>
      <c r="F8" s="31" t="s">
        <v>316</v>
      </c>
    </row>
    <row r="9" spans="1:9" ht="45" customHeight="1" x14ac:dyDescent="0.4">
      <c r="B9" s="80" t="s">
        <v>354</v>
      </c>
      <c r="C9" s="28" t="s">
        <v>355</v>
      </c>
      <c r="D9" s="32" t="s">
        <v>356</v>
      </c>
      <c r="E9" s="28">
        <v>15</v>
      </c>
      <c r="F9" s="28">
        <f>IFERROR(INDEX(기초자료입력!$H$44:$H$53,I3),"")</f>
        <v>0</v>
      </c>
    </row>
    <row r="10" spans="1:9" ht="45" customHeight="1" x14ac:dyDescent="0.4">
      <c r="B10" s="80"/>
      <c r="C10" s="28" t="s">
        <v>357</v>
      </c>
      <c r="D10" s="32" t="s">
        <v>358</v>
      </c>
      <c r="E10" s="28">
        <v>10</v>
      </c>
      <c r="F10" s="28">
        <f>IFERROR(INDEX(기초자료입력!$I$44:$I$53,I3),"")</f>
        <v>0</v>
      </c>
    </row>
    <row r="11" spans="1:9" ht="45" customHeight="1" x14ac:dyDescent="0.4">
      <c r="B11" s="80"/>
      <c r="C11" s="28" t="s">
        <v>359</v>
      </c>
      <c r="D11" s="32" t="s">
        <v>360</v>
      </c>
      <c r="E11" s="28">
        <v>15</v>
      </c>
      <c r="F11" s="28">
        <f>IFERROR(INDEX(기초자료입력!$J$44:$J$53,I3),"")</f>
        <v>0</v>
      </c>
    </row>
    <row r="12" spans="1:9" ht="45" customHeight="1" x14ac:dyDescent="0.4">
      <c r="B12" s="80"/>
      <c r="C12" s="28" t="s">
        <v>361</v>
      </c>
      <c r="D12" s="32" t="s">
        <v>362</v>
      </c>
      <c r="E12" s="28">
        <v>10</v>
      </c>
      <c r="F12" s="28">
        <f>IFERROR(INDEX(기초자료입력!$K$44:$K$53,I3),"")</f>
        <v>0</v>
      </c>
    </row>
    <row r="13" spans="1:9" ht="45" customHeight="1" x14ac:dyDescent="0.4">
      <c r="B13" s="80"/>
      <c r="C13" s="28" t="s">
        <v>363</v>
      </c>
      <c r="D13" s="32" t="s">
        <v>364</v>
      </c>
      <c r="E13" s="28" t="s">
        <v>365</v>
      </c>
      <c r="F13" s="28">
        <f>IFERROR(INDEX(기초자료입력!$L$44:$L$53,I3),"")</f>
        <v>0</v>
      </c>
    </row>
    <row r="14" spans="1:9" x14ac:dyDescent="0.4">
      <c r="B14" s="123" t="s">
        <v>282</v>
      </c>
      <c r="C14" s="123"/>
      <c r="D14" s="123" t="s">
        <v>348</v>
      </c>
      <c r="E14" s="75"/>
      <c r="F14" s="31">
        <f>IF(OR(F9="",F10="",F11="",F12="",F13=""),"",F9+F10+F11+F12+F13)</f>
        <v>0</v>
      </c>
    </row>
    <row r="15" spans="1:9" x14ac:dyDescent="0.4">
      <c r="B15" s="37"/>
      <c r="C15" s="37"/>
      <c r="D15" s="37"/>
      <c r="E15" s="37"/>
      <c r="F15" s="37"/>
    </row>
    <row r="16" spans="1:9" ht="30" customHeight="1" x14ac:dyDescent="0.4">
      <c r="B16" s="86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86"/>
      <c r="D16" s="86"/>
      <c r="E16" s="86"/>
      <c r="F16" s="86"/>
    </row>
    <row r="17" spans="2:6" x14ac:dyDescent="0.4">
      <c r="B17" s="78" t="s">
        <v>307</v>
      </c>
      <c r="C17" s="78"/>
      <c r="D17" s="78"/>
      <c r="E17" s="78"/>
      <c r="F17" s="78"/>
    </row>
    <row r="18" spans="2:6" x14ac:dyDescent="0.4">
      <c r="B18" s="78" t="s">
        <v>366</v>
      </c>
      <c r="C18" s="78"/>
      <c r="D18" s="78"/>
      <c r="E18" s="78"/>
      <c r="F18" s="78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6A8F0-6C31-4843-9873-E3ED9099E23F}">
  <sheetPr codeName="Sheet37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324</v>
      </c>
    </row>
    <row r="2" spans="1:9" x14ac:dyDescent="0.4">
      <c r="I2" s="35" t="s">
        <v>325</v>
      </c>
    </row>
    <row r="3" spans="1:9" x14ac:dyDescent="0.4">
      <c r="B3" s="77" t="s">
        <v>326</v>
      </c>
      <c r="C3" s="78"/>
      <c r="D3" s="78"/>
      <c r="E3" s="78"/>
      <c r="F3" s="78"/>
      <c r="G3" s="78"/>
      <c r="I3">
        <v>1</v>
      </c>
    </row>
    <row r="4" spans="1:9" x14ac:dyDescent="0.4">
      <c r="B4" s="77" t="s">
        <v>327</v>
      </c>
      <c r="C4" s="78"/>
      <c r="D4" s="78"/>
      <c r="E4" s="78"/>
      <c r="F4" s="78"/>
      <c r="G4" s="78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328</v>
      </c>
      <c r="G5" s="36">
        <f>IFERROR(INDEX(기초자료입력!$B$44:$B$53,I3),"")</f>
        <v>0</v>
      </c>
    </row>
    <row r="6" spans="1:9" ht="24" customHeight="1" x14ac:dyDescent="0.4">
      <c r="B6" s="86" t="s">
        <v>329</v>
      </c>
      <c r="C6" s="86"/>
      <c r="D6" s="86"/>
      <c r="E6" s="86"/>
      <c r="F6" s="86"/>
      <c r="G6" s="86"/>
    </row>
    <row r="7" spans="1:9" x14ac:dyDescent="0.4">
      <c r="B7" s="37"/>
      <c r="C7" s="37"/>
      <c r="D7" s="37"/>
      <c r="E7" s="37"/>
      <c r="F7" s="37"/>
      <c r="G7" s="37"/>
    </row>
    <row r="8" spans="1:9" x14ac:dyDescent="0.4">
      <c r="B8" s="31" t="s">
        <v>314</v>
      </c>
      <c r="C8" s="31" t="s">
        <v>81</v>
      </c>
      <c r="D8" s="31" t="s">
        <v>315</v>
      </c>
      <c r="E8" s="31" t="s">
        <v>82</v>
      </c>
      <c r="F8" s="31" t="s">
        <v>316</v>
      </c>
      <c r="G8" s="36"/>
    </row>
    <row r="9" spans="1:9" ht="22.05" customHeight="1" x14ac:dyDescent="0.4">
      <c r="B9" s="80" t="s">
        <v>330</v>
      </c>
      <c r="C9" s="106" t="s">
        <v>331</v>
      </c>
      <c r="D9" s="32" t="s">
        <v>332</v>
      </c>
      <c r="E9" s="28">
        <v>10</v>
      </c>
      <c r="F9" s="79">
        <f>IFERROR(INDEX(기초자료입력!$C$44:$C$53,I3),"")</f>
        <v>0</v>
      </c>
      <c r="G9" s="29"/>
    </row>
    <row r="10" spans="1:9" ht="22.05" customHeight="1" x14ac:dyDescent="0.4">
      <c r="B10" s="80"/>
      <c r="C10" s="106"/>
      <c r="D10" s="32" t="s">
        <v>333</v>
      </c>
      <c r="E10" s="28">
        <v>8</v>
      </c>
      <c r="F10" s="79"/>
      <c r="G10" s="29"/>
    </row>
    <row r="11" spans="1:9" ht="22.05" customHeight="1" x14ac:dyDescent="0.4">
      <c r="B11" s="80"/>
      <c r="C11" s="106"/>
      <c r="D11" s="32" t="s">
        <v>334</v>
      </c>
      <c r="E11" s="28">
        <v>6</v>
      </c>
      <c r="F11" s="79"/>
      <c r="G11" s="29"/>
    </row>
    <row r="12" spans="1:9" ht="22.05" customHeight="1" x14ac:dyDescent="0.4">
      <c r="B12" s="80"/>
      <c r="C12" s="106"/>
      <c r="D12" s="32" t="s">
        <v>335</v>
      </c>
      <c r="E12" s="28">
        <v>4</v>
      </c>
      <c r="F12" s="79"/>
      <c r="G12" s="29"/>
    </row>
    <row r="13" spans="1:9" ht="22.05" customHeight="1" x14ac:dyDescent="0.4">
      <c r="B13" s="80"/>
      <c r="C13" s="106" t="s">
        <v>336</v>
      </c>
      <c r="D13" s="32" t="s">
        <v>337</v>
      </c>
      <c r="E13" s="28">
        <v>10</v>
      </c>
      <c r="F13" s="79">
        <f>IFERROR(INDEX(기초자료입력!$D$44:$D$53,I3),"")</f>
        <v>0</v>
      </c>
      <c r="G13" s="29"/>
    </row>
    <row r="14" spans="1:9" ht="22.05" customHeight="1" x14ac:dyDescent="0.4">
      <c r="B14" s="80"/>
      <c r="C14" s="106"/>
      <c r="D14" s="32" t="s">
        <v>338</v>
      </c>
      <c r="E14" s="28">
        <v>8</v>
      </c>
      <c r="F14" s="79"/>
      <c r="G14" s="29"/>
    </row>
    <row r="15" spans="1:9" ht="22.05" customHeight="1" x14ac:dyDescent="0.4">
      <c r="B15" s="80"/>
      <c r="C15" s="106"/>
      <c r="D15" s="32" t="s">
        <v>339</v>
      </c>
      <c r="E15" s="28">
        <v>5</v>
      </c>
      <c r="F15" s="79"/>
      <c r="G15" s="29"/>
    </row>
    <row r="16" spans="1:9" ht="22.05" customHeight="1" x14ac:dyDescent="0.4">
      <c r="B16" s="80"/>
      <c r="C16" s="106" t="s">
        <v>340</v>
      </c>
      <c r="D16" s="32" t="s">
        <v>341</v>
      </c>
      <c r="E16" s="28">
        <v>15</v>
      </c>
      <c r="F16" s="79">
        <f>IFERROR(INDEX(기초자료입력!$E$44:$E$53,I3),"")</f>
        <v>0</v>
      </c>
      <c r="G16" s="29"/>
    </row>
    <row r="17" spans="2:7" ht="22.05" customHeight="1" x14ac:dyDescent="0.4">
      <c r="B17" s="80"/>
      <c r="C17" s="106"/>
      <c r="D17" s="32" t="s">
        <v>342</v>
      </c>
      <c r="E17" s="28">
        <v>12</v>
      </c>
      <c r="F17" s="79"/>
      <c r="G17" s="29"/>
    </row>
    <row r="18" spans="2:7" ht="22.05" customHeight="1" x14ac:dyDescent="0.4">
      <c r="B18" s="80"/>
      <c r="C18" s="106"/>
      <c r="D18" s="32" t="s">
        <v>343</v>
      </c>
      <c r="E18" s="28">
        <v>9</v>
      </c>
      <c r="F18" s="79"/>
      <c r="G18" s="29"/>
    </row>
    <row r="19" spans="2:7" ht="22.05" customHeight="1" x14ac:dyDescent="0.4">
      <c r="B19" s="80"/>
      <c r="C19" s="106"/>
      <c r="D19" s="32" t="s">
        <v>344</v>
      </c>
      <c r="E19" s="28">
        <v>5</v>
      </c>
      <c r="F19" s="79"/>
      <c r="G19" s="29"/>
    </row>
    <row r="20" spans="2:7" ht="22.05" customHeight="1" x14ac:dyDescent="0.4">
      <c r="B20" s="80"/>
      <c r="C20" s="106" t="s">
        <v>345</v>
      </c>
      <c r="D20" s="32" t="s">
        <v>346</v>
      </c>
      <c r="E20" s="28">
        <v>15</v>
      </c>
      <c r="F20" s="79">
        <f>IFERROR(INDEX(기초자료입력!$F$44:$F$53,I3),"")</f>
        <v>0</v>
      </c>
      <c r="G20" s="29"/>
    </row>
    <row r="21" spans="2:7" ht="22.05" customHeight="1" x14ac:dyDescent="0.4">
      <c r="B21" s="80"/>
      <c r="C21" s="106"/>
      <c r="D21" s="32" t="s">
        <v>347</v>
      </c>
      <c r="E21" s="28">
        <v>0</v>
      </c>
      <c r="F21" s="79"/>
      <c r="G21" s="29"/>
    </row>
    <row r="22" spans="2:7" x14ac:dyDescent="0.4">
      <c r="B22" s="75" t="s">
        <v>282</v>
      </c>
      <c r="C22" s="123"/>
      <c r="D22" s="123" t="s">
        <v>348</v>
      </c>
      <c r="E22" s="75"/>
      <c r="F22" s="31">
        <f>IF(OR(F9="",F13="",F16="",F20=""),"",F9+F13+F16+F20)</f>
        <v>0</v>
      </c>
      <c r="G22" s="29"/>
    </row>
    <row r="23" spans="2:7" x14ac:dyDescent="0.4">
      <c r="B23" s="37"/>
      <c r="C23" s="37"/>
      <c r="D23" s="37"/>
      <c r="E23" s="37"/>
      <c r="F23" s="37"/>
      <c r="G23" s="37"/>
    </row>
    <row r="24" spans="2:7" ht="30" customHeight="1" x14ac:dyDescent="0.4">
      <c r="B24" s="86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86"/>
      <c r="D24" s="86"/>
      <c r="E24" s="86"/>
      <c r="F24" s="86"/>
      <c r="G24" s="86"/>
    </row>
    <row r="25" spans="2:7" x14ac:dyDescent="0.4">
      <c r="B25" s="78" t="s">
        <v>307</v>
      </c>
      <c r="C25" s="78"/>
      <c r="D25" s="78"/>
      <c r="E25" s="78"/>
      <c r="F25" s="78"/>
      <c r="G25" s="78"/>
    </row>
    <row r="26" spans="2:7" x14ac:dyDescent="0.4">
      <c r="B26" s="78" t="s">
        <v>349</v>
      </c>
      <c r="C26" s="78"/>
      <c r="D26" s="78"/>
      <c r="E26" s="78"/>
      <c r="F26" s="78"/>
      <c r="G26" s="78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AC381-7A40-4DA0-BEEF-41C0677E19DE}">
  <sheetPr codeName="Sheet38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309</v>
      </c>
    </row>
    <row r="3" spans="1:7" x14ac:dyDescent="0.4">
      <c r="B3" s="77" t="s">
        <v>310</v>
      </c>
      <c r="C3" s="78"/>
      <c r="D3" s="78"/>
      <c r="E3" s="78"/>
      <c r="F3" s="78"/>
      <c r="G3" s="78"/>
    </row>
    <row r="4" spans="1:7" x14ac:dyDescent="0.4">
      <c r="B4" s="78" t="s">
        <v>311</v>
      </c>
      <c r="C4" s="78"/>
      <c r="D4" s="78"/>
      <c r="E4" s="78"/>
      <c r="F4" s="78"/>
      <c r="G4" s="78"/>
    </row>
    <row r="5" spans="1:7" x14ac:dyDescent="0.4">
      <c r="B5" s="28" t="s">
        <v>87</v>
      </c>
      <c r="C5" s="29" t="str">
        <f>IF(기초자료입력!C4&lt;&gt;"",기초자료입력!C4,"")</f>
        <v/>
      </c>
      <c r="D5" s="29" t="s">
        <v>88</v>
      </c>
      <c r="E5" s="29" t="str">
        <f>IF(기초자료입력!C5&lt;&gt;"",기초자료입력!C5,"")</f>
        <v/>
      </c>
      <c r="F5" s="29" t="s">
        <v>312</v>
      </c>
      <c r="G5" s="28" t="str">
        <f>IF(COUNTA(기초자료입력!B72:B81)&gt;0,기초자료입력!D82,"")</f>
        <v/>
      </c>
    </row>
    <row r="6" spans="1:7" x14ac:dyDescent="0.4">
      <c r="B6" s="127" t="str">
        <f>IF(기초자료입력!C22&lt;&gt;"",기초자료입력!C22,"제안서 평가항목 및 배점기준")</f>
        <v>제안서 평가항목 및 배점기준</v>
      </c>
      <c r="C6" s="121"/>
      <c r="D6" s="121"/>
      <c r="E6" s="121"/>
      <c r="F6" s="121"/>
      <c r="G6" s="121"/>
    </row>
    <row r="7" spans="1:7" ht="30" customHeight="1" x14ac:dyDescent="0.4">
      <c r="B7" s="86" t="s">
        <v>313</v>
      </c>
      <c r="C7" s="86"/>
      <c r="D7" s="86"/>
      <c r="E7" s="86"/>
      <c r="F7" s="86"/>
      <c r="G7" s="86"/>
    </row>
    <row r="8" spans="1:7" x14ac:dyDescent="0.4">
      <c r="B8" s="30"/>
      <c r="C8" s="30"/>
      <c r="D8" s="30"/>
      <c r="E8" s="30"/>
      <c r="F8" s="30"/>
      <c r="G8" s="30"/>
    </row>
    <row r="9" spans="1:7" x14ac:dyDescent="0.4">
      <c r="B9" s="31" t="s">
        <v>314</v>
      </c>
      <c r="C9" s="31" t="s">
        <v>81</v>
      </c>
      <c r="D9" s="31" t="s">
        <v>315</v>
      </c>
      <c r="E9" s="31" t="s">
        <v>82</v>
      </c>
      <c r="F9" s="31" t="s">
        <v>316</v>
      </c>
      <c r="G9" s="31" t="s">
        <v>303</v>
      </c>
    </row>
    <row r="10" spans="1:7" ht="24" customHeight="1" x14ac:dyDescent="0.4">
      <c r="B10" s="28" t="str">
        <f>IF(기초자료입력!B72&lt;&gt;"","평가","")</f>
        <v/>
      </c>
      <c r="C10" s="32" t="str">
        <f>IF(기초자료입력!B72&lt;&gt;"",기초자료입력!B72,"")</f>
        <v/>
      </c>
      <c r="D10" s="29" t="s">
        <v>317</v>
      </c>
      <c r="E10" s="33" t="str">
        <f>IF(기초자료입력!C72&lt;&gt;"",기초자료입력!C72,"")</f>
        <v/>
      </c>
      <c r="F10" s="33" t="str">
        <f>IF(기초자료입력!D72&lt;&gt;"",기초자료입력!D72,"")</f>
        <v/>
      </c>
      <c r="G10" s="28" t="str">
        <f>IF(AND(기초자료입력!B72&lt;&gt;"",기초자료입력!D72&lt;=기초자료입력!C72),"정상","")</f>
        <v/>
      </c>
    </row>
    <row r="11" spans="1:7" ht="24" customHeight="1" x14ac:dyDescent="0.4">
      <c r="B11" s="28" t="str">
        <f>IF(기초자료입력!B73&lt;&gt;"","평가","")</f>
        <v/>
      </c>
      <c r="C11" s="32" t="str">
        <f>IF(기초자료입력!B73&lt;&gt;"",기초자료입력!B73,"")</f>
        <v/>
      </c>
      <c r="D11" s="29" t="s">
        <v>317</v>
      </c>
      <c r="E11" s="33" t="str">
        <f>IF(기초자료입력!C73&lt;&gt;"",기초자료입력!C73,"")</f>
        <v/>
      </c>
      <c r="F11" s="33" t="str">
        <f>IF(기초자료입력!D73&lt;&gt;"",기초자료입력!D73,"")</f>
        <v/>
      </c>
      <c r="G11" s="28" t="str">
        <f>IF(AND(기초자료입력!B73&lt;&gt;"",기초자료입력!D73&lt;=기초자료입력!C73),"정상","")</f>
        <v/>
      </c>
    </row>
    <row r="12" spans="1:7" ht="24" customHeight="1" x14ac:dyDescent="0.4">
      <c r="B12" s="28" t="str">
        <f>IF(기초자료입력!B74&lt;&gt;"","평가","")</f>
        <v/>
      </c>
      <c r="C12" s="32" t="str">
        <f>IF(기초자료입력!B74&lt;&gt;"",기초자료입력!B74,"")</f>
        <v/>
      </c>
      <c r="D12" s="29" t="s">
        <v>317</v>
      </c>
      <c r="E12" s="33" t="str">
        <f>IF(기초자료입력!C74&lt;&gt;"",기초자료입력!C74,"")</f>
        <v/>
      </c>
      <c r="F12" s="33" t="str">
        <f>IF(기초자료입력!D74&lt;&gt;"",기초자료입력!D74,"")</f>
        <v/>
      </c>
      <c r="G12" s="28" t="str">
        <f>IF(AND(기초자료입력!B74&lt;&gt;"",기초자료입력!D74&lt;=기초자료입력!C74),"정상","")</f>
        <v/>
      </c>
    </row>
    <row r="13" spans="1:7" ht="24" customHeight="1" x14ac:dyDescent="0.4">
      <c r="B13" s="28" t="str">
        <f>IF(기초자료입력!B75&lt;&gt;"","평가","")</f>
        <v/>
      </c>
      <c r="C13" s="32" t="str">
        <f>IF(기초자료입력!B75&lt;&gt;"",기초자료입력!B75,"")</f>
        <v/>
      </c>
      <c r="D13" s="29" t="s">
        <v>317</v>
      </c>
      <c r="E13" s="33" t="str">
        <f>IF(기초자료입력!C75&lt;&gt;"",기초자료입력!C75,"")</f>
        <v/>
      </c>
      <c r="F13" s="33" t="str">
        <f>IF(기초자료입력!D75&lt;&gt;"",기초자료입력!D75,"")</f>
        <v/>
      </c>
      <c r="G13" s="28" t="str">
        <f>IF(AND(기초자료입력!B75&lt;&gt;"",기초자료입력!D75&lt;=기초자료입력!C75),"정상","")</f>
        <v/>
      </c>
    </row>
    <row r="14" spans="1:7" ht="24" customHeight="1" x14ac:dyDescent="0.4">
      <c r="B14" s="28" t="str">
        <f>IF(기초자료입력!B76&lt;&gt;"","평가","")</f>
        <v/>
      </c>
      <c r="C14" s="32" t="str">
        <f>IF(기초자료입력!B76&lt;&gt;"",기초자료입력!B76,"")</f>
        <v/>
      </c>
      <c r="D14" s="29" t="s">
        <v>317</v>
      </c>
      <c r="E14" s="33" t="str">
        <f>IF(기초자료입력!C76&lt;&gt;"",기초자료입력!C76,"")</f>
        <v/>
      </c>
      <c r="F14" s="33" t="str">
        <f>IF(기초자료입력!D76&lt;&gt;"",기초자료입력!D76,"")</f>
        <v/>
      </c>
      <c r="G14" s="28" t="str">
        <f>IF(AND(기초자료입력!B76&lt;&gt;"",기초자료입력!D76&lt;=기초자료입력!C76),"정상","")</f>
        <v/>
      </c>
    </row>
    <row r="15" spans="1:7" ht="24" customHeight="1" x14ac:dyDescent="0.4">
      <c r="B15" s="28" t="str">
        <f>IF(기초자료입력!B77&lt;&gt;"","평가","")</f>
        <v/>
      </c>
      <c r="C15" s="32" t="str">
        <f>IF(기초자료입력!B77&lt;&gt;"",기초자료입력!B77,"")</f>
        <v/>
      </c>
      <c r="D15" s="29" t="s">
        <v>317</v>
      </c>
      <c r="E15" s="33" t="str">
        <f>IF(기초자료입력!C77&lt;&gt;"",기초자료입력!C77,"")</f>
        <v/>
      </c>
      <c r="F15" s="33" t="str">
        <f>IF(기초자료입력!D77&lt;&gt;"",기초자료입력!D77,"")</f>
        <v/>
      </c>
      <c r="G15" s="28" t="str">
        <f>IF(AND(기초자료입력!B77&lt;&gt;"",기초자료입력!D77&lt;=기초자료입력!C77),"정상","")</f>
        <v/>
      </c>
    </row>
    <row r="16" spans="1:7" ht="24" customHeight="1" x14ac:dyDescent="0.4">
      <c r="B16" s="28" t="str">
        <f>IF(기초자료입력!B78&lt;&gt;"","평가","")</f>
        <v/>
      </c>
      <c r="C16" s="32" t="str">
        <f>IF(기초자료입력!B78&lt;&gt;"",기초자료입력!B78,"")</f>
        <v/>
      </c>
      <c r="D16" s="29" t="s">
        <v>317</v>
      </c>
      <c r="E16" s="33" t="str">
        <f>IF(기초자료입력!C78&lt;&gt;"",기초자료입력!C78,"")</f>
        <v/>
      </c>
      <c r="F16" s="33" t="str">
        <f>IF(기초자료입력!D78&lt;&gt;"",기초자료입력!D78,"")</f>
        <v/>
      </c>
      <c r="G16" s="28" t="str">
        <f>IF(AND(기초자료입력!B78&lt;&gt;"",기초자료입력!D78&lt;=기초자료입력!C78),"정상","")</f>
        <v/>
      </c>
    </row>
    <row r="17" spans="2:7" ht="24" customHeight="1" x14ac:dyDescent="0.4">
      <c r="B17" s="28" t="str">
        <f>IF(기초자료입력!B79&lt;&gt;"","평가","")</f>
        <v/>
      </c>
      <c r="C17" s="32" t="str">
        <f>IF(기초자료입력!B79&lt;&gt;"",기초자료입력!B79,"")</f>
        <v/>
      </c>
      <c r="D17" s="29" t="s">
        <v>317</v>
      </c>
      <c r="E17" s="33" t="str">
        <f>IF(기초자료입력!C79&lt;&gt;"",기초자료입력!C79,"")</f>
        <v/>
      </c>
      <c r="F17" s="33" t="str">
        <f>IF(기초자료입력!D79&lt;&gt;"",기초자료입력!D79,"")</f>
        <v/>
      </c>
      <c r="G17" s="28" t="str">
        <f>IF(AND(기초자료입력!B79&lt;&gt;"",기초자료입력!D79&lt;=기초자료입력!C79),"정상","")</f>
        <v/>
      </c>
    </row>
    <row r="18" spans="2:7" ht="24" customHeight="1" x14ac:dyDescent="0.4">
      <c r="B18" s="28" t="str">
        <f>IF(기초자료입력!B80&lt;&gt;"","평가","")</f>
        <v/>
      </c>
      <c r="C18" s="32" t="str">
        <f>IF(기초자료입력!B80&lt;&gt;"",기초자료입력!B80,"")</f>
        <v/>
      </c>
      <c r="D18" s="29" t="s">
        <v>317</v>
      </c>
      <c r="E18" s="33" t="str">
        <f>IF(기초자료입력!C80&lt;&gt;"",기초자료입력!C80,"")</f>
        <v/>
      </c>
      <c r="F18" s="33" t="str">
        <f>IF(기초자료입력!D80&lt;&gt;"",기초자료입력!D80,"")</f>
        <v/>
      </c>
      <c r="G18" s="28" t="str">
        <f>IF(AND(기초자료입력!B80&lt;&gt;"",기초자료입력!D80&lt;=기초자료입력!C80),"정상","")</f>
        <v/>
      </c>
    </row>
    <row r="19" spans="2:7" ht="24" customHeight="1" x14ac:dyDescent="0.4">
      <c r="B19" s="28" t="str">
        <f>IF(기초자료입력!B81&lt;&gt;"","평가","")</f>
        <v/>
      </c>
      <c r="C19" s="32" t="str">
        <f>IF(기초자료입력!B81&lt;&gt;"",기초자료입력!B81,"")</f>
        <v/>
      </c>
      <c r="D19" s="29" t="s">
        <v>317</v>
      </c>
      <c r="E19" s="33" t="str">
        <f>IF(기초자료입력!C81&lt;&gt;"",기초자료입력!C81,"")</f>
        <v/>
      </c>
      <c r="F19" s="33" t="str">
        <f>IF(기초자료입력!D81&lt;&gt;"",기초자료입력!D81,"")</f>
        <v/>
      </c>
      <c r="G19" s="28" t="str">
        <f>IF(AND(기초자료입력!B81&lt;&gt;"",기초자료입력!D81&lt;=기초자료입력!C81),"정상","")</f>
        <v/>
      </c>
    </row>
    <row r="20" spans="2:7" x14ac:dyDescent="0.4">
      <c r="B20" s="75" t="s">
        <v>318</v>
      </c>
      <c r="C20" s="123"/>
      <c r="D20" s="123"/>
      <c r="E20" s="34">
        <f>SUM(E10:E19)</f>
        <v>0</v>
      </c>
      <c r="F20" s="34">
        <f>기초자료입력!D82</f>
        <v>0</v>
      </c>
      <c r="G20" s="31" t="s">
        <v>319</v>
      </c>
    </row>
    <row r="21" spans="2:7" x14ac:dyDescent="0.4">
      <c r="B21" s="30"/>
      <c r="C21" s="30"/>
      <c r="D21" s="30"/>
      <c r="E21" s="30"/>
      <c r="F21" s="30"/>
      <c r="G21" s="30"/>
    </row>
    <row r="22" spans="2:7" x14ac:dyDescent="0.4">
      <c r="B22" s="98" t="s">
        <v>320</v>
      </c>
      <c r="C22" s="86"/>
      <c r="D22" s="86"/>
      <c r="E22" s="86"/>
      <c r="F22" s="86"/>
      <c r="G22" s="86"/>
    </row>
    <row r="23" spans="2:7" ht="30" customHeight="1" x14ac:dyDescent="0.4">
      <c r="B23" s="86" t="s">
        <v>321</v>
      </c>
      <c r="C23" s="86"/>
      <c r="D23" s="86"/>
      <c r="E23" s="86"/>
      <c r="F23" s="86"/>
      <c r="G23" s="86"/>
    </row>
    <row r="24" spans="2:7" ht="30" customHeight="1" x14ac:dyDescent="0.4">
      <c r="B24" s="86" t="s">
        <v>322</v>
      </c>
      <c r="C24" s="86"/>
      <c r="D24" s="86"/>
      <c r="E24" s="86"/>
      <c r="F24" s="86"/>
      <c r="G24" s="86"/>
    </row>
    <row r="25" spans="2:7" ht="30" customHeight="1" x14ac:dyDescent="0.4">
      <c r="B25" s="86" t="s">
        <v>323</v>
      </c>
      <c r="C25" s="86"/>
      <c r="D25" s="86"/>
      <c r="E25" s="86"/>
      <c r="F25" s="86"/>
      <c r="G25" s="86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1DACE-7BB1-4AAC-B3E9-F090D0A155B4}">
  <sheetPr codeName="Sheet39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283</v>
      </c>
    </row>
    <row r="3" spans="1:7" ht="30" customHeight="1" x14ac:dyDescent="0.4">
      <c r="B3" s="74" t="s">
        <v>299</v>
      </c>
      <c r="C3" s="73"/>
      <c r="D3" s="73"/>
      <c r="E3" s="73"/>
      <c r="F3" s="73"/>
      <c r="G3" s="73"/>
    </row>
    <row r="4" spans="1:7" x14ac:dyDescent="0.4">
      <c r="B4" s="73" t="s">
        <v>300</v>
      </c>
      <c r="C4" s="73"/>
      <c r="D4" s="73"/>
      <c r="E4" s="73"/>
      <c r="F4" s="73"/>
      <c r="G4" s="73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101" t="s">
        <v>301</v>
      </c>
      <c r="C8" s="101"/>
      <c r="D8" s="26" t="s">
        <v>55</v>
      </c>
      <c r="E8" s="26" t="s">
        <v>302</v>
      </c>
      <c r="F8" s="101" t="s">
        <v>303</v>
      </c>
      <c r="G8" s="101"/>
    </row>
    <row r="9" spans="1:7" x14ac:dyDescent="0.4">
      <c r="B9" s="100" t="s">
        <v>304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113" t="s">
        <v>306</v>
      </c>
      <c r="G9" s="113"/>
    </row>
    <row r="10" spans="1:7" x14ac:dyDescent="0.4">
      <c r="B10" s="100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113"/>
      <c r="G10" s="113"/>
    </row>
    <row r="11" spans="1:7" x14ac:dyDescent="0.4">
      <c r="B11" s="100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113"/>
      <c r="G11" s="113"/>
    </row>
    <row r="12" spans="1:7" x14ac:dyDescent="0.4">
      <c r="B12" s="100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113"/>
      <c r="G12" s="113"/>
    </row>
    <row r="13" spans="1:7" x14ac:dyDescent="0.4">
      <c r="B13" s="100" t="s">
        <v>305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113"/>
      <c r="G13" s="113"/>
    </row>
    <row r="14" spans="1:7" x14ac:dyDescent="0.4">
      <c r="B14" s="100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113"/>
      <c r="G14" s="113"/>
    </row>
    <row r="15" spans="1:7" x14ac:dyDescent="0.4">
      <c r="B15" s="102" t="s">
        <v>282</v>
      </c>
      <c r="C15" s="102"/>
      <c r="D15" s="25">
        <f>SUM(D9:D14)</f>
        <v>6</v>
      </c>
      <c r="E15" s="25" t="str">
        <f>"100%"</f>
        <v>100%</v>
      </c>
      <c r="F15" s="102"/>
      <c r="G15" s="102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83" t="s">
        <v>307</v>
      </c>
      <c r="C17" s="83"/>
      <c r="D17" s="83"/>
      <c r="E17" s="83"/>
      <c r="F17" s="83"/>
      <c r="G17" s="83"/>
    </row>
    <row r="18" spans="2:7" x14ac:dyDescent="0.4">
      <c r="B18" s="83" t="s">
        <v>308</v>
      </c>
      <c r="C18" s="83"/>
      <c r="D18" s="83"/>
      <c r="E18" s="83"/>
      <c r="F18" s="83"/>
      <c r="G18" s="83"/>
    </row>
    <row r="19" spans="2:7" x14ac:dyDescent="0.4">
      <c r="B19" s="83" t="str">
        <f>IF(기초자료입력!C4&lt;&gt;"",기초자료입력!C4,"○○○○학교")&amp;"장 귀하"</f>
        <v>○○○○학교장 귀하</v>
      </c>
      <c r="C19" s="83"/>
      <c r="D19" s="83"/>
      <c r="E19" s="83"/>
      <c r="F19" s="83"/>
      <c r="G19" s="83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739C0-CB44-4329-81B6-0E49CE855A5B}">
  <sheetPr codeName="Sheet40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283</v>
      </c>
    </row>
    <row r="3" spans="1:8" ht="30" customHeight="1" x14ac:dyDescent="0.4">
      <c r="B3" s="128" t="s">
        <v>275</v>
      </c>
      <c r="C3" s="88"/>
      <c r="D3" s="88"/>
      <c r="E3" s="88"/>
      <c r="F3" s="88"/>
      <c r="G3" s="88"/>
      <c r="H3" s="88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276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277</v>
      </c>
      <c r="C7" s="100" t="str">
        <f>IF(기초자료입력!C21&lt;&gt;"",기초자료입력!C21,"내부결재")</f>
        <v>내부결재</v>
      </c>
      <c r="D7" s="100"/>
      <c r="E7" s="100"/>
      <c r="F7" s="100"/>
      <c r="G7" s="100"/>
      <c r="H7" s="100"/>
    </row>
    <row r="8" spans="1:8" x14ac:dyDescent="0.4">
      <c r="B8" s="25" t="s">
        <v>284</v>
      </c>
      <c r="C8" s="100"/>
      <c r="D8" s="100"/>
      <c r="E8" s="100"/>
      <c r="F8" s="100"/>
      <c r="G8" s="100"/>
      <c r="H8" s="100"/>
    </row>
    <row r="9" spans="1:8" x14ac:dyDescent="0.4">
      <c r="B9" s="25" t="s">
        <v>278</v>
      </c>
      <c r="C9" s="102" t="str">
        <f>IF(기초자료입력!C22&lt;&gt;"",기초자료입력!C22,기초자료입력!C5&amp;"학년도 "&amp;기초자료입력!C12&amp;" 구매 요청")</f>
        <v>학년도  구매 요청</v>
      </c>
      <c r="D9" s="100"/>
      <c r="E9" s="100"/>
      <c r="F9" s="100"/>
      <c r="G9" s="100"/>
      <c r="H9" s="100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5" t="s">
        <v>285</v>
      </c>
      <c r="C11" s="100" t="str">
        <f>IF(기초자료입력!C23&lt;&gt;"",기초자료입력!C23,"")</f>
        <v/>
      </c>
      <c r="D11" s="100"/>
      <c r="E11" s="100"/>
      <c r="F11" s="100"/>
      <c r="G11" s="100"/>
      <c r="H11" s="100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113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113"/>
      <c r="D13" s="113"/>
      <c r="E13" s="113"/>
      <c r="F13" s="113"/>
      <c r="G13" s="113"/>
      <c r="H13" s="113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5" t="s">
        <v>286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5" t="s">
        <v>287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5" t="s">
        <v>288</v>
      </c>
      <c r="C17" s="22" t="s">
        <v>290</v>
      </c>
      <c r="D17" s="22"/>
      <c r="E17" s="22"/>
      <c r="F17" s="22"/>
      <c r="G17" s="22"/>
      <c r="H17" s="22"/>
    </row>
    <row r="18" spans="2:8" x14ac:dyDescent="0.4">
      <c r="B18" s="25" t="s">
        <v>289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5" t="s">
        <v>279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280</v>
      </c>
      <c r="G23" s="22" t="s">
        <v>291</v>
      </c>
      <c r="H23" s="22" t="s">
        <v>281</v>
      </c>
    </row>
    <row r="24" spans="2:8" x14ac:dyDescent="0.4">
      <c r="B24" s="25" t="s">
        <v>292</v>
      </c>
      <c r="C24" s="100" t="str">
        <f>IF(기초자료입력!C9&lt;&gt;"",기초자료입력!C9,"")</f>
        <v/>
      </c>
      <c r="D24" s="100"/>
      <c r="E24" s="100"/>
      <c r="F24" s="25" t="s">
        <v>293</v>
      </c>
      <c r="G24" s="100"/>
      <c r="H24" s="100"/>
    </row>
    <row r="25" spans="2:8" x14ac:dyDescent="0.4">
      <c r="B25" s="25" t="s">
        <v>294</v>
      </c>
      <c r="C25" s="22"/>
      <c r="D25" s="25" t="s">
        <v>295</v>
      </c>
      <c r="E25" s="100"/>
      <c r="F25" s="100"/>
      <c r="G25" s="100"/>
      <c r="H25" s="100"/>
    </row>
    <row r="26" spans="2:8" x14ac:dyDescent="0.4">
      <c r="B26" s="25" t="s">
        <v>296</v>
      </c>
      <c r="C26" s="22"/>
      <c r="D26" s="25" t="s">
        <v>297</v>
      </c>
      <c r="E26" s="22"/>
      <c r="F26" s="25" t="s">
        <v>298</v>
      </c>
      <c r="G26" s="100"/>
      <c r="H26" s="100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0D45A-D8FC-47EC-90DE-866AE38D6392}">
  <sheetPr codeName="Sheet41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129</v>
      </c>
      <c r="F10" s="18" t="s">
        <v>145</v>
      </c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152</v>
      </c>
      <c r="F12" s="18"/>
    </row>
    <row r="13" spans="1:6" x14ac:dyDescent="0.4">
      <c r="A13" s="19" t="b">
        <v>0</v>
      </c>
      <c r="B13" s="18" t="s">
        <v>153</v>
      </c>
      <c r="C13" s="18" t="s">
        <v>154</v>
      </c>
      <c r="D13" s="18" t="s">
        <v>148</v>
      </c>
      <c r="E13" s="18" t="s">
        <v>152</v>
      </c>
      <c r="F13" s="18"/>
    </row>
    <row r="14" spans="1:6" x14ac:dyDescent="0.4">
      <c r="A14" s="19" t="b">
        <v>0</v>
      </c>
      <c r="B14" s="18" t="s">
        <v>155</v>
      </c>
      <c r="C14" s="18" t="s">
        <v>156</v>
      </c>
      <c r="D14" s="18" t="s">
        <v>148</v>
      </c>
      <c r="E14" s="18" t="s">
        <v>152</v>
      </c>
      <c r="F14" s="18"/>
    </row>
    <row r="15" spans="1:6" x14ac:dyDescent="0.4">
      <c r="A15" s="19" t="b">
        <v>0</v>
      </c>
      <c r="B15" s="18" t="s">
        <v>157</v>
      </c>
      <c r="C15" s="18" t="s">
        <v>158</v>
      </c>
      <c r="D15" s="18" t="s">
        <v>148</v>
      </c>
      <c r="E15" s="18" t="s">
        <v>152</v>
      </c>
      <c r="F15" s="18"/>
    </row>
    <row r="16" spans="1:6" x14ac:dyDescent="0.4">
      <c r="A16" s="19" t="b">
        <v>0</v>
      </c>
      <c r="B16" s="18" t="s">
        <v>159</v>
      </c>
      <c r="C16" s="18" t="s">
        <v>160</v>
      </c>
      <c r="D16" s="18" t="s">
        <v>148</v>
      </c>
      <c r="E16" s="18" t="s">
        <v>152</v>
      </c>
      <c r="F16" s="18"/>
    </row>
    <row r="17" spans="1:6" x14ac:dyDescent="0.4">
      <c r="A17" s="19" t="b">
        <v>0</v>
      </c>
      <c r="B17" s="18" t="s">
        <v>161</v>
      </c>
      <c r="C17" s="18" t="s">
        <v>162</v>
      </c>
      <c r="D17" s="18" t="s">
        <v>148</v>
      </c>
      <c r="E17" s="18" t="s">
        <v>163</v>
      </c>
      <c r="F17" s="18" t="s">
        <v>164</v>
      </c>
    </row>
    <row r="18" spans="1:6" x14ac:dyDescent="0.4">
      <c r="A18" s="19" t="b">
        <v>0</v>
      </c>
      <c r="B18" s="18" t="s">
        <v>165</v>
      </c>
      <c r="C18" s="18" t="s">
        <v>166</v>
      </c>
      <c r="D18" s="18" t="s">
        <v>167</v>
      </c>
      <c r="E18" s="18" t="s">
        <v>129</v>
      </c>
      <c r="F18" s="18" t="s">
        <v>168</v>
      </c>
    </row>
    <row r="19" spans="1:6" x14ac:dyDescent="0.4">
      <c r="A19" s="19" t="b">
        <v>0</v>
      </c>
      <c r="B19" s="18" t="s">
        <v>169</v>
      </c>
      <c r="C19" s="18" t="s">
        <v>170</v>
      </c>
      <c r="D19" s="18" t="s">
        <v>167</v>
      </c>
      <c r="E19" s="18" t="s">
        <v>129</v>
      </c>
      <c r="F19" s="18" t="s">
        <v>171</v>
      </c>
    </row>
    <row r="20" spans="1:6" x14ac:dyDescent="0.4">
      <c r="A20" s="19" t="b">
        <v>0</v>
      </c>
      <c r="B20" s="18" t="s">
        <v>172</v>
      </c>
      <c r="C20" s="18" t="s">
        <v>173</v>
      </c>
      <c r="D20" s="18" t="s">
        <v>167</v>
      </c>
      <c r="E20" s="18" t="s">
        <v>129</v>
      </c>
      <c r="F20" s="18" t="s">
        <v>174</v>
      </c>
    </row>
    <row r="21" spans="1:6" x14ac:dyDescent="0.4">
      <c r="A21" s="19" t="b">
        <v>0</v>
      </c>
      <c r="B21" s="18" t="s">
        <v>175</v>
      </c>
      <c r="C21" s="18" t="s">
        <v>176</v>
      </c>
      <c r="D21" s="18" t="s">
        <v>148</v>
      </c>
      <c r="E21" s="18" t="s">
        <v>129</v>
      </c>
      <c r="F21" s="18" t="s">
        <v>177</v>
      </c>
    </row>
    <row r="22" spans="1:6" x14ac:dyDescent="0.4">
      <c r="A22" s="19" t="b">
        <v>0</v>
      </c>
      <c r="B22" s="18" t="s">
        <v>178</v>
      </c>
      <c r="C22" s="18" t="s">
        <v>179</v>
      </c>
      <c r="D22" s="18" t="s">
        <v>148</v>
      </c>
      <c r="E22" s="18" t="s">
        <v>129</v>
      </c>
      <c r="F22" s="18" t="s">
        <v>180</v>
      </c>
    </row>
    <row r="23" spans="1:6" x14ac:dyDescent="0.4">
      <c r="A23" s="19" t="b">
        <v>0</v>
      </c>
      <c r="B23" s="18" t="s">
        <v>181</v>
      </c>
      <c r="C23" s="18" t="s">
        <v>182</v>
      </c>
      <c r="D23" s="18" t="s">
        <v>148</v>
      </c>
      <c r="E23" s="18" t="s">
        <v>129</v>
      </c>
      <c r="F23" s="18" t="s">
        <v>183</v>
      </c>
    </row>
    <row r="24" spans="1:6" x14ac:dyDescent="0.4">
      <c r="A24" s="19" t="b">
        <v>0</v>
      </c>
      <c r="B24" s="18" t="s">
        <v>184</v>
      </c>
      <c r="C24" s="18" t="s">
        <v>185</v>
      </c>
      <c r="D24" s="18" t="s">
        <v>148</v>
      </c>
      <c r="E24" s="18" t="s">
        <v>129</v>
      </c>
      <c r="F24" s="18" t="s">
        <v>186</v>
      </c>
    </row>
    <row r="25" spans="1:6" x14ac:dyDescent="0.4">
      <c r="A25" s="19" t="b">
        <v>0</v>
      </c>
      <c r="B25" s="18" t="s">
        <v>187</v>
      </c>
      <c r="C25" s="18" t="s">
        <v>188</v>
      </c>
      <c r="D25" s="18" t="s">
        <v>148</v>
      </c>
      <c r="E25" s="18" t="s">
        <v>129</v>
      </c>
      <c r="F25" s="18" t="s">
        <v>189</v>
      </c>
    </row>
    <row r="26" spans="1:6" x14ac:dyDescent="0.4">
      <c r="A26" s="19" t="b">
        <v>0</v>
      </c>
      <c r="B26" s="18" t="s">
        <v>190</v>
      </c>
      <c r="C26" s="18" t="s">
        <v>191</v>
      </c>
      <c r="D26" s="18" t="s">
        <v>148</v>
      </c>
      <c r="E26" s="18" t="s">
        <v>129</v>
      </c>
      <c r="F26" s="18" t="s">
        <v>192</v>
      </c>
    </row>
    <row r="27" spans="1:6" x14ac:dyDescent="0.4">
      <c r="A27" s="19" t="b">
        <v>0</v>
      </c>
      <c r="B27" s="18" t="s">
        <v>193</v>
      </c>
      <c r="C27" s="18" t="s">
        <v>194</v>
      </c>
      <c r="D27" s="18" t="s">
        <v>148</v>
      </c>
      <c r="E27" s="18" t="s">
        <v>129</v>
      </c>
      <c r="F27" s="18" t="s">
        <v>195</v>
      </c>
    </row>
    <row r="28" spans="1:6" x14ac:dyDescent="0.4">
      <c r="A28" s="19" t="b">
        <v>0</v>
      </c>
      <c r="B28" s="18" t="s">
        <v>196</v>
      </c>
      <c r="C28" s="18" t="s">
        <v>197</v>
      </c>
      <c r="D28" s="18" t="s">
        <v>148</v>
      </c>
      <c r="E28" s="18" t="s">
        <v>129</v>
      </c>
      <c r="F28" s="18" t="s">
        <v>198</v>
      </c>
    </row>
    <row r="29" spans="1:6" x14ac:dyDescent="0.4">
      <c r="A29" s="19" t="b">
        <v>0</v>
      </c>
      <c r="B29" s="18" t="s">
        <v>199</v>
      </c>
      <c r="C29" s="18" t="s">
        <v>200</v>
      </c>
      <c r="D29" s="18" t="s">
        <v>148</v>
      </c>
      <c r="E29" s="18" t="s">
        <v>129</v>
      </c>
      <c r="F29" s="18" t="s">
        <v>201</v>
      </c>
    </row>
    <row r="30" spans="1:6" x14ac:dyDescent="0.4">
      <c r="A30" s="19" t="b">
        <v>0</v>
      </c>
      <c r="B30" s="18" t="s">
        <v>202</v>
      </c>
      <c r="C30" s="18" t="s">
        <v>203</v>
      </c>
      <c r="D30" s="18" t="s">
        <v>148</v>
      </c>
      <c r="E30" s="18" t="s">
        <v>152</v>
      </c>
      <c r="F30" s="18"/>
    </row>
    <row r="31" spans="1:6" x14ac:dyDescent="0.4">
      <c r="A31" s="19" t="b">
        <v>0</v>
      </c>
      <c r="B31" s="18" t="s">
        <v>204</v>
      </c>
      <c r="C31" s="18" t="s">
        <v>205</v>
      </c>
      <c r="D31" s="18" t="s">
        <v>148</v>
      </c>
      <c r="E31" s="18" t="s">
        <v>152</v>
      </c>
      <c r="F31" s="18"/>
    </row>
    <row r="32" spans="1:6" x14ac:dyDescent="0.4">
      <c r="A32" s="19" t="b">
        <v>0</v>
      </c>
      <c r="B32" s="18" t="s">
        <v>206</v>
      </c>
      <c r="C32" s="18" t="s">
        <v>207</v>
      </c>
      <c r="D32" s="18" t="s">
        <v>148</v>
      </c>
      <c r="E32" s="18" t="s">
        <v>152</v>
      </c>
      <c r="F32" s="18"/>
    </row>
    <row r="33" spans="1:6" x14ac:dyDescent="0.4">
      <c r="A33" s="19" t="b">
        <v>0</v>
      </c>
      <c r="B33" s="18" t="s">
        <v>208</v>
      </c>
      <c r="C33" s="18" t="s">
        <v>209</v>
      </c>
      <c r="D33" s="18" t="s">
        <v>148</v>
      </c>
      <c r="E33" s="18" t="s">
        <v>152</v>
      </c>
      <c r="F33" s="18"/>
    </row>
    <row r="34" spans="1:6" x14ac:dyDescent="0.4">
      <c r="A34" s="19" t="b">
        <v>0</v>
      </c>
      <c r="B34" s="18" t="s">
        <v>210</v>
      </c>
      <c r="C34" s="18" t="s">
        <v>211</v>
      </c>
      <c r="D34" s="18" t="s">
        <v>148</v>
      </c>
      <c r="E34" s="18" t="s">
        <v>152</v>
      </c>
      <c r="F34" s="18"/>
    </row>
    <row r="35" spans="1:6" x14ac:dyDescent="0.4">
      <c r="A35" s="19" t="b">
        <v>0</v>
      </c>
      <c r="B35" s="18" t="s">
        <v>212</v>
      </c>
      <c r="C35" s="18" t="s">
        <v>213</v>
      </c>
      <c r="D35" s="18" t="s">
        <v>148</v>
      </c>
      <c r="E35" s="18" t="s">
        <v>152</v>
      </c>
      <c r="F35" s="18"/>
    </row>
    <row r="36" spans="1:6" x14ac:dyDescent="0.4">
      <c r="A36" s="19" t="b">
        <v>0</v>
      </c>
      <c r="B36" s="18" t="s">
        <v>214</v>
      </c>
      <c r="C36" s="18" t="s">
        <v>215</v>
      </c>
      <c r="D36" s="18" t="s">
        <v>167</v>
      </c>
      <c r="E36" s="18" t="s">
        <v>129</v>
      </c>
      <c r="F36" s="18" t="s">
        <v>216</v>
      </c>
    </row>
    <row r="37" spans="1:6" x14ac:dyDescent="0.4">
      <c r="A37" s="19" t="b">
        <v>0</v>
      </c>
      <c r="B37" s="18" t="s">
        <v>217</v>
      </c>
      <c r="C37" s="18" t="s">
        <v>218</v>
      </c>
      <c r="D37" s="18" t="s">
        <v>167</v>
      </c>
      <c r="E37" s="18" t="s">
        <v>129</v>
      </c>
      <c r="F37" s="18" t="s">
        <v>219</v>
      </c>
    </row>
    <row r="38" spans="1:6" x14ac:dyDescent="0.4">
      <c r="A38" s="19" t="b">
        <v>0</v>
      </c>
      <c r="B38" s="18" t="s">
        <v>220</v>
      </c>
      <c r="C38" s="18" t="s">
        <v>221</v>
      </c>
      <c r="D38" s="18" t="s">
        <v>167</v>
      </c>
      <c r="E38" s="18" t="s">
        <v>129</v>
      </c>
      <c r="F38" s="18" t="s">
        <v>222</v>
      </c>
    </row>
    <row r="39" spans="1:6" x14ac:dyDescent="0.4">
      <c r="A39" s="19" t="b">
        <v>0</v>
      </c>
      <c r="B39" s="18" t="s">
        <v>223</v>
      </c>
      <c r="C39" s="18" t="s">
        <v>224</v>
      </c>
      <c r="D39" s="18" t="s">
        <v>167</v>
      </c>
      <c r="E39" s="18" t="s">
        <v>129</v>
      </c>
      <c r="F39" s="18" t="s">
        <v>225</v>
      </c>
    </row>
    <row r="40" spans="1:6" x14ac:dyDescent="0.4">
      <c r="A40" s="19" t="b">
        <v>0</v>
      </c>
      <c r="B40" s="18" t="s">
        <v>226</v>
      </c>
      <c r="C40" s="18" t="s">
        <v>227</v>
      </c>
      <c r="D40" s="18" t="s">
        <v>167</v>
      </c>
      <c r="E40" s="18" t="s">
        <v>129</v>
      </c>
      <c r="F40" s="18" t="s">
        <v>228</v>
      </c>
    </row>
    <row r="41" spans="1:6" x14ac:dyDescent="0.4">
      <c r="A41" s="19" t="b">
        <v>0</v>
      </c>
      <c r="B41" s="18" t="s">
        <v>229</v>
      </c>
      <c r="C41" s="18" t="s">
        <v>230</v>
      </c>
      <c r="D41" s="18" t="s">
        <v>167</v>
      </c>
      <c r="E41" s="18" t="s">
        <v>129</v>
      </c>
      <c r="F41" s="18" t="s">
        <v>231</v>
      </c>
    </row>
    <row r="42" spans="1:6" x14ac:dyDescent="0.4">
      <c r="A42" s="19" t="b">
        <v>0</v>
      </c>
      <c r="B42" s="18" t="s">
        <v>232</v>
      </c>
      <c r="C42" s="18" t="s">
        <v>233</v>
      </c>
      <c r="D42" s="18" t="s">
        <v>167</v>
      </c>
      <c r="E42" s="18" t="s">
        <v>129</v>
      </c>
      <c r="F42" s="18" t="s">
        <v>234</v>
      </c>
    </row>
    <row r="43" spans="1:6" x14ac:dyDescent="0.4">
      <c r="A43" s="19" t="b">
        <v>0</v>
      </c>
      <c r="B43" s="18" t="s">
        <v>235</v>
      </c>
      <c r="C43" s="18" t="s">
        <v>236</v>
      </c>
      <c r="D43" s="18" t="s">
        <v>167</v>
      </c>
      <c r="E43" s="18" t="s">
        <v>129</v>
      </c>
      <c r="F43" s="18" t="s">
        <v>237</v>
      </c>
    </row>
    <row r="44" spans="1:6" x14ac:dyDescent="0.4">
      <c r="A44" s="19" t="b">
        <v>0</v>
      </c>
      <c r="B44" s="18" t="s">
        <v>238</v>
      </c>
      <c r="C44" s="18" t="s">
        <v>135</v>
      </c>
      <c r="D44" s="18" t="s">
        <v>167</v>
      </c>
      <c r="E44" s="18" t="s">
        <v>129</v>
      </c>
      <c r="F44" s="18" t="s">
        <v>239</v>
      </c>
    </row>
    <row r="45" spans="1:6" x14ac:dyDescent="0.4">
      <c r="A45" s="19" t="b">
        <v>0</v>
      </c>
      <c r="B45" s="18" t="s">
        <v>240</v>
      </c>
      <c r="C45" s="18" t="s">
        <v>241</v>
      </c>
      <c r="D45" s="18" t="s">
        <v>242</v>
      </c>
      <c r="E45" s="18" t="s">
        <v>129</v>
      </c>
      <c r="F45" s="18" t="s">
        <v>243</v>
      </c>
    </row>
    <row r="46" spans="1:6" x14ac:dyDescent="0.4">
      <c r="A46" s="19" t="b">
        <v>0</v>
      </c>
      <c r="B46" s="18" t="s">
        <v>244</v>
      </c>
      <c r="C46" s="18" t="s">
        <v>245</v>
      </c>
      <c r="D46" s="18" t="s">
        <v>242</v>
      </c>
      <c r="E46" s="18" t="s">
        <v>129</v>
      </c>
      <c r="F46" s="18" t="s">
        <v>246</v>
      </c>
    </row>
    <row r="47" spans="1:6" x14ac:dyDescent="0.4">
      <c r="A47" s="19" t="b">
        <v>0</v>
      </c>
      <c r="B47" s="18" t="s">
        <v>247</v>
      </c>
      <c r="C47" s="18" t="s">
        <v>248</v>
      </c>
      <c r="D47" s="18" t="s">
        <v>242</v>
      </c>
      <c r="E47" s="18" t="s">
        <v>129</v>
      </c>
      <c r="F47" s="18" t="s">
        <v>249</v>
      </c>
    </row>
    <row r="48" spans="1:6" x14ac:dyDescent="0.4">
      <c r="A48" s="19" t="b">
        <v>0</v>
      </c>
      <c r="B48" s="18" t="s">
        <v>250</v>
      </c>
      <c r="C48" s="18" t="s">
        <v>251</v>
      </c>
      <c r="D48" s="18" t="s">
        <v>252</v>
      </c>
      <c r="E48" s="18" t="s">
        <v>129</v>
      </c>
      <c r="F48" s="18" t="s">
        <v>253</v>
      </c>
    </row>
    <row r="49" spans="1:6" x14ac:dyDescent="0.4">
      <c r="A49" s="19" t="b">
        <v>0</v>
      </c>
      <c r="B49" s="18" t="s">
        <v>254</v>
      </c>
      <c r="C49" s="18" t="s">
        <v>255</v>
      </c>
      <c r="D49" s="18" t="s">
        <v>252</v>
      </c>
      <c r="E49" s="18" t="s">
        <v>129</v>
      </c>
      <c r="F49" s="18" t="s">
        <v>256</v>
      </c>
    </row>
    <row r="50" spans="1:6" x14ac:dyDescent="0.4">
      <c r="A50" s="19" t="b">
        <v>0</v>
      </c>
      <c r="B50" s="18" t="s">
        <v>257</v>
      </c>
      <c r="C50" s="18" t="s">
        <v>258</v>
      </c>
      <c r="D50" s="18" t="s">
        <v>252</v>
      </c>
      <c r="E50" s="18" t="s">
        <v>129</v>
      </c>
      <c r="F50" s="18" t="s">
        <v>259</v>
      </c>
    </row>
    <row r="51" spans="1:6" x14ac:dyDescent="0.4">
      <c r="A51" s="19" t="b">
        <v>0</v>
      </c>
      <c r="B51" s="18" t="s">
        <v>260</v>
      </c>
      <c r="C51" s="18" t="s">
        <v>261</v>
      </c>
      <c r="D51" s="18" t="s">
        <v>252</v>
      </c>
      <c r="E51" s="18" t="s">
        <v>129</v>
      </c>
      <c r="F51" s="18" t="s">
        <v>262</v>
      </c>
    </row>
    <row r="52" spans="1:6" x14ac:dyDescent="0.4">
      <c r="A52" s="19" t="b">
        <v>0</v>
      </c>
      <c r="B52" s="18" t="s">
        <v>263</v>
      </c>
      <c r="C52" s="18" t="s">
        <v>264</v>
      </c>
      <c r="D52" s="18" t="s">
        <v>252</v>
      </c>
      <c r="E52" s="18" t="s">
        <v>129</v>
      </c>
      <c r="F52" s="18" t="s">
        <v>265</v>
      </c>
    </row>
    <row r="53" spans="1:6" x14ac:dyDescent="0.4">
      <c r="A53" s="19" t="b">
        <v>0</v>
      </c>
      <c r="B53" s="18" t="s">
        <v>266</v>
      </c>
      <c r="C53" s="18" t="s">
        <v>267</v>
      </c>
      <c r="D53" s="18" t="s">
        <v>268</v>
      </c>
      <c r="E53" s="18" t="s">
        <v>152</v>
      </c>
      <c r="F53" s="18"/>
    </row>
    <row r="54" spans="1:6" x14ac:dyDescent="0.4">
      <c r="A54" s="19" t="b">
        <v>0</v>
      </c>
      <c r="B54" s="18" t="s">
        <v>269</v>
      </c>
      <c r="C54" s="18" t="s">
        <v>270</v>
      </c>
      <c r="D54" s="18" t="s">
        <v>268</v>
      </c>
      <c r="E54" s="18" t="s">
        <v>152</v>
      </c>
      <c r="F54" s="18"/>
    </row>
    <row r="55" spans="1:6" x14ac:dyDescent="0.4">
      <c r="A55" s="19" t="b">
        <v>0</v>
      </c>
      <c r="B55" s="18" t="s">
        <v>271</v>
      </c>
      <c r="C55" s="18" t="s">
        <v>272</v>
      </c>
      <c r="D55" s="18" t="s">
        <v>268</v>
      </c>
      <c r="E55" s="18" t="s">
        <v>152</v>
      </c>
      <c r="F55" s="18"/>
    </row>
    <row r="56" spans="1:6" x14ac:dyDescent="0.4">
      <c r="A56" s="19" t="b">
        <v>0</v>
      </c>
      <c r="B56" s="18" t="s">
        <v>273</v>
      </c>
      <c r="C56" s="18" t="s">
        <v>274</v>
      </c>
      <c r="D56" s="18" t="s">
        <v>268</v>
      </c>
      <c r="E56" s="18" t="s">
        <v>152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63F0A-6440-4EDA-84B9-D1DAA6AB7B3C}">
  <sheetPr codeName="Sheet42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FC263F0A-6440-4EDA-84B9-D1DAA6AB7B3C}"/>
  <phoneticPr fontId="6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57BC3-785F-4BBB-8A88-C08072127654}">
  <sheetPr codeName="Sheet43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51A57BC3-785F-4BBB-8A88-C08072127654}"/>
  <phoneticPr fontId="6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6D2AF-DD1B-4105-B715-074925A41B79}">
  <sheetPr codeName="Sheet44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6006D2AF-DD1B-4105-B715-074925A41B79}"/>
  <phoneticPr fontId="6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18A95-060E-4504-A4BD-4DD54137453B}">
  <sheetPr codeName="Sheet45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F2018A95-060E-4504-A4BD-4DD54137453B}"/>
  <phoneticPr fontId="6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8852-49E8-4FF4-8A3F-CCF3F0D813BB}">
  <sheetPr codeName="Sheet46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3F418852-49E8-4FF4-8A3F-CCF3F0D813BB}"/>
  <phoneticPr fontId="6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A68F4-9EB7-47CA-B280-6FE09C1C1D8F}">
  <sheetPr codeName="Sheet47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100A68F4-9EB7-47CA-B280-6FE09C1C1D8F}"/>
  <phoneticPr fontId="6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8BE84-58BB-4C95-8990-96FF0EE075CF}">
  <sheetPr codeName="Sheet48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5D88BE84-58BB-4C95-8990-96FF0EE075CF}"/>
  <phoneticPr fontId="6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3FCBF-23DD-4C97-9031-7306C261674A}">
  <sheetPr codeName="Sheet49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5443FCBF-23DD-4C97-9031-7306C261674A}"/>
  <phoneticPr fontId="6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F4AC8-3E59-43B2-9A26-024C94AB06BE}">
  <sheetPr codeName="Sheet50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29" t="s">
        <v>13</v>
      </c>
      <c r="B1" s="90"/>
      <c r="C1" s="90"/>
      <c r="D1" s="90"/>
      <c r="E1" s="90"/>
      <c r="F1" s="90"/>
      <c r="G1" s="4" t="s">
        <v>1181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30"/>
      <c r="D25" s="131"/>
      <c r="E25" s="131"/>
      <c r="F25" s="131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65FCF-94CF-408B-A685-1DFDF11B843F}">
  <sheetPr codeName="Sheet51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44</vt:i4>
      </vt:variant>
      <vt:variant>
        <vt:lpstr>이름 지정된 범위</vt:lpstr>
      </vt:variant>
      <vt:variant>
        <vt:i4>36</vt:i4>
      </vt:variant>
    </vt:vector>
  </HeadingPairs>
  <TitlesOfParts>
    <vt:vector size="80" baseType="lpstr">
      <vt:lpstr>계약방법안내</vt:lpstr>
      <vt:lpstr>절차안내</vt:lpstr>
      <vt:lpstr>학교검색</vt:lpstr>
      <vt:lpstr>학교정보</vt:lpstr>
      <vt:lpstr>F-040_위원청렴보안서약서</vt:lpstr>
      <vt:lpstr>F-039_업체별제안서평가표</vt:lpstr>
      <vt:lpstr>F-038_업체참가등록부</vt:lpstr>
      <vt:lpstr>F-037_평가위원회참석등록부</vt:lpstr>
      <vt:lpstr>F-036_제안서평가결과</vt:lpstr>
      <vt:lpstr>F-035_정량평가결과</vt:lpstr>
      <vt:lpstr>F-034_평가위원회개최</vt:lpstr>
      <vt:lpstr>F-033_제안서접수대장</vt:lpstr>
      <vt:lpstr>F-032_제안서접수결과</vt:lpstr>
      <vt:lpstr>F-047_수요조사가정통신문</vt:lpstr>
      <vt:lpstr>F-048_교복구매안내신청수량파악</vt:lpstr>
      <vt:lpstr>F-046_수요조사가정통신문안내</vt:lpstr>
      <vt:lpstr>F-045_사전안내가정통신문</vt:lpstr>
      <vt:lpstr>F-044_사전안내가정통신문안내</vt:lpstr>
      <vt:lpstr>F-043_계약체결</vt:lpstr>
      <vt:lpstr>F-042_낙찰자결정통보</vt:lpstr>
      <vt:lpstr>F-041_낙찰자결정</vt:lpstr>
      <vt:lpstr>F-006_운영위원회심의안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'F-006_운영위원회심의안'!Print_Area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  <vt:lpstr>'F-032_제안서접수결과'!Print_Area</vt:lpstr>
      <vt:lpstr>'F-033_제안서접수대장'!Print_Area</vt:lpstr>
      <vt:lpstr>'F-034_평가위원회개최'!Print_Area</vt:lpstr>
      <vt:lpstr>'F-035_정량평가결과'!Print_Area</vt:lpstr>
      <vt:lpstr>'F-036_제안서평가결과'!Print_Area</vt:lpstr>
      <vt:lpstr>'F-037_평가위원회참석등록부'!Print_Area</vt:lpstr>
      <vt:lpstr>'F-038_업체참가등록부'!Print_Area</vt:lpstr>
      <vt:lpstr>'F-039_업체별제안서평가표'!Print_Area</vt:lpstr>
      <vt:lpstr>'F-040_위원청렴보안서약서'!Print_Area</vt:lpstr>
      <vt:lpstr>'F-041_낙찰자결정'!Print_Area</vt:lpstr>
      <vt:lpstr>'F-042_낙찰자결정통보'!Print_Area</vt:lpstr>
      <vt:lpstr>'F-043_계약체결'!Print_Area</vt:lpstr>
      <vt:lpstr>'F-044_사전안내가정통신문안내'!Print_Area</vt:lpstr>
      <vt:lpstr>'F-045_사전안내가정통신문'!Print_Area</vt:lpstr>
      <vt:lpstr>'F-046_수요조사가정통신문안내'!Print_Area</vt:lpstr>
      <vt:lpstr>'F-047_수요조사가정통신문'!Print_Area</vt:lpstr>
      <vt:lpstr>'F-048_교복구매안내신청수량파악'!Print_Area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2026-09-19T14:20:06Z</dcterms:created>
  <dcterms:modified xsi:type="dcterms:W3CDTF">2026-09-19T14:22:37Z</dcterms:modified>
</cp:coreProperties>
</file>