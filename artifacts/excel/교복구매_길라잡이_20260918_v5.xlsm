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99F84C1C-E68D-4F70-BAEA-726DC324E911}" xr6:coauthVersionLast="47" xr6:coauthVersionMax="47" xr10:uidLastSave="{00000000-0000-0000-0000-000000000000}"/>
  <bookViews>
    <workbookView xWindow="-108" yWindow="-108" windowWidth="23256" windowHeight="12576" firstSheet="16" activeTab="29" xr2:uid="{97B67903-8B34-47AD-ABEE-36273574EBBC}"/>
  </bookViews>
  <sheets>
    <sheet name="계약방법안내" sheetId="30" r:id="rId1"/>
    <sheet name="절차안내" sheetId="29" r:id="rId2"/>
    <sheet name="학교검색" sheetId="28" r:id="rId3"/>
    <sheet name="학교정보" sheetId="27" r:id="rId4"/>
    <sheet name="F-002_위원수락확인서" sheetId="26" r:id="rId5"/>
    <sheet name="F-001_위원회구성기안" sheetId="25" r:id="rId6"/>
    <sheet name="F-025_교복AS계획서" sheetId="24" r:id="rId7"/>
    <sheet name="F-023_교복제조사양서" sheetId="23" r:id="rId8"/>
    <sheet name="F-022_교복납품실적표" sheetId="22" r:id="rId9"/>
    <sheet name="F-021_교복납품제안서" sheetId="21" r:id="rId10"/>
    <sheet name="F-020_입찰참가신고서" sheetId="20" r:id="rId11"/>
    <sheet name="F-019_입찰참가신청서" sheetId="19" r:id="rId12"/>
    <sheet name="F-018_정량적평가자기평점표" sheetId="18" r:id="rId13"/>
    <sheet name="F-017_제출서류자기확인서" sheetId="17" r:id="rId14"/>
    <sheet name="F-016_정성적평가" sheetId="16" r:id="rId15"/>
    <sheet name="F-015_정량적평가" sheetId="15" r:id="rId16"/>
    <sheet name="F-014_평가항목배점기준" sheetId="14" r:id="rId17"/>
    <sheet name="F-024_단가비율표" sheetId="13" r:id="rId18"/>
    <sheet name="F-007_구매요청기안문" sheetId="12" r:id="rId19"/>
    <sheet name="서식선택_출력" sheetId="11" r:id="rId20"/>
    <sheet name="DB_자기평점" sheetId="10" state="veryHidden" r:id="rId21"/>
    <sheet name="DB_정성평가" sheetId="9" state="veryHidden" r:id="rId22"/>
    <sheet name="DB_정량평가" sheetId="8" state="veryHidden" r:id="rId23"/>
    <sheet name="DB_평가" sheetId="7" state="veryHidden" r:id="rId24"/>
    <sheet name="DB_위원" sheetId="6" state="veryHidden" r:id="rId25"/>
    <sheet name="DB_업체" sheetId="5" state="veryHidden" r:id="rId26"/>
    <sheet name="DB_품목" sheetId="4" state="veryHidden" r:id="rId27"/>
    <sheet name="DB" sheetId="3" state="hidden" r:id="rId28"/>
    <sheet name="기초자료입력" sheetId="2" r:id="rId29"/>
    <sheet name="사용설명서" sheetId="1" r:id="rId30"/>
  </sheets>
  <functionGroups builtInGroupCount="19"/>
  <definedNames>
    <definedName name="_xlnm._FilterDatabase" localSheetId="27" hidden="1">DB!$A$1:$T$1</definedName>
    <definedName name="_xlnm._FilterDatabase" localSheetId="25" hidden="1">DB_업체!$A$1:$C$1</definedName>
    <definedName name="_xlnm._FilterDatabase" localSheetId="24" hidden="1">DB_위원!$A$1:$D$1</definedName>
    <definedName name="_xlnm._FilterDatabase" localSheetId="20" hidden="1">DB_자기평점!$A$1:$F$1</definedName>
    <definedName name="_xlnm._FilterDatabase" localSheetId="22" hidden="1">DB_정량평가!$A$1:$F$1</definedName>
    <definedName name="_xlnm._FilterDatabase" localSheetId="21" hidden="1">DB_정성평가!$A$1:$G$1</definedName>
    <definedName name="_xlnm._FilterDatabase" localSheetId="23" hidden="1">DB_평가!$A$1:$E$1</definedName>
    <definedName name="_xlnm._FilterDatabase" localSheetId="26" hidden="1">DB_품목!$A$1:$F$1</definedName>
    <definedName name="_xlnm.Print_Area" localSheetId="5">'F-001_위원회구성기안'!$A$1:$H$43</definedName>
    <definedName name="_xlnm.Print_Area" localSheetId="4">'F-002_위원수락확인서'!$A$1:$E$21</definedName>
    <definedName name="_xlnm.Print_Area" localSheetId="18">'F-007_구매요청기안문'!$A$1:$H$26</definedName>
    <definedName name="_xlnm.Print_Area" localSheetId="16">'F-014_평가항목배점기준'!$A$1:$G$25</definedName>
    <definedName name="_xlnm.Print_Area" localSheetId="15">'F-015_정량적평가'!$B$1:$G$26</definedName>
    <definedName name="_xlnm.Print_Area" localSheetId="14">'F-016_정성적평가'!$B$1:$F$18</definedName>
    <definedName name="_xlnm.Print_Area" localSheetId="13">'F-017_제출서류자기확인서'!$B$1:$E$30</definedName>
    <definedName name="_xlnm.Print_Area" localSheetId="12">'F-018_정량적평가자기평점표'!$B$1:$F$25</definedName>
    <definedName name="_xlnm.Print_Area" localSheetId="11">'F-019_입찰참가신청서'!$B$1:$L$25</definedName>
    <definedName name="_xlnm.Print_Area" localSheetId="10">'F-020_입찰참가신고서'!$B$1:$E$20</definedName>
    <definedName name="_xlnm.Print_Area" localSheetId="9">'F-021_교복납품제안서'!$B$1:$E$31</definedName>
    <definedName name="_xlnm.Print_Area" localSheetId="8">'F-022_교복납품실적표'!$B$1:$G$25</definedName>
    <definedName name="_xlnm.Print_Area" localSheetId="7">'F-023_교복제조사양서'!$B$1:$E$21</definedName>
    <definedName name="_xlnm.Print_Area" localSheetId="17">'F-024_단가비율표'!$A$1:$G$19</definedName>
    <definedName name="_xlnm.Print_Area" localSheetId="6">'F-025_교복AS계획서'!$B$1:$E$31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30" l="1"/>
  <c r="B21" i="26"/>
  <c r="B12" i="26"/>
  <c r="B7" i="26"/>
  <c r="B6" i="26"/>
  <c r="C41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B13" i="25"/>
  <c r="C11" i="25"/>
  <c r="C9" i="25"/>
  <c r="F5" i="25"/>
  <c r="C5" i="25"/>
  <c r="B31" i="24"/>
  <c r="B29" i="24"/>
  <c r="B21" i="23"/>
  <c r="B19" i="23"/>
  <c r="B5" i="23"/>
  <c r="B25" i="22"/>
  <c r="B23" i="22"/>
  <c r="B5" i="22"/>
  <c r="B31" i="21"/>
  <c r="B29" i="21"/>
  <c r="C8" i="21"/>
  <c r="B3" i="21"/>
  <c r="B20" i="20"/>
  <c r="B18" i="20"/>
  <c r="B11" i="20"/>
  <c r="C7" i="20"/>
  <c r="B25" i="19"/>
  <c r="B24" i="19"/>
  <c r="B23" i="19"/>
  <c r="B20" i="19"/>
  <c r="F11" i="19"/>
  <c r="F10" i="19"/>
  <c r="F6" i="19"/>
  <c r="B25" i="18"/>
  <c r="F21" i="18"/>
  <c r="F19" i="18"/>
  <c r="F15" i="18"/>
  <c r="F12" i="18"/>
  <c r="F8" i="18"/>
  <c r="C5" i="18"/>
  <c r="B8" i="17"/>
  <c r="B3" i="17"/>
  <c r="B16" i="16"/>
  <c r="F14" i="16"/>
  <c r="F13" i="16"/>
  <c r="F12" i="16"/>
  <c r="F11" i="16"/>
  <c r="F10" i="16"/>
  <c r="F9" i="16"/>
  <c r="B6" i="16"/>
  <c r="E5" i="16"/>
  <c r="C5" i="16"/>
  <c r="B24" i="15"/>
  <c r="F22" i="15"/>
  <c r="F20" i="15"/>
  <c r="F16" i="15"/>
  <c r="F13" i="15"/>
  <c r="F9" i="15"/>
  <c r="G5" i="15"/>
  <c r="E5" i="15"/>
  <c r="C5" i="15"/>
  <c r="F20" i="14"/>
  <c r="E20" i="14"/>
  <c r="G19" i="14"/>
  <c r="F19" i="14"/>
  <c r="E19" i="14"/>
  <c r="C19" i="14"/>
  <c r="B19" i="14"/>
  <c r="G18" i="14"/>
  <c r="F18" i="14"/>
  <c r="E18" i="14"/>
  <c r="C18" i="14"/>
  <c r="B18" i="14"/>
  <c r="G17" i="14"/>
  <c r="F17" i="14"/>
  <c r="E17" i="14"/>
  <c r="C17" i="14"/>
  <c r="B17" i="14"/>
  <c r="G16" i="14"/>
  <c r="F16" i="14"/>
  <c r="E16" i="14"/>
  <c r="C16" i="14"/>
  <c r="B16" i="14"/>
  <c r="G15" i="14"/>
  <c r="F15" i="14"/>
  <c r="E15" i="14"/>
  <c r="C15" i="14"/>
  <c r="B15" i="14"/>
  <c r="G14" i="14"/>
  <c r="F14" i="14"/>
  <c r="E14" i="14"/>
  <c r="C14" i="14"/>
  <c r="B14" i="14"/>
  <c r="G13" i="14"/>
  <c r="F13" i="14"/>
  <c r="E13" i="14"/>
  <c r="C13" i="14"/>
  <c r="B13" i="14"/>
  <c r="G12" i="14"/>
  <c r="F12" i="14"/>
  <c r="E12" i="14"/>
  <c r="C12" i="14"/>
  <c r="B12" i="14"/>
  <c r="G11" i="14"/>
  <c r="F11" i="14"/>
  <c r="E11" i="14"/>
  <c r="C11" i="14"/>
  <c r="B11" i="14"/>
  <c r="G10" i="14"/>
  <c r="F10" i="14"/>
  <c r="E10" i="14"/>
  <c r="C10" i="14"/>
  <c r="B10" i="14"/>
  <c r="B6" i="14"/>
  <c r="G5" i="14"/>
  <c r="E5" i="14"/>
  <c r="C5" i="14"/>
  <c r="B19" i="13"/>
  <c r="E15" i="13"/>
  <c r="D15" i="13"/>
  <c r="E14" i="13"/>
  <c r="D14" i="13"/>
  <c r="C14" i="13"/>
  <c r="E13" i="13"/>
  <c r="D13" i="13"/>
  <c r="C13" i="13"/>
  <c r="E12" i="13"/>
  <c r="D12" i="13"/>
  <c r="C12" i="13"/>
  <c r="E11" i="13"/>
  <c r="D11" i="13"/>
  <c r="C11" i="13"/>
  <c r="E10" i="13"/>
  <c r="D10" i="13"/>
  <c r="C10" i="13"/>
  <c r="E9" i="13"/>
  <c r="D9" i="13"/>
  <c r="C9" i="13"/>
  <c r="G6" i="13"/>
  <c r="E6" i="13"/>
  <c r="C6" i="13"/>
  <c r="C24" i="12"/>
  <c r="C20" i="12"/>
  <c r="C18" i="12"/>
  <c r="C16" i="12"/>
  <c r="C15" i="12"/>
  <c r="B13" i="12"/>
  <c r="C11" i="12"/>
  <c r="C9" i="12"/>
  <c r="C7" i="12"/>
  <c r="F5" i="12"/>
  <c r="C5" i="12"/>
  <c r="D82" i="2"/>
  <c r="E81" i="2"/>
  <c r="E80" i="2"/>
  <c r="E79" i="2"/>
  <c r="E78" i="2"/>
  <c r="E77" i="2"/>
  <c r="E76" i="2"/>
  <c r="E75" i="2"/>
  <c r="E74" i="2"/>
  <c r="E73" i="2"/>
  <c r="E72" i="2"/>
  <c r="R53" i="2"/>
  <c r="M53" i="2"/>
  <c r="G53" i="2"/>
  <c r="R52" i="2"/>
  <c r="M52" i="2"/>
  <c r="G52" i="2"/>
  <c r="R51" i="2"/>
  <c r="M51" i="2"/>
  <c r="G51" i="2"/>
  <c r="R50" i="2"/>
  <c r="M50" i="2"/>
  <c r="G50" i="2"/>
  <c r="R49" i="2"/>
  <c r="M49" i="2"/>
  <c r="G49" i="2"/>
  <c r="R48" i="2"/>
  <c r="M48" i="2"/>
  <c r="G48" i="2"/>
  <c r="R47" i="2"/>
  <c r="M47" i="2"/>
  <c r="G47" i="2"/>
  <c r="R46" i="2"/>
  <c r="M46" i="2"/>
  <c r="G46" i="2"/>
  <c r="R45" i="2"/>
  <c r="M45" i="2"/>
  <c r="G45" i="2"/>
  <c r="R44" i="2"/>
  <c r="M44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<sst xmlns="http://schemas.openxmlformats.org/spreadsheetml/2006/main" count="1537" uniqueCount="911">
  <si>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</si>
  <si>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</si>
  <si>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</si>
  <si>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</si>
  <si>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</si>
  <si>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</si>
  <si>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구현된 서식은 서식선택_출력의 '구현상태=Y'로 표시됩니다. 나머지 서식은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</si>
  <si>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</si>
  <si>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</si>
  <si>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</si>
  <si>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</si>
  <si>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</si>
  <si>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</si>
  <si>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</si>
  <si>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</si>
  <si>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</si>
  <si>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</si>
  <si>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</si>
  <si>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</si>
  <si>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</si>
  <si>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</si>
  <si>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</si>
  <si>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</si>
  <si>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</si>
  <si>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</si>
  <si>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</si>
  <si>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</si>
  <si>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</si>
  <si>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</si>
  <si>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</si>
  <si>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</si>
  <si>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</si>
  <si>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</si>
  <si>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</si>
  <si>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</si>
  <si>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</si>
  <si>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</si>
  <si>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</si>
  <si>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</si>
  <si>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</si>
  <si>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</si>
  <si>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</si>
  <si>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</si>
  <si>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</si>
  <si>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</si>
  <si>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</si>
  <si>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</si>
  <si>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</si>
  <si>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</si>
  <si>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</si>
  <si>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</si>
  <si>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</si>
  <si>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</si>
  <si>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</si>
  <si>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</si>
  <si>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</si>
  <si>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</si>
  <si>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</si>
  <si>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</si>
  <si>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C~F열은 F-015 학교 정량평가, H~L열은 F-016 학교 정성평가, N~Q열은 F-018 업체 자기평점이며 서로 혼용하지 않음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</si>
  <si>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</si>
  <si>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</si>
  <si>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</si>
  <si>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</si>
  <si>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</si>
  <si>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</si>
  <si>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재질(15)</t>
  </si>
  <si>
    <t>완성도(10)</t>
  </si>
  <si>
    <t>A/S(15)</t>
  </si>
  <si>
    <t>하자보상(10)</t>
  </si>
  <si>
    <t>가감점(-15~5)</t>
  </si>
  <si>
    <t>F-016 상태</t>
  </si>
  <si>
    <t>자기 수행경험(10)</t>
  </si>
  <si>
    <t>자기 공인인증(10)</t>
  </si>
  <si>
    <t>자기 거리(15)</t>
  </si>
  <si>
    <t>자기 상한가격(15)</t>
  </si>
  <si>
    <t>F-018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</si>
  <si>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</si>
  <si>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</si>
  <si>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</si>
  <si>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</si>
  <si>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</si>
  <si>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</si>
  <si>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</si>
  <si>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</si>
  <si>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</si>
  <si>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</si>
  <si>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</si>
  <si>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</si>
  <si>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</si>
  <si>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</si>
  <si>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</si>
  <si>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</si>
  <si>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</si>
  <si>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</si>
  <si>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</si>
  <si>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</si>
  <si>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</si>
  <si>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</si>
  <si>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</si>
  <si>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</si>
  <si>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</si>
  <si>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</si>
  <si>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</si>
  <si>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</si>
  <si>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</si>
  <si>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</si>
  <si>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</si>
  <si>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</si>
  <si>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재질점수</t>
  </si>
  <si>
    <t>완성도점수</t>
  </si>
  <si>
    <t>AS점수</t>
  </si>
  <si>
    <t>하자보상점수</t>
  </si>
  <si>
    <t>가감점</t>
  </si>
  <si>
    <t>수행경험자기점수</t>
  </si>
  <si>
    <t>공인인증자기점수</t>
  </si>
  <si>
    <t>거리적접근성자기점수</t>
  </si>
  <si>
    <t>상한가격자기점수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</si>
  <si>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</si>
  <si>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</si>
  <si>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</si>
  <si>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</si>
  <si>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</si>
  <si>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</si>
  <si>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</si>
  <si>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</si>
  <si>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</si>
  <si>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</si>
  <si>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</si>
  <si>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Y</t>
  </si>
  <si>
    <t>F-001_위원회구성기안</t>
  </si>
  <si>
    <t>F-002</t>
  </si>
  <si>
    <t>위원 수락 및 확인서</t>
  </si>
  <si>
    <t>F-002_위원수락확인서</t>
  </si>
  <si>
    <t>F-003</t>
  </si>
  <si>
    <t>위원 청렴 및 보안 서약서</t>
  </si>
  <si>
    <t>N</t>
  </si>
  <si>
    <t>F-004</t>
  </si>
  <si>
    <t>구매 추진 계획 수립</t>
  </si>
  <si>
    <t>F-005</t>
  </si>
  <si>
    <t>구매 추진 계획안</t>
  </si>
  <si>
    <t>F-006</t>
  </si>
  <si>
    <t>학교운영위원회 심의(안)</t>
  </si>
  <si>
    <t>F-007</t>
  </si>
  <si>
    <t>교복구매 구매 요청</t>
  </si>
  <si>
    <t>입찰</t>
  </si>
  <si>
    <t>F-007_구매요청기안문</t>
  </si>
  <si>
    <t>F-008</t>
  </si>
  <si>
    <t>교복 사양서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</si>
  <si>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</si>
  <si>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</si>
  <si>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</si>
  <si>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</si>
  <si>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</si>
  <si>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</si>
  <si>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</si>
  <si>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</si>
  <si>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</si>
  <si>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</si>
  <si>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</si>
  <si>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</si>
  <si>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</si>
  <si>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</si>
  <si>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</si>
  <si>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</si>
  <si>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</si>
  <si>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</si>
  <si>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</si>
  <si>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</si>
  <si>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</si>
  <si>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F-016_정성적평가</t>
  </si>
  <si>
    <t>F-017</t>
  </si>
  <si>
    <t>제출서류 자기확인서</t>
  </si>
  <si>
    <t>F-017_제출서류자기확인서</t>
  </si>
  <si>
    <t>F-018</t>
  </si>
  <si>
    <t>정량적 평가 자기 평점표</t>
  </si>
  <si>
    <t>F-018_정량적평가자기평점표</t>
  </si>
  <si>
    <t>F-019</t>
  </si>
  <si>
    <t>입찰참가신청서</t>
  </si>
  <si>
    <t>F-019_입찰참가신청서</t>
  </si>
  <si>
    <t>F-020</t>
  </si>
  <si>
    <t>입찰 참가 신고서</t>
  </si>
  <si>
    <t>F-020_입찰참가신고서</t>
  </si>
  <si>
    <t>F-021</t>
  </si>
  <si>
    <t>교복 납품 제안서</t>
  </si>
  <si>
    <t>F-021_교복납품제안서</t>
  </si>
  <si>
    <t>F-022</t>
  </si>
  <si>
    <t>교복 납품 실적표</t>
  </si>
  <si>
    <t>F-022_교복납품실적표</t>
  </si>
  <si>
    <t>F-023</t>
  </si>
  <si>
    <t>교복 제조 사양서</t>
  </si>
  <si>
    <t>F-023_교복제조사양서</t>
  </si>
  <si>
    <t>F-024</t>
  </si>
  <si>
    <t>품목별 단가 비율표</t>
  </si>
  <si>
    <t>F-024_단가비율표</t>
  </si>
  <si>
    <t>F-025</t>
  </si>
  <si>
    <t>교복 A/S 계획서</t>
  </si>
  <si>
    <t>F-025_교복AS계획서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</si>
  <si>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</si>
  <si>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</si>
  <si>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</si>
  <si>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</si>
  <si>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</si>
  <si>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</si>
  <si>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</si>
  <si>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</si>
  <si>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</si>
  <si>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</si>
  <si>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</si>
  <si>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</si>
  <si>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</si>
  <si>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</si>
  <si>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</si>
  <si>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</si>
  <si>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</si>
  <si>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</si>
  <si>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</si>
  <si>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</si>
  <si>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</si>
  <si>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</si>
  <si>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</si>
  <si>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</si>
  <si>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F-038</t>
  </si>
  <si>
    <t>업체 참가 등록부</t>
  </si>
  <si>
    <t>F-039</t>
  </si>
  <si>
    <t>업체별 제안서 평가표</t>
  </si>
  <si>
    <t>F-040</t>
  </si>
  <si>
    <t>F-041</t>
  </si>
  <si>
    <t>낙찰자 결정</t>
  </si>
  <si>
    <t>계약</t>
  </si>
  <si>
    <t>F-042</t>
  </si>
  <si>
    <t>낙찰자 결정 통보</t>
  </si>
  <si>
    <t>F-043</t>
  </si>
  <si>
    <t>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</si>
  <si>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</si>
  <si>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</si>
  <si>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</si>
  <si>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</si>
  <si>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</si>
  <si>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</si>
  <si>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</si>
  <si>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</si>
  <si>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</si>
  <si>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</si>
  <si>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</si>
  <si>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</si>
  <si>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</si>
  <si>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</si>
  <si>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</si>
  <si>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</si>
  <si>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</si>
  <si>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</si>
  <si>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</si>
  <si>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</si>
  <si>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</si>
  <si>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</si>
  <si>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</si>
  <si>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</si>
  <si>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</si>
  <si>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</si>
  <si>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</si>
  <si>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</si>
  <si>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</si>
  <si>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</si>
  <si>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</si>
  <si>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</si>
  <si>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</si>
  <si>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</si>
  <si>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</si>
  <si>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</si>
  <si>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</si>
  <si>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</si>
  <si>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</si>
  <si>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</si>
  <si>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</si>
  <si>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</si>
  <si>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</si>
  <si>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</si>
  <si>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</si>
  <si>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</si>
  <si>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</si>
  <si>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</si>
  <si>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</si>
  <si>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</si>
  <si>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</si>
  <si>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</si>
  <si>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</si>
  <si>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</si>
  <si>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</si>
  <si>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</si>
  <si>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</si>
  <si>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</si>
  <si>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</si>
  <si>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</si>
  <si>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</si>
  <si>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</si>
  <si>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</si>
  <si>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</si>
  <si>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</si>
  <si>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</si>
  <si>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</si>
  <si>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</si>
  <si>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</si>
  <si>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</si>
  <si>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</si>
  <si>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</si>
  <si>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</si>
  <si>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</si>
  <si>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</si>
  <si>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</si>
  <si>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</si>
  <si>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</si>
  <si>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</si>
  <si>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</si>
  <si>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</si>
  <si>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</si>
  <si>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</si>
  <si>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</si>
  <si>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</si>
  <si>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</si>
  <si>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</si>
  <si>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</si>
  <si>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</si>
  <si>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</si>
  <si>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</si>
  <si>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</si>
  <si>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</si>
  <si>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</si>
  <si>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</si>
  <si>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[검토중 — 담당자 최종 확인 후 사용] 원본 HWPX [9-5]의 고정 배점표를 대조하여 구성함</t>
  </si>
  <si>
    <t>[9-5] [붙임 3_2] [2단계] 정성적 평가</t>
  </si>
  <si>
    <t>[2단계] 정성적 평가(50점): 교복선정위원회에서 평가</t>
  </si>
  <si>
    <t>대상 업체</t>
  </si>
  <si>
    <t>정성적 평가
(50점)</t>
  </si>
  <si>
    <t>재질(15점)</t>
  </si>
  <si>
    <t>1. 옷감의 촉감과 질감의 상태(10)
2. 섬유조직의 세밀함과 부드러움(10)
탁월15·우수12·보통9·미흡6·불량3</t>
  </si>
  <si>
    <t>완성도(10점)</t>
  </si>
  <si>
    <t>1. 바느질의 꼼꼼함
2. 단추·지퍼의 견고함
3. 마감처리의 완성도
4. 여유단의 정도
탁월10·우수8·보통6·미흡4·불량2</t>
  </si>
  <si>
    <t>A/S(15점)</t>
  </si>
  <si>
    <t>1. 무상 A/S 의무기간
2. A/S의 편의성(신속성)
3. 출장 A/S 가능 여부
4. A/S 내용(바느질·단추·지퍼 등)
탁월15·우수12·보통9·미흡6·불량3</t>
  </si>
  <si>
    <t>하자보상(10점)</t>
  </si>
  <si>
    <t>1. 제품하자에 대한 교환 등 하자 보상 및 소비자 불만 사항 처리 방안의 적정성
탁월10·우수8·보통6·미흡4·불량2</t>
  </si>
  <si>
    <t>가점 및 감점 요인</t>
  </si>
  <si>
    <t>· 최근 1년 공정거래위원회 담합 행정처분: -10
· 최근 3년 교복 만족도 조사: 80점 이상 +5 / 75점 이상 +2 / 65점 이상 0 / 60점 이상 -2 / 55점 미만 -5</t>
  </si>
  <si>
    <t>-15~+5</t>
  </si>
  <si>
    <t>○○학교 교복선정위원회 평가위원 (인 또는 서명)</t>
  </si>
  <si>
    <t>[검토중 — 담당자 최종 확인 후 사용] 원본 HWPX [9-6] 대조. 대표자·연락처·대리인 정보는 자동 반영하지 않음</t>
  </si>
  <si>
    <t>※ 업체명만 기초자료의 반복행에서 반영합니다. 대표자·연락처·대리인 정보는 제출자가 작성하는 빈 칸으로 유지합니다.</t>
  </si>
  <si>
    <t>대표자</t>
  </si>
  <si>
    <t>연락처</t>
  </si>
  <si>
    <t>위임자(대리인 제출 시): 직위·이름·전화번호</t>
  </si>
  <si>
    <t>제출서류</t>
  </si>
  <si>
    <t>제출여부
(○,✕)</t>
  </si>
  <si>
    <t>비고
(서류 확인 사항)</t>
  </si>
  <si>
    <t>정량적 평가 자기 평점표[서식 1_1]</t>
  </si>
  <si>
    <t>1부</t>
  </si>
  <si>
    <t>입찰참가 신청서[서식 2]</t>
  </si>
  <si>
    <t>입찰 참가 신고서[서식 3]</t>
  </si>
  <si>
    <t>위임장[서식 10]</t>
  </si>
  <si>
    <t>대리인 재직증명서, 4대보험 가입증명서</t>
  </si>
  <si>
    <t>서약서[서식 11]</t>
  </si>
  <si>
    <t>개인정보제공 동의서[서식 12]</t>
  </si>
  <si>
    <t>청렴계약 이행서약서[서식 13]</t>
  </si>
  <si>
    <t>사업자등록증 사본</t>
  </si>
  <si>
    <t>중소기업확인서</t>
  </si>
  <si>
    <t>공정거래위원회 법위반사실확인서</t>
  </si>
  <si>
    <t>교복 납품 실적 증명서</t>
  </si>
  <si>
    <t>기타 평가기준에 따른 증명서류</t>
  </si>
  <si>
    <t>제안평가 반영 시 제출</t>
  </si>
  <si>
    <t>교복(동복·하복) 납품 제안서[서식 4]</t>
  </si>
  <si>
    <t>원본 1부, 사본 ○부</t>
  </si>
  <si>
    <t>사본 블라인드 처리</t>
  </si>
  <si>
    <t>교복 납품 실적표[서식 5]</t>
  </si>
  <si>
    <t>교복 제조 사양서[서식 6]</t>
  </si>
  <si>
    <t>품목별 단가 비율표[서식 7]</t>
  </si>
  <si>
    <t>교복 A/S 계획서[서식 8]</t>
  </si>
  <si>
    <t>소비자 불만 사항에 대한 처리방안[서식 9]</t>
  </si>
  <si>
    <t>교복 제조 및 판매 시설 현황서</t>
  </si>
  <si>
    <t>교복 샘플</t>
  </si>
  <si>
    <t>샘플 1부</t>
  </si>
  <si>
    <t>블라인드 처리</t>
  </si>
  <si>
    <t>[검토중 — 담당자 최종 확인 후 사용] 원본 HWPX [9-7] 대조. F-015 학교평가와 분리된 업체 자기평점이며 작성자·대표자·서명은 자동 반영하지 않음</t>
  </si>
  <si>
    <t>[9-7] [서식 1_1] 정량적 평가 자기 평점표</t>
  </si>
  <si>
    <t>※ 업체 자기평점표입니다. 학교의 F-015 정량적 평가 점수와 별도로 입력·보관하며, 사실관계와 증빙은 제출자가 최종 확인합니다.</t>
  </si>
  <si>
    <t>자기 평점</t>
  </si>
  <si>
    <t>1. 수행경험 (10)
최근 3년간 학교 주관구매 교복 납품실적</t>
  </si>
  <si>
    <t>1건 이상 또는 신규업체</t>
  </si>
  <si>
    <t>2. 공인인증(시험)기관의 품질인증 여부(10)</t>
  </si>
  <si>
    <t>3. 거리적 접근성(15)
학교와 교복업체(매장)와의 거리</t>
  </si>
  <si>
    <t>5km 이상~10km 미만</t>
  </si>
  <si>
    <t>10km 이상~15km 미만</t>
  </si>
  <si>
    <t>15km 이상</t>
  </si>
  <si>
    <t>업체명은 기초자료의 업체 반복행에서만 반영합니다. 작성자·대표자·서명은 제출자가 직접 작성하는 빈 칸으로 유지합니다.</t>
  </si>
  <si>
    <t>[검토중 — 담당자 최종 확인 후 사용] 원본 HWPX [9-7] [서식 2] 대조. 민감정보와 날인란은 자동 반영하지 않습니다.</t>
  </si>
  <si>
    <t>입 찰 참 가 신 청 서
※ 아래 사항 중 해당되는 경우에만 기재하시기 바랍니다.</t>
  </si>
  <si>
    <t>처리기간
즉 시</t>
  </si>
  <si>
    <t>신
청
인</t>
  </si>
  <si>
    <t>상호 또는
법인명칭</t>
  </si>
  <si>
    <t>법인등록번호</t>
  </si>
  <si>
    <t>주 소</t>
  </si>
  <si>
    <t>전화번호</t>
  </si>
  <si>
    <t>주민등록번호</t>
  </si>
  <si>
    <t>입찰
개요</t>
  </si>
  <si>
    <t>입찰공고
(지명)번호</t>
  </si>
  <si>
    <t>입찰일자</t>
  </si>
  <si>
    <t>입찰건명</t>
  </si>
  <si>
    <t>입찰보증금</t>
  </si>
  <si>
    <t>귀 교에서 시행하는 위 건명에 대해 입찰보증금 납부를 면제받고자 하며, 낙찰자 결정 통지를 받은 후 10일 이내에 계약을 체결하지 않을 시 입찰금액의 5/100에 해당하는 입찰보증금을 납부할 것을 확약합니다.</t>
  </si>
  <si>
    <t>대리인·
사용인감</t>
  </si>
  <si>
    <t>본 입찰에 관한 일체의 권한을 다음의 자에게 위임합니다.
성 명 :
주민등록번호 :</t>
  </si>
  <si>
    <t>본 입찰에 사용할 인감을 다음과 같이 신고합니다.
(사용인감 날인)</t>
  </si>
  <si>
    <t>붙임서류 : 공고에 정한 서류</t>
  </si>
  <si>
    <t>[검토중 — 담당자 최종 확인 후 사용] 원본 HWPX [9-8] [서식 3] 대조. 사업자 번호·대표자 성명·직인은 자동 반영하지 않습니다.</t>
  </si>
  <si>
    <t>교복 학교주관구매 입찰 참가 신고서</t>
  </si>
  <si>
    <t>※ 사업자 상호(업체명)만 기초자료의 반복행에서 반영합니다. 사업자 번호·대표자 성명·직인은 사업자가 직접 작성하는 빈 칸으로 유지합니다.</t>
  </si>
  <si>
    <t>사업자 상호</t>
  </si>
  <si>
    <t>사업자 번호</t>
  </si>
  <si>
    <t>사업자 대표</t>
  </si>
  <si>
    <t>※ 위 신고 사업자는 해당 학교의 ‘학교주관구매’를 저해하는 행위를 하는 경우, 향후 입찰에서 제외되는 등 불이익을 받을 수 있음을 확인하였습니다.</t>
  </si>
  <si>
    <t>위 신고인 사업자 대표 성명 ○○○ 사업자 직인</t>
  </si>
  <si>
    <t>[검토용] 원본 HWPX [9-9] [서식 4] 대조. 업체명만 자동 반영하며 대표자·주소·연락처·서명은 직접 작성합니다.</t>
  </si>
  <si>
    <t>※ 업체명만 기초자료의 반복행에서 반영합니다. 일반현황·연혁·제안자 성명은 직접 작성하십시오.</t>
  </si>
  <si>
    <t>1. 일반현황 및 연혁</t>
  </si>
  <si>
    <t>회사명</t>
  </si>
  <si>
    <t>사업분야</t>
  </si>
  <si>
    <t>회사설립년도</t>
  </si>
  <si>
    <t>직원현황</t>
  </si>
  <si>
    <t>해당부문 사업기간</t>
  </si>
  <si>
    <t>전화:                         FAX:</t>
  </si>
  <si>
    <t>＜주요연혁＞</t>
  </si>
  <si>
    <t>2. 제안(제출)서류</t>
  </si>
  <si>
    <t>① 교복 납품 실적표(F-022)_x000D_
② 교복 제조 사양서(F-023)_x000D_
③ 품목별 단가 비율표(F-024)_x000D_
④ 교복 A/S 계획서(F-025)_x000D_
⑤ 소비자 불만 처리 계획(F-026)_x000D_
⑥ 위임장(F-027), 서약서(F-028), 개인정보 동의서(F-029)_x000D_
⑦ 품질인증·시험성적 등 제안요청서에서 정한 증빙서류</t>
  </si>
  <si>
    <t>제안자 성명                         (서명 또는 날인)</t>
  </si>
  <si>
    <t>[검토용] 원본 HWPX [9-10] [서식 5] 대조. 업체명만 자동 반영하며 실적행은 업체별 증명서와 대조하여 직접 작성합니다.</t>
  </si>
  <si>
    <t>교복 납품 실적(입찰공고일 기준 최근 3년 이내 실적)</t>
  </si>
  <si>
    <t>사업명</t>
  </si>
  <si>
    <t>사업기간</t>
  </si>
  <si>
    <t>계약금액
(천원)</t>
  </si>
  <si>
    <t>발주처</t>
  </si>
  <si>
    <t>붙임  실적증명서 각 1부.</t>
  </si>
  <si>
    <t>위와 같이 납품실적을 제출합니다.</t>
  </si>
  <si>
    <t>제안자 성 명                         (서명 또는 날인)</t>
  </si>
  <si>
    <t>[검토용] 원본 HWPX [9-11] [서식 6] 대조. 업체명만 자동 반영하며 재질·설명 내용은 직접 작성합니다.</t>
  </si>
  <si>
    <t>납품 교복 제조 사양서</t>
  </si>
  <si>
    <t>*서식은 입찰 업체 상황에 맞게 변경 사용 가능(사진 등 첨부 가능)</t>
  </si>
  <si>
    <t>생활형 교복</t>
  </si>
  <si>
    <t>견본 품목</t>
  </si>
  <si>
    <t>재질</t>
  </si>
  <si>
    <t>설명 내용</t>
  </si>
  <si>
    <t>후드 점퍼</t>
  </si>
  <si>
    <t>집업티</t>
  </si>
  <si>
    <t>맨투맨티</t>
  </si>
  <si>
    <t>긴바지</t>
  </si>
  <si>
    <t>반팔티</t>
  </si>
  <si>
    <t>반바지</t>
  </si>
  <si>
    <t>※ 국산섬유원단 사용 여부(한국섬유산업연합회 인증마크 획득) 등 상세히 기재</t>
  </si>
  <si>
    <t>[검토용] 원본 HWPX [9-14] [서식 8] 대조. 원문에 업체명 표시 자리가 없어 반영하지 않으며 A/S 계획 전 항목은 직접 작성합니다.</t>
  </si>
  <si>
    <t>1. A/S 기간</t>
  </si>
  <si>
    <t>가. 무상 A/S 기간 (                부터                까지 )</t>
  </si>
  <si>
    <t>2. A/S 편의성</t>
  </si>
  <si>
    <t>가. 사업장 소재지 :</t>
  </si>
  <si>
    <t>나. 신속성 : A/S 완료까지 소요되는 기간 (                일)</t>
  </si>
  <si>
    <t>다. 출장 A/S 가능여부 : 가능한 경우 출장 A/S 최소 학생 수 기재 (                명)</t>
  </si>
  <si>
    <t>라. 택배 A/S 가능여부 : 가능한 경우 택배비용 무상/유상 기재 (                )</t>
  </si>
  <si>
    <t>3. A/S지정업체 (A/S지정업체가 별도 있을 경우 교복업체와 관계를 입증할 계약서 등 첨부)</t>
  </si>
  <si>
    <t>가. 주 소 :</t>
  </si>
  <si>
    <t>나. 연락처 :</t>
  </si>
  <si>
    <t>다. 거리접근성 : 학교와 A/S 수선점과의 거리 기재 (                km)</t>
  </si>
  <si>
    <t>4. A/S 내용</t>
  </si>
  <si>
    <t>가. 시설현황 : A/S관련 시설 및 수량 기재(재단기, 오버로크 등)</t>
  </si>
  <si>
    <t>나. 무상A/S 세부내용</t>
  </si>
  <si>
    <t>- 바지/치마 기장수선  - 품·허리수선  - 헤진부위수선  - 단추  - 지퍼  - 바느질 등 세부적 사항 기재</t>
  </si>
  <si>
    <t>다. 유상A/S 세부내용</t>
  </si>
  <si>
    <t>-</t>
  </si>
  <si>
    <t>[검토중 — 담당자 최종 확인 후 사용] 원본 HWPX 3쪽 [1] 대조. 위원 성명은 개인정보이므로 마스킹 식별표시만 반영함</t>
  </si>
  <si>
    <t>교복선정위원회 구성(안)</t>
  </si>
  <si>
    <t>내부결재</t>
  </si>
  <si>
    <t>가. 위원회명：교복선정위원회</t>
  </si>
  <si>
    <t>나. 구성인원：7인 이상(교원위원 3인, 학부모위원 2인, 학생위원 2인)</t>
  </si>
  <si>
    <t>※ 교장 및 행정실장은 위원에서 제외, 교원을 제외한 위원이 1/2 이상 포함되도록 구성</t>
  </si>
  <si>
    <t>다. 역 할</t>
  </si>
  <si>
    <t>1) 교복 디자인 및 사양 선정</t>
  </si>
  <si>
    <t>2) 교복 품질심사기준 설정 및 심사</t>
  </si>
  <si>
    <t>3) 교복 제작 감독</t>
  </si>
  <si>
    <t>4) 구매결과 평가 실시</t>
  </si>
  <si>
    <t>라. 위원 명단</t>
  </si>
  <si>
    <t>순</t>
  </si>
  <si>
    <t>직급(직위)</t>
  </si>
  <si>
    <t>성명</t>
  </si>
  <si>
    <t>붙임 1. 교복선정위원회 위원 수락 및 확인서 1부.</t>
  </si>
  <si>
    <t xml:space="preserve">      2. 교복선정위원회 위원 청렴 및 보안 서약서 1부.  끝.</t>
  </si>
  <si>
    <t>[검토중 — 담당자 최종 확인 후 사용] 원본 HWPX 4쪽 [1-1] 대조. 위원이 자필로 작성·서명하는 빈 양식이며 학교 공통정보만 반영함</t>
  </si>
  <si>
    <t>교복선정위원회 위원 수락 및 확인서</t>
  </si>
  <si>
    <t>업체와의 관련이 있는 것으로 판명될 경우, 즉시 위원직을 사퇴할 것이며, 추후 어떠한 이의도 제기하지 않을 것을 서약합니다.</t>
  </si>
  <si>
    <t>주      소 :</t>
  </si>
  <si>
    <t>성      명 :</t>
  </si>
  <si>
    <t>서      명 :                              (인)</t>
  </si>
  <si>
    <t>번호</t>
  </si>
  <si>
    <t>지역</t>
  </si>
  <si>
    <t>급별</t>
  </si>
  <si>
    <t>설립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</si>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</sst>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9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rgb="FFFF00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7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2" fontId="13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13" fillId="0" borderId="1" xfId="0" applyFont="1" applyBorder="1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1" xfId="0" applyFont="1" applyBorder="1" applyAlignment="1">
      <alignment vertical="center" shrinkToFit="1"/>
    </xf>
    <xf numFmtId="0" fontId="16" fillId="0" borderId="1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8" fillId="0" borderId="0" xfId="0" applyFont="1" applyAlignment="1">
      <alignment vertical="center"/>
    </xf>
    <xf numFmtId="0" fontId="18" fillId="0" borderId="1" xfId="0" applyFont="1" applyBorder="1" applyAlignment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18" fillId="0" borderId="1" xfId="0" applyFont="1" applyBorder="1" applyAlignment="1">
      <alignment vertical="center"/>
    </xf>
    <xf numFmtId="0" fontId="18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 wrapText="1"/>
    </xf>
    <xf numFmtId="0" fontId="13" fillId="0" borderId="0" xfId="0" applyFont="1">
      <alignment vertical="center"/>
    </xf>
    <xf numFmtId="0" fontId="13" fillId="0" borderId="1" xfId="0" applyFont="1" applyBorder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vertical="center" wrapText="1"/>
    </xf>
    <xf numFmtId="0" fontId="13" fillId="0" borderId="1" xfId="0" applyFont="1" applyBorder="1" applyAlignment="1">
      <alignment vertical="center" wrapText="1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3" fillId="0" borderId="0" xfId="0" applyFont="1" applyAlignment="1">
      <alignment vertical="center" wrapText="1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10" fillId="0" borderId="1" xfId="0" applyFont="1" applyBorder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5121" name="btn계약방법반영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A6E02DA3-DEE0-4A35-9559-34EE85C114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8DEDA12B-321F-472A-8540-A328C091EF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127C88B7-76F7-4EF6-9061-7511521816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35515EBF-C6B1-448D-9926-A9C385CA4E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55413D5B-5DB4-4774-A471-2C7FACC0CD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B05E8D71-0EAD-4AD7-8464-2D986F9BE5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1CA5B3F-AF23-4A16-85DB-FA5EA34B3C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343E6DD-C64E-4DE2-AEC8-DA5CA1DD8A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50AFC711-DF74-432A-9DE2-F13AA8FBA0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71BF3C05-5AE1-4562-BC0C-892DA6FC2D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10775-18EF-4564-8DF0-BC2F23EBFFB7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897</v>
      </c>
    </row>
    <row r="2" spans="1:5" ht="42" customHeight="1" x14ac:dyDescent="0.4">
      <c r="A2" s="58" t="s">
        <v>898</v>
      </c>
      <c r="B2" s="58"/>
      <c r="C2" s="58"/>
      <c r="D2" s="58"/>
      <c r="E2" s="58"/>
    </row>
    <row r="4" spans="1:5" x14ac:dyDescent="0.4">
      <c r="A4" s="53" t="s">
        <v>899</v>
      </c>
      <c r="B4" s="53" t="s">
        <v>900</v>
      </c>
      <c r="C4" s="53" t="s">
        <v>901</v>
      </c>
    </row>
    <row r="5" spans="1:5" x14ac:dyDescent="0.4">
      <c r="A5" s="55" t="s">
        <v>902</v>
      </c>
      <c r="B5" s="57"/>
      <c r="C5" s="56" t="s">
        <v>905</v>
      </c>
    </row>
    <row r="6" spans="1:5" x14ac:dyDescent="0.4">
      <c r="A6" s="55" t="s">
        <v>903</v>
      </c>
      <c r="B6" s="57"/>
      <c r="C6" s="56" t="s">
        <v>906</v>
      </c>
    </row>
    <row r="7" spans="1:5" x14ac:dyDescent="0.4">
      <c r="A7" s="55" t="s">
        <v>904</v>
      </c>
      <c r="B7" s="55" t="str">
        <f>IF(AND(B5="예",B6="예"),"2단계 입찰(규격·가격 동시)","")</f>
        <v/>
      </c>
      <c r="C7" s="56" t="s">
        <v>907</v>
      </c>
    </row>
    <row r="9" spans="1:5" x14ac:dyDescent="0.4">
      <c r="A9" s="3" t="s">
        <v>908</v>
      </c>
    </row>
    <row r="10" spans="1:5" ht="36" customHeight="1" x14ac:dyDescent="0.4">
      <c r="A10" s="58" t="s">
        <v>909</v>
      </c>
      <c r="B10" s="58"/>
      <c r="C10" s="58"/>
      <c r="D10" s="58"/>
      <c r="E10" s="58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7F4EC82B-526B-47D1-B37C-2DF76EE18BAD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30262-050C-4266-8BF1-3633AC7D3011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866</v>
      </c>
    </row>
    <row r="2" spans="1:4" x14ac:dyDescent="0.4">
      <c r="A2" t="s">
        <v>867</v>
      </c>
    </row>
    <row r="4" spans="1:4" x14ac:dyDescent="0.4">
      <c r="A4" s="17" t="s">
        <v>868</v>
      </c>
      <c r="B4" s="17" t="s">
        <v>869</v>
      </c>
      <c r="C4" s="17" t="s">
        <v>870</v>
      </c>
      <c r="D4" s="17" t="s">
        <v>871</v>
      </c>
    </row>
    <row r="5" spans="1:4" x14ac:dyDescent="0.4">
      <c r="A5" s="54" t="s">
        <v>872</v>
      </c>
      <c r="B5" s="56" t="s">
        <v>873</v>
      </c>
      <c r="C5" s="56" t="s">
        <v>874</v>
      </c>
      <c r="D5" s="54" t="s">
        <v>126</v>
      </c>
    </row>
    <row r="6" spans="1:4" x14ac:dyDescent="0.4">
      <c r="A6" s="54" t="s">
        <v>875</v>
      </c>
      <c r="B6" s="56" t="s">
        <v>876</v>
      </c>
      <c r="C6" s="56" t="s">
        <v>141</v>
      </c>
      <c r="D6" s="54" t="s">
        <v>141</v>
      </c>
    </row>
    <row r="7" spans="1:4" x14ac:dyDescent="0.4">
      <c r="A7" s="54" t="s">
        <v>877</v>
      </c>
      <c r="B7" s="56" t="s">
        <v>878</v>
      </c>
      <c r="C7" s="56" t="s">
        <v>879</v>
      </c>
      <c r="D7" s="54" t="s">
        <v>143</v>
      </c>
    </row>
    <row r="8" spans="1:4" x14ac:dyDescent="0.4">
      <c r="A8" s="54" t="s">
        <v>880</v>
      </c>
      <c r="B8" s="56" t="s">
        <v>881</v>
      </c>
      <c r="C8" s="56" t="s">
        <v>882</v>
      </c>
      <c r="D8" s="54" t="s">
        <v>153</v>
      </c>
    </row>
    <row r="9" spans="1:4" x14ac:dyDescent="0.4">
      <c r="A9" s="54" t="s">
        <v>883</v>
      </c>
      <c r="B9" s="56" t="s">
        <v>884</v>
      </c>
      <c r="C9" s="56" t="s">
        <v>885</v>
      </c>
      <c r="D9" s="54" t="s">
        <v>171</v>
      </c>
    </row>
    <row r="10" spans="1:4" x14ac:dyDescent="0.4">
      <c r="A10" s="54" t="s">
        <v>886</v>
      </c>
      <c r="B10" s="56" t="s">
        <v>887</v>
      </c>
      <c r="C10" s="56" t="s">
        <v>888</v>
      </c>
      <c r="D10" s="54" t="s">
        <v>161</v>
      </c>
    </row>
    <row r="11" spans="1:4" x14ac:dyDescent="0.4">
      <c r="A11" s="54" t="s">
        <v>889</v>
      </c>
      <c r="B11" s="56" t="s">
        <v>890</v>
      </c>
      <c r="C11" s="56" t="s">
        <v>891</v>
      </c>
      <c r="D11" s="54" t="s">
        <v>227</v>
      </c>
    </row>
    <row r="12" spans="1:4" x14ac:dyDescent="0.4">
      <c r="A12" s="54" t="s">
        <v>892</v>
      </c>
      <c r="B12" s="56" t="s">
        <v>893</v>
      </c>
      <c r="C12" s="56" t="s">
        <v>232</v>
      </c>
      <c r="D12" s="54" t="s">
        <v>232</v>
      </c>
    </row>
    <row r="13" spans="1:4" x14ac:dyDescent="0.4">
      <c r="A13" s="54" t="s">
        <v>894</v>
      </c>
      <c r="B13" s="56" t="s">
        <v>895</v>
      </c>
      <c r="C13" s="56" t="s">
        <v>896</v>
      </c>
      <c r="D13" s="54" t="s">
        <v>234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EE9DC-F404-486E-B60E-5998CCC977BE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864</v>
      </c>
    </row>
    <row r="2" spans="1:6" x14ac:dyDescent="0.4">
      <c r="A2" t="s">
        <v>865</v>
      </c>
    </row>
    <row r="3" spans="1:6" x14ac:dyDescent="0.4">
      <c r="A3" t="s">
        <v>87</v>
      </c>
      <c r="B3" s="9"/>
      <c r="C3" t="s">
        <v>498</v>
      </c>
      <c r="D3" s="9"/>
      <c r="E3" t="s">
        <v>499</v>
      </c>
      <c r="F3" s="9"/>
    </row>
    <row r="6" spans="1:6" x14ac:dyDescent="0.4">
      <c r="A6" s="53" t="s">
        <v>497</v>
      </c>
      <c r="B6" s="53" t="s">
        <v>498</v>
      </c>
      <c r="C6" s="53" t="s">
        <v>499</v>
      </c>
      <c r="D6" s="53" t="s">
        <v>87</v>
      </c>
      <c r="E6" s="53" t="s">
        <v>274</v>
      </c>
      <c r="F6" s="53" t="s">
        <v>349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87AA8-31F2-40B1-B4A9-E0485E2F5465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497</v>
      </c>
      <c r="B1" s="3" t="s">
        <v>498</v>
      </c>
      <c r="C1" s="3" t="s">
        <v>499</v>
      </c>
      <c r="D1" s="3" t="s">
        <v>500</v>
      </c>
      <c r="E1" s="3" t="s">
        <v>87</v>
      </c>
      <c r="F1" s="3" t="s">
        <v>274</v>
      </c>
      <c r="G1" s="3" t="s">
        <v>349</v>
      </c>
    </row>
    <row r="2" spans="1:7" x14ac:dyDescent="0.4">
      <c r="A2">
        <v>808</v>
      </c>
      <c r="B2" t="s">
        <v>501</v>
      </c>
      <c r="C2" t="s">
        <v>502</v>
      </c>
      <c r="D2" t="s">
        <v>503</v>
      </c>
      <c r="E2" t="s">
        <v>504</v>
      </c>
      <c r="F2" t="s">
        <v>505</v>
      </c>
      <c r="G2" t="s">
        <v>506</v>
      </c>
    </row>
    <row r="3" spans="1:7" x14ac:dyDescent="0.4">
      <c r="A3">
        <v>807</v>
      </c>
      <c r="B3" t="s">
        <v>501</v>
      </c>
      <c r="C3" t="s">
        <v>507</v>
      </c>
      <c r="D3" t="s">
        <v>508</v>
      </c>
      <c r="E3" t="s">
        <v>509</v>
      </c>
      <c r="F3" t="s">
        <v>510</v>
      </c>
      <c r="G3" t="s">
        <v>511</v>
      </c>
    </row>
    <row r="4" spans="1:7" x14ac:dyDescent="0.4">
      <c r="A4">
        <v>806</v>
      </c>
      <c r="B4" t="s">
        <v>501</v>
      </c>
      <c r="C4" t="s">
        <v>502</v>
      </c>
      <c r="D4" t="s">
        <v>508</v>
      </c>
      <c r="E4" t="s">
        <v>512</v>
      </c>
      <c r="F4" t="s">
        <v>513</v>
      </c>
      <c r="G4" t="s">
        <v>514</v>
      </c>
    </row>
    <row r="5" spans="1:7" x14ac:dyDescent="0.4">
      <c r="A5">
        <v>805</v>
      </c>
      <c r="B5" t="s">
        <v>501</v>
      </c>
      <c r="C5" t="s">
        <v>502</v>
      </c>
      <c r="D5" t="s">
        <v>503</v>
      </c>
      <c r="E5" t="s">
        <v>515</v>
      </c>
      <c r="F5" t="s">
        <v>516</v>
      </c>
      <c r="G5" t="s">
        <v>517</v>
      </c>
    </row>
    <row r="6" spans="1:7" x14ac:dyDescent="0.4">
      <c r="A6">
        <v>804</v>
      </c>
      <c r="B6" t="s">
        <v>501</v>
      </c>
      <c r="C6" t="s">
        <v>502</v>
      </c>
      <c r="D6" t="s">
        <v>503</v>
      </c>
      <c r="E6" t="s">
        <v>518</v>
      </c>
      <c r="F6" t="s">
        <v>519</v>
      </c>
      <c r="G6" t="s">
        <v>520</v>
      </c>
    </row>
    <row r="7" spans="1:7" x14ac:dyDescent="0.4">
      <c r="A7">
        <v>803</v>
      </c>
      <c r="B7" t="s">
        <v>501</v>
      </c>
      <c r="C7" t="s">
        <v>507</v>
      </c>
      <c r="D7" t="s">
        <v>503</v>
      </c>
      <c r="E7" t="s">
        <v>521</v>
      </c>
      <c r="F7" t="s">
        <v>519</v>
      </c>
      <c r="G7" t="s">
        <v>522</v>
      </c>
    </row>
    <row r="8" spans="1:7" x14ac:dyDescent="0.4">
      <c r="A8">
        <v>802</v>
      </c>
      <c r="B8" t="s">
        <v>501</v>
      </c>
      <c r="C8" t="s">
        <v>502</v>
      </c>
      <c r="D8" t="s">
        <v>503</v>
      </c>
      <c r="E8" t="s">
        <v>523</v>
      </c>
      <c r="F8" t="s">
        <v>524</v>
      </c>
      <c r="G8" t="s">
        <v>525</v>
      </c>
    </row>
    <row r="9" spans="1:7" x14ac:dyDescent="0.4">
      <c r="A9">
        <v>801</v>
      </c>
      <c r="B9" t="s">
        <v>501</v>
      </c>
      <c r="C9" t="s">
        <v>502</v>
      </c>
      <c r="D9" t="s">
        <v>503</v>
      </c>
      <c r="E9" t="s">
        <v>526</v>
      </c>
      <c r="F9" t="s">
        <v>527</v>
      </c>
      <c r="G9" t="s">
        <v>528</v>
      </c>
    </row>
    <row r="10" spans="1:7" x14ac:dyDescent="0.4">
      <c r="A10">
        <v>800</v>
      </c>
      <c r="B10" t="s">
        <v>501</v>
      </c>
      <c r="C10" t="s">
        <v>502</v>
      </c>
      <c r="D10" t="s">
        <v>508</v>
      </c>
      <c r="E10" t="s">
        <v>529</v>
      </c>
      <c r="F10" t="s">
        <v>530</v>
      </c>
      <c r="G10" t="s">
        <v>531</v>
      </c>
    </row>
    <row r="11" spans="1:7" x14ac:dyDescent="0.4">
      <c r="A11">
        <v>799</v>
      </c>
      <c r="B11" t="s">
        <v>501</v>
      </c>
      <c r="C11" t="s">
        <v>507</v>
      </c>
      <c r="D11" t="s">
        <v>508</v>
      </c>
      <c r="E11" t="s">
        <v>532</v>
      </c>
      <c r="F11" t="s">
        <v>533</v>
      </c>
      <c r="G11" t="s">
        <v>534</v>
      </c>
    </row>
    <row r="12" spans="1:7" x14ac:dyDescent="0.4">
      <c r="A12">
        <v>798</v>
      </c>
      <c r="B12" t="s">
        <v>501</v>
      </c>
      <c r="C12" t="s">
        <v>502</v>
      </c>
      <c r="D12" t="s">
        <v>535</v>
      </c>
      <c r="E12" t="s">
        <v>536</v>
      </c>
      <c r="F12" t="s">
        <v>537</v>
      </c>
      <c r="G12" t="s">
        <v>538</v>
      </c>
    </row>
    <row r="13" spans="1:7" x14ac:dyDescent="0.4">
      <c r="A13">
        <v>797</v>
      </c>
      <c r="B13" t="s">
        <v>501</v>
      </c>
      <c r="C13" t="s">
        <v>502</v>
      </c>
      <c r="D13" t="s">
        <v>503</v>
      </c>
      <c r="E13" t="s">
        <v>539</v>
      </c>
      <c r="F13" t="s">
        <v>540</v>
      </c>
      <c r="G13" t="s">
        <v>541</v>
      </c>
    </row>
    <row r="14" spans="1:7" x14ac:dyDescent="0.4">
      <c r="A14">
        <v>796</v>
      </c>
      <c r="B14" t="s">
        <v>501</v>
      </c>
      <c r="C14" t="s">
        <v>507</v>
      </c>
      <c r="D14" t="s">
        <v>503</v>
      </c>
      <c r="E14" t="s">
        <v>542</v>
      </c>
      <c r="F14" t="s">
        <v>524</v>
      </c>
      <c r="G14" t="s">
        <v>543</v>
      </c>
    </row>
    <row r="15" spans="1:7" x14ac:dyDescent="0.4">
      <c r="A15">
        <v>795</v>
      </c>
      <c r="B15" t="s">
        <v>501</v>
      </c>
      <c r="C15" t="s">
        <v>502</v>
      </c>
      <c r="D15" t="s">
        <v>503</v>
      </c>
      <c r="E15" t="s">
        <v>544</v>
      </c>
      <c r="F15" t="s">
        <v>545</v>
      </c>
      <c r="G15" t="s">
        <v>546</v>
      </c>
    </row>
    <row r="16" spans="1:7" x14ac:dyDescent="0.4">
      <c r="A16">
        <v>794</v>
      </c>
      <c r="B16" t="s">
        <v>501</v>
      </c>
      <c r="C16" t="s">
        <v>507</v>
      </c>
      <c r="D16" t="s">
        <v>508</v>
      </c>
      <c r="E16" t="s">
        <v>547</v>
      </c>
      <c r="F16" t="s">
        <v>548</v>
      </c>
      <c r="G16" t="s">
        <v>549</v>
      </c>
    </row>
    <row r="17" spans="1:7" x14ac:dyDescent="0.4">
      <c r="A17">
        <v>793</v>
      </c>
      <c r="B17" t="s">
        <v>501</v>
      </c>
      <c r="C17" t="s">
        <v>502</v>
      </c>
      <c r="D17" t="s">
        <v>508</v>
      </c>
      <c r="E17" t="s">
        <v>550</v>
      </c>
      <c r="F17" t="s">
        <v>551</v>
      </c>
      <c r="G17" t="s">
        <v>552</v>
      </c>
    </row>
    <row r="18" spans="1:7" x14ac:dyDescent="0.4">
      <c r="A18">
        <v>792</v>
      </c>
      <c r="B18" t="s">
        <v>501</v>
      </c>
      <c r="C18" t="s">
        <v>507</v>
      </c>
      <c r="D18" t="s">
        <v>508</v>
      </c>
      <c r="E18" t="s">
        <v>553</v>
      </c>
      <c r="F18" t="s">
        <v>554</v>
      </c>
      <c r="G18" t="s">
        <v>555</v>
      </c>
    </row>
    <row r="19" spans="1:7" x14ac:dyDescent="0.4">
      <c r="A19">
        <v>791</v>
      </c>
      <c r="B19" t="s">
        <v>501</v>
      </c>
      <c r="C19" t="s">
        <v>502</v>
      </c>
      <c r="D19" t="s">
        <v>508</v>
      </c>
      <c r="E19" t="s">
        <v>556</v>
      </c>
      <c r="F19" t="s">
        <v>557</v>
      </c>
      <c r="G19" t="s">
        <v>558</v>
      </c>
    </row>
    <row r="20" spans="1:7" x14ac:dyDescent="0.4">
      <c r="A20">
        <v>790</v>
      </c>
      <c r="B20" t="s">
        <v>501</v>
      </c>
      <c r="C20" t="s">
        <v>559</v>
      </c>
      <c r="D20" t="s">
        <v>535</v>
      </c>
      <c r="E20" t="s">
        <v>560</v>
      </c>
      <c r="F20" t="s">
        <v>561</v>
      </c>
      <c r="G20" t="s">
        <v>562</v>
      </c>
    </row>
    <row r="21" spans="1:7" x14ac:dyDescent="0.4">
      <c r="A21">
        <v>789</v>
      </c>
      <c r="B21" t="s">
        <v>501</v>
      </c>
      <c r="C21" t="s">
        <v>502</v>
      </c>
      <c r="D21" t="s">
        <v>503</v>
      </c>
      <c r="E21" t="s">
        <v>563</v>
      </c>
      <c r="F21" t="s">
        <v>564</v>
      </c>
      <c r="G21" t="s">
        <v>565</v>
      </c>
    </row>
    <row r="22" spans="1:7" x14ac:dyDescent="0.4">
      <c r="A22">
        <v>788</v>
      </c>
      <c r="B22" t="s">
        <v>501</v>
      </c>
      <c r="C22" t="s">
        <v>507</v>
      </c>
      <c r="D22" t="s">
        <v>503</v>
      </c>
      <c r="E22" t="s">
        <v>566</v>
      </c>
      <c r="F22" t="s">
        <v>564</v>
      </c>
      <c r="G22" t="s">
        <v>567</v>
      </c>
    </row>
    <row r="23" spans="1:7" x14ac:dyDescent="0.4">
      <c r="A23">
        <v>787</v>
      </c>
      <c r="B23" t="s">
        <v>501</v>
      </c>
      <c r="C23" t="s">
        <v>559</v>
      </c>
      <c r="D23" t="s">
        <v>508</v>
      </c>
      <c r="E23" t="s">
        <v>568</v>
      </c>
      <c r="F23" t="s">
        <v>569</v>
      </c>
      <c r="G23" t="s">
        <v>570</v>
      </c>
    </row>
    <row r="24" spans="1:7" x14ac:dyDescent="0.4">
      <c r="A24">
        <v>786</v>
      </c>
      <c r="B24" t="s">
        <v>501</v>
      </c>
      <c r="C24" t="s">
        <v>559</v>
      </c>
      <c r="D24" t="s">
        <v>508</v>
      </c>
      <c r="E24" t="s">
        <v>571</v>
      </c>
      <c r="F24" t="s">
        <v>572</v>
      </c>
      <c r="G24" t="s">
        <v>573</v>
      </c>
    </row>
    <row r="25" spans="1:7" x14ac:dyDescent="0.4">
      <c r="A25">
        <v>785</v>
      </c>
      <c r="B25" t="s">
        <v>501</v>
      </c>
      <c r="C25" t="s">
        <v>507</v>
      </c>
      <c r="D25" t="s">
        <v>508</v>
      </c>
      <c r="E25" t="s">
        <v>574</v>
      </c>
      <c r="F25" t="s">
        <v>575</v>
      </c>
      <c r="G25" t="s">
        <v>576</v>
      </c>
    </row>
    <row r="26" spans="1:7" x14ac:dyDescent="0.4">
      <c r="A26">
        <v>784</v>
      </c>
      <c r="B26" t="s">
        <v>501</v>
      </c>
      <c r="C26" t="s">
        <v>559</v>
      </c>
      <c r="D26" t="s">
        <v>508</v>
      </c>
      <c r="E26" t="s">
        <v>577</v>
      </c>
      <c r="F26" t="s">
        <v>578</v>
      </c>
      <c r="G26" t="s">
        <v>579</v>
      </c>
    </row>
    <row r="27" spans="1:7" x14ac:dyDescent="0.4">
      <c r="A27">
        <v>783</v>
      </c>
      <c r="B27" t="s">
        <v>501</v>
      </c>
      <c r="C27" t="s">
        <v>502</v>
      </c>
      <c r="D27" t="s">
        <v>503</v>
      </c>
      <c r="E27" t="s">
        <v>580</v>
      </c>
      <c r="F27" t="s">
        <v>581</v>
      </c>
      <c r="G27" t="s">
        <v>582</v>
      </c>
    </row>
    <row r="28" spans="1:7" x14ac:dyDescent="0.4">
      <c r="A28">
        <v>782</v>
      </c>
      <c r="B28" t="s">
        <v>501</v>
      </c>
      <c r="C28" t="s">
        <v>507</v>
      </c>
      <c r="D28" t="s">
        <v>503</v>
      </c>
      <c r="E28" t="s">
        <v>583</v>
      </c>
      <c r="F28" t="s">
        <v>581</v>
      </c>
      <c r="G28" t="s">
        <v>584</v>
      </c>
    </row>
    <row r="29" spans="1:7" x14ac:dyDescent="0.4">
      <c r="A29">
        <v>781</v>
      </c>
      <c r="B29" t="s">
        <v>501</v>
      </c>
      <c r="C29" t="s">
        <v>507</v>
      </c>
      <c r="D29" t="s">
        <v>508</v>
      </c>
      <c r="E29" t="s">
        <v>585</v>
      </c>
      <c r="F29" t="s">
        <v>586</v>
      </c>
      <c r="G29" t="s">
        <v>587</v>
      </c>
    </row>
    <row r="30" spans="1:7" x14ac:dyDescent="0.4">
      <c r="A30">
        <v>780</v>
      </c>
      <c r="B30" t="s">
        <v>501</v>
      </c>
      <c r="C30" t="s">
        <v>559</v>
      </c>
      <c r="D30" t="s">
        <v>508</v>
      </c>
      <c r="E30" t="s">
        <v>588</v>
      </c>
      <c r="F30" t="s">
        <v>589</v>
      </c>
      <c r="G30" t="s">
        <v>590</v>
      </c>
    </row>
    <row r="31" spans="1:7" x14ac:dyDescent="0.4">
      <c r="A31">
        <v>779</v>
      </c>
      <c r="B31" t="s">
        <v>501</v>
      </c>
      <c r="C31" t="s">
        <v>559</v>
      </c>
      <c r="D31" t="s">
        <v>508</v>
      </c>
      <c r="E31" t="s">
        <v>591</v>
      </c>
      <c r="F31" t="s">
        <v>592</v>
      </c>
      <c r="G31" t="s">
        <v>593</v>
      </c>
    </row>
    <row r="32" spans="1:7" x14ac:dyDescent="0.4">
      <c r="A32">
        <v>778</v>
      </c>
      <c r="B32" t="s">
        <v>501</v>
      </c>
      <c r="C32" t="s">
        <v>559</v>
      </c>
      <c r="D32" t="s">
        <v>508</v>
      </c>
      <c r="E32" t="s">
        <v>594</v>
      </c>
      <c r="F32" t="s">
        <v>595</v>
      </c>
      <c r="G32" t="s">
        <v>596</v>
      </c>
    </row>
    <row r="33" spans="1:7" x14ac:dyDescent="0.4">
      <c r="A33">
        <v>777</v>
      </c>
      <c r="B33" t="s">
        <v>501</v>
      </c>
      <c r="C33" t="s">
        <v>502</v>
      </c>
      <c r="D33" t="s">
        <v>503</v>
      </c>
      <c r="E33" t="s">
        <v>597</v>
      </c>
      <c r="F33" t="s">
        <v>598</v>
      </c>
      <c r="G33" t="s">
        <v>599</v>
      </c>
    </row>
    <row r="34" spans="1:7" x14ac:dyDescent="0.4">
      <c r="A34">
        <v>776</v>
      </c>
      <c r="B34" t="s">
        <v>501</v>
      </c>
      <c r="C34" t="s">
        <v>507</v>
      </c>
      <c r="D34" t="s">
        <v>508</v>
      </c>
      <c r="E34" t="s">
        <v>600</v>
      </c>
      <c r="F34" t="s">
        <v>601</v>
      </c>
      <c r="G34" t="s">
        <v>602</v>
      </c>
    </row>
    <row r="35" spans="1:7" x14ac:dyDescent="0.4">
      <c r="A35">
        <v>775</v>
      </c>
      <c r="B35" t="s">
        <v>501</v>
      </c>
      <c r="C35" t="s">
        <v>559</v>
      </c>
      <c r="D35" t="s">
        <v>508</v>
      </c>
      <c r="E35" t="s">
        <v>603</v>
      </c>
      <c r="F35" t="s">
        <v>604</v>
      </c>
      <c r="G35" t="s">
        <v>605</v>
      </c>
    </row>
    <row r="36" spans="1:7" x14ac:dyDescent="0.4">
      <c r="A36">
        <v>774</v>
      </c>
      <c r="B36" t="s">
        <v>501</v>
      </c>
      <c r="C36" t="s">
        <v>507</v>
      </c>
      <c r="D36" t="s">
        <v>503</v>
      </c>
      <c r="E36" t="s">
        <v>606</v>
      </c>
      <c r="F36" t="s">
        <v>607</v>
      </c>
      <c r="G36" t="s">
        <v>608</v>
      </c>
    </row>
    <row r="37" spans="1:7" x14ac:dyDescent="0.4">
      <c r="A37">
        <v>773</v>
      </c>
      <c r="B37" t="s">
        <v>501</v>
      </c>
      <c r="C37" t="s">
        <v>559</v>
      </c>
      <c r="D37" t="s">
        <v>508</v>
      </c>
      <c r="E37" t="s">
        <v>609</v>
      </c>
      <c r="F37" t="s">
        <v>610</v>
      </c>
      <c r="G37" t="s">
        <v>611</v>
      </c>
    </row>
    <row r="38" spans="1:7" x14ac:dyDescent="0.4">
      <c r="A38">
        <v>772</v>
      </c>
      <c r="B38" t="s">
        <v>501</v>
      </c>
      <c r="C38" t="s">
        <v>559</v>
      </c>
      <c r="D38" t="s">
        <v>508</v>
      </c>
      <c r="E38" t="s">
        <v>612</v>
      </c>
      <c r="F38" t="s">
        <v>613</v>
      </c>
      <c r="G38" t="s">
        <v>614</v>
      </c>
    </row>
    <row r="39" spans="1:7" x14ac:dyDescent="0.4">
      <c r="A39">
        <v>771</v>
      </c>
      <c r="B39" t="s">
        <v>501</v>
      </c>
      <c r="C39" t="s">
        <v>559</v>
      </c>
      <c r="D39" t="s">
        <v>508</v>
      </c>
      <c r="E39" t="s">
        <v>615</v>
      </c>
      <c r="F39" t="s">
        <v>616</v>
      </c>
      <c r="G39" t="s">
        <v>617</v>
      </c>
    </row>
    <row r="40" spans="1:7" x14ac:dyDescent="0.4">
      <c r="A40">
        <v>770</v>
      </c>
      <c r="B40" t="s">
        <v>501</v>
      </c>
      <c r="C40" t="s">
        <v>507</v>
      </c>
      <c r="D40" t="s">
        <v>508</v>
      </c>
      <c r="E40" t="s">
        <v>618</v>
      </c>
      <c r="F40" t="s">
        <v>619</v>
      </c>
      <c r="G40" t="s">
        <v>620</v>
      </c>
    </row>
    <row r="41" spans="1:7" x14ac:dyDescent="0.4">
      <c r="A41">
        <v>769</v>
      </c>
      <c r="B41" t="s">
        <v>501</v>
      </c>
      <c r="C41" t="s">
        <v>559</v>
      </c>
      <c r="D41" t="s">
        <v>508</v>
      </c>
      <c r="E41" t="s">
        <v>621</v>
      </c>
      <c r="F41" t="s">
        <v>622</v>
      </c>
      <c r="G41" t="s">
        <v>623</v>
      </c>
    </row>
    <row r="42" spans="1:7" x14ac:dyDescent="0.4">
      <c r="A42">
        <v>768</v>
      </c>
      <c r="B42" t="s">
        <v>501</v>
      </c>
      <c r="C42" t="s">
        <v>507</v>
      </c>
      <c r="D42" t="s">
        <v>508</v>
      </c>
      <c r="E42" t="s">
        <v>624</v>
      </c>
      <c r="F42" t="s">
        <v>625</v>
      </c>
      <c r="G42" t="s">
        <v>626</v>
      </c>
    </row>
    <row r="43" spans="1:7" x14ac:dyDescent="0.4">
      <c r="A43">
        <v>767</v>
      </c>
      <c r="B43" t="s">
        <v>501</v>
      </c>
      <c r="C43" t="s">
        <v>559</v>
      </c>
      <c r="D43" t="s">
        <v>508</v>
      </c>
      <c r="E43" t="s">
        <v>627</v>
      </c>
      <c r="F43" t="s">
        <v>628</v>
      </c>
      <c r="G43" t="s">
        <v>629</v>
      </c>
    </row>
    <row r="44" spans="1:7" x14ac:dyDescent="0.4">
      <c r="A44">
        <v>766</v>
      </c>
      <c r="B44" t="s">
        <v>501</v>
      </c>
      <c r="C44" t="s">
        <v>559</v>
      </c>
      <c r="D44" t="s">
        <v>508</v>
      </c>
      <c r="E44" t="s">
        <v>630</v>
      </c>
      <c r="F44" t="s">
        <v>631</v>
      </c>
      <c r="G44" t="s">
        <v>632</v>
      </c>
    </row>
    <row r="45" spans="1:7" x14ac:dyDescent="0.4">
      <c r="A45">
        <v>765</v>
      </c>
      <c r="B45" t="s">
        <v>501</v>
      </c>
      <c r="C45" t="s">
        <v>559</v>
      </c>
      <c r="D45" t="s">
        <v>508</v>
      </c>
      <c r="E45" t="s">
        <v>633</v>
      </c>
      <c r="F45" t="s">
        <v>634</v>
      </c>
      <c r="G45" t="s">
        <v>635</v>
      </c>
    </row>
    <row r="46" spans="1:7" x14ac:dyDescent="0.4">
      <c r="A46">
        <v>764</v>
      </c>
      <c r="B46" t="s">
        <v>501</v>
      </c>
      <c r="C46" t="s">
        <v>559</v>
      </c>
      <c r="D46" t="s">
        <v>508</v>
      </c>
      <c r="E46" t="s">
        <v>636</v>
      </c>
      <c r="F46" t="s">
        <v>637</v>
      </c>
      <c r="G46" t="s">
        <v>638</v>
      </c>
    </row>
    <row r="47" spans="1:7" x14ac:dyDescent="0.4">
      <c r="A47">
        <v>763</v>
      </c>
      <c r="B47" t="s">
        <v>501</v>
      </c>
      <c r="C47" t="s">
        <v>559</v>
      </c>
      <c r="D47" t="s">
        <v>508</v>
      </c>
      <c r="E47" t="s">
        <v>639</v>
      </c>
      <c r="F47" t="s">
        <v>640</v>
      </c>
      <c r="G47" t="s">
        <v>641</v>
      </c>
    </row>
    <row r="48" spans="1:7" x14ac:dyDescent="0.4">
      <c r="A48">
        <v>762</v>
      </c>
      <c r="B48" t="s">
        <v>501</v>
      </c>
      <c r="C48" t="s">
        <v>559</v>
      </c>
      <c r="D48" t="s">
        <v>508</v>
      </c>
      <c r="E48" t="s">
        <v>642</v>
      </c>
      <c r="F48" t="s">
        <v>643</v>
      </c>
      <c r="G48" t="s">
        <v>644</v>
      </c>
    </row>
    <row r="49" spans="1:7" x14ac:dyDescent="0.4">
      <c r="A49">
        <v>761</v>
      </c>
      <c r="B49" t="s">
        <v>501</v>
      </c>
      <c r="C49" t="s">
        <v>559</v>
      </c>
      <c r="D49" t="s">
        <v>508</v>
      </c>
      <c r="E49" t="s">
        <v>645</v>
      </c>
      <c r="F49" t="s">
        <v>646</v>
      </c>
      <c r="G49" t="s">
        <v>647</v>
      </c>
    </row>
    <row r="50" spans="1:7" x14ac:dyDescent="0.4">
      <c r="A50">
        <v>760</v>
      </c>
      <c r="B50" t="s">
        <v>501</v>
      </c>
      <c r="C50" t="s">
        <v>559</v>
      </c>
      <c r="D50" t="s">
        <v>508</v>
      </c>
      <c r="E50" t="s">
        <v>648</v>
      </c>
      <c r="F50" t="s">
        <v>649</v>
      </c>
      <c r="G50" t="s">
        <v>650</v>
      </c>
    </row>
    <row r="51" spans="1:7" x14ac:dyDescent="0.4">
      <c r="A51">
        <v>759</v>
      </c>
      <c r="B51" t="s">
        <v>501</v>
      </c>
      <c r="C51" t="s">
        <v>559</v>
      </c>
      <c r="D51" t="s">
        <v>508</v>
      </c>
      <c r="E51" t="s">
        <v>651</v>
      </c>
      <c r="F51" t="s">
        <v>652</v>
      </c>
      <c r="G51" t="s">
        <v>653</v>
      </c>
    </row>
    <row r="52" spans="1:7" x14ac:dyDescent="0.4">
      <c r="A52">
        <v>758</v>
      </c>
      <c r="B52" t="s">
        <v>501</v>
      </c>
      <c r="C52" t="s">
        <v>559</v>
      </c>
      <c r="D52" t="s">
        <v>508</v>
      </c>
      <c r="E52" t="s">
        <v>654</v>
      </c>
      <c r="F52" t="s">
        <v>655</v>
      </c>
      <c r="G52" t="s">
        <v>656</v>
      </c>
    </row>
    <row r="53" spans="1:7" x14ac:dyDescent="0.4">
      <c r="A53">
        <v>757</v>
      </c>
      <c r="B53" t="s">
        <v>501</v>
      </c>
      <c r="C53" t="s">
        <v>502</v>
      </c>
      <c r="D53" t="s">
        <v>508</v>
      </c>
      <c r="E53" t="s">
        <v>657</v>
      </c>
      <c r="F53" t="s">
        <v>658</v>
      </c>
      <c r="G53" t="s">
        <v>659</v>
      </c>
    </row>
    <row r="54" spans="1:7" x14ac:dyDescent="0.4">
      <c r="A54">
        <v>756</v>
      </c>
      <c r="B54" t="s">
        <v>501</v>
      </c>
      <c r="C54" t="s">
        <v>660</v>
      </c>
      <c r="D54" t="s">
        <v>508</v>
      </c>
      <c r="E54" t="s">
        <v>661</v>
      </c>
      <c r="F54" t="s">
        <v>662</v>
      </c>
      <c r="G54" t="s">
        <v>663</v>
      </c>
    </row>
    <row r="55" spans="1:7" x14ac:dyDescent="0.4">
      <c r="A55">
        <v>755</v>
      </c>
      <c r="B55" t="s">
        <v>501</v>
      </c>
      <c r="C55" t="s">
        <v>660</v>
      </c>
      <c r="D55" t="s">
        <v>508</v>
      </c>
      <c r="E55" t="s">
        <v>664</v>
      </c>
      <c r="F55" t="s">
        <v>665</v>
      </c>
      <c r="G55" t="s">
        <v>666</v>
      </c>
    </row>
    <row r="56" spans="1:7" x14ac:dyDescent="0.4">
      <c r="A56">
        <v>754</v>
      </c>
      <c r="B56" t="s">
        <v>501</v>
      </c>
      <c r="C56" t="s">
        <v>559</v>
      </c>
      <c r="D56" t="s">
        <v>508</v>
      </c>
      <c r="E56" t="s">
        <v>667</v>
      </c>
      <c r="F56" t="s">
        <v>668</v>
      </c>
      <c r="G56" t="s">
        <v>669</v>
      </c>
    </row>
    <row r="57" spans="1:7" x14ac:dyDescent="0.4">
      <c r="A57">
        <v>753</v>
      </c>
      <c r="B57" t="s">
        <v>501</v>
      </c>
      <c r="C57" t="s">
        <v>502</v>
      </c>
      <c r="D57" t="s">
        <v>508</v>
      </c>
      <c r="E57" t="s">
        <v>670</v>
      </c>
      <c r="F57" t="s">
        <v>671</v>
      </c>
      <c r="G57" t="s">
        <v>672</v>
      </c>
    </row>
    <row r="58" spans="1:7" x14ac:dyDescent="0.4">
      <c r="A58">
        <v>752</v>
      </c>
      <c r="B58" t="s">
        <v>501</v>
      </c>
      <c r="C58" t="s">
        <v>507</v>
      </c>
      <c r="D58" t="s">
        <v>508</v>
      </c>
      <c r="E58" t="s">
        <v>673</v>
      </c>
      <c r="F58" t="s">
        <v>674</v>
      </c>
      <c r="G58" t="s">
        <v>675</v>
      </c>
    </row>
    <row r="59" spans="1:7" x14ac:dyDescent="0.4">
      <c r="A59">
        <v>751</v>
      </c>
      <c r="B59" t="s">
        <v>501</v>
      </c>
      <c r="C59" t="s">
        <v>559</v>
      </c>
      <c r="D59" t="s">
        <v>508</v>
      </c>
      <c r="E59" t="s">
        <v>676</v>
      </c>
      <c r="F59" t="s">
        <v>677</v>
      </c>
      <c r="G59" t="s">
        <v>678</v>
      </c>
    </row>
    <row r="60" spans="1:7" x14ac:dyDescent="0.4">
      <c r="A60">
        <v>750</v>
      </c>
      <c r="B60" t="s">
        <v>501</v>
      </c>
      <c r="C60" t="s">
        <v>559</v>
      </c>
      <c r="D60" t="s">
        <v>508</v>
      </c>
      <c r="E60" t="s">
        <v>679</v>
      </c>
      <c r="F60" t="s">
        <v>680</v>
      </c>
      <c r="G60" t="s">
        <v>681</v>
      </c>
    </row>
    <row r="61" spans="1:7" x14ac:dyDescent="0.4">
      <c r="A61">
        <v>749</v>
      </c>
      <c r="B61" t="s">
        <v>501</v>
      </c>
      <c r="C61" t="s">
        <v>507</v>
      </c>
      <c r="D61" t="s">
        <v>508</v>
      </c>
      <c r="E61" t="s">
        <v>682</v>
      </c>
      <c r="F61" t="s">
        <v>683</v>
      </c>
      <c r="G61" t="s">
        <v>684</v>
      </c>
    </row>
    <row r="62" spans="1:7" x14ac:dyDescent="0.4">
      <c r="A62">
        <v>748</v>
      </c>
      <c r="B62" t="s">
        <v>501</v>
      </c>
      <c r="C62" t="s">
        <v>559</v>
      </c>
      <c r="D62" t="s">
        <v>508</v>
      </c>
      <c r="E62" t="s">
        <v>685</v>
      </c>
      <c r="F62" t="s">
        <v>686</v>
      </c>
      <c r="G62" t="s">
        <v>687</v>
      </c>
    </row>
    <row r="63" spans="1:7" x14ac:dyDescent="0.4">
      <c r="A63">
        <v>747</v>
      </c>
      <c r="B63" t="s">
        <v>501</v>
      </c>
      <c r="C63" t="s">
        <v>559</v>
      </c>
      <c r="D63" t="s">
        <v>508</v>
      </c>
      <c r="E63" t="s">
        <v>688</v>
      </c>
      <c r="F63" t="s">
        <v>689</v>
      </c>
      <c r="G63" t="s">
        <v>690</v>
      </c>
    </row>
    <row r="64" spans="1:7" x14ac:dyDescent="0.4">
      <c r="A64">
        <v>746</v>
      </c>
      <c r="B64" t="s">
        <v>501</v>
      </c>
      <c r="C64" t="s">
        <v>559</v>
      </c>
      <c r="D64" t="s">
        <v>508</v>
      </c>
      <c r="E64" t="s">
        <v>691</v>
      </c>
      <c r="F64" t="s">
        <v>692</v>
      </c>
      <c r="G64" t="s">
        <v>693</v>
      </c>
    </row>
    <row r="65" spans="1:7" x14ac:dyDescent="0.4">
      <c r="A65">
        <v>745</v>
      </c>
      <c r="B65" t="s">
        <v>501</v>
      </c>
      <c r="C65" t="s">
        <v>507</v>
      </c>
      <c r="D65" t="s">
        <v>508</v>
      </c>
      <c r="E65" t="s">
        <v>694</v>
      </c>
      <c r="F65" t="s">
        <v>695</v>
      </c>
      <c r="G65" t="s">
        <v>696</v>
      </c>
    </row>
    <row r="66" spans="1:7" x14ac:dyDescent="0.4">
      <c r="A66">
        <v>744</v>
      </c>
      <c r="B66" t="s">
        <v>501</v>
      </c>
      <c r="C66" t="s">
        <v>559</v>
      </c>
      <c r="D66" t="s">
        <v>508</v>
      </c>
      <c r="E66" t="s">
        <v>697</v>
      </c>
      <c r="F66" t="s">
        <v>698</v>
      </c>
      <c r="G66" t="s">
        <v>699</v>
      </c>
    </row>
    <row r="67" spans="1:7" x14ac:dyDescent="0.4">
      <c r="A67">
        <v>743</v>
      </c>
      <c r="B67" t="s">
        <v>501</v>
      </c>
      <c r="C67" t="s">
        <v>700</v>
      </c>
      <c r="D67" t="s">
        <v>508</v>
      </c>
      <c r="E67" t="s">
        <v>701</v>
      </c>
      <c r="F67" t="s">
        <v>702</v>
      </c>
      <c r="G67" t="s">
        <v>703</v>
      </c>
    </row>
    <row r="68" spans="1:7" x14ac:dyDescent="0.4">
      <c r="A68">
        <v>742</v>
      </c>
      <c r="B68" t="s">
        <v>501</v>
      </c>
      <c r="C68" t="s">
        <v>502</v>
      </c>
      <c r="D68" t="s">
        <v>503</v>
      </c>
      <c r="E68" t="s">
        <v>704</v>
      </c>
      <c r="F68" t="s">
        <v>705</v>
      </c>
      <c r="G68" t="s">
        <v>706</v>
      </c>
    </row>
    <row r="69" spans="1:7" x14ac:dyDescent="0.4">
      <c r="A69">
        <v>741</v>
      </c>
      <c r="B69" t="s">
        <v>501</v>
      </c>
      <c r="C69" t="s">
        <v>507</v>
      </c>
      <c r="D69" t="s">
        <v>503</v>
      </c>
      <c r="E69" t="s">
        <v>707</v>
      </c>
      <c r="F69" t="s">
        <v>705</v>
      </c>
      <c r="G69" t="s">
        <v>708</v>
      </c>
    </row>
    <row r="70" spans="1:7" x14ac:dyDescent="0.4">
      <c r="A70">
        <v>740</v>
      </c>
      <c r="B70" t="s">
        <v>501</v>
      </c>
      <c r="C70" t="s">
        <v>660</v>
      </c>
      <c r="D70" t="s">
        <v>508</v>
      </c>
      <c r="E70" t="s">
        <v>709</v>
      </c>
      <c r="F70" t="s">
        <v>710</v>
      </c>
      <c r="G70" t="s">
        <v>711</v>
      </c>
    </row>
    <row r="71" spans="1:7" x14ac:dyDescent="0.4">
      <c r="A71">
        <v>739</v>
      </c>
      <c r="B71" t="s">
        <v>501</v>
      </c>
      <c r="C71" t="s">
        <v>502</v>
      </c>
      <c r="D71" t="s">
        <v>508</v>
      </c>
      <c r="E71" t="s">
        <v>712</v>
      </c>
      <c r="F71" t="s">
        <v>713</v>
      </c>
      <c r="G71" t="s">
        <v>714</v>
      </c>
    </row>
    <row r="72" spans="1:7" x14ac:dyDescent="0.4">
      <c r="A72">
        <v>738</v>
      </c>
      <c r="B72" t="s">
        <v>501</v>
      </c>
      <c r="C72" t="s">
        <v>507</v>
      </c>
      <c r="D72" t="s">
        <v>508</v>
      </c>
      <c r="E72" t="s">
        <v>715</v>
      </c>
      <c r="F72" t="s">
        <v>716</v>
      </c>
      <c r="G72" t="s">
        <v>717</v>
      </c>
    </row>
    <row r="73" spans="1:7" x14ac:dyDescent="0.4">
      <c r="A73">
        <v>737</v>
      </c>
      <c r="B73" t="s">
        <v>501</v>
      </c>
      <c r="C73" t="s">
        <v>559</v>
      </c>
      <c r="D73" t="s">
        <v>508</v>
      </c>
      <c r="E73" t="s">
        <v>718</v>
      </c>
      <c r="F73" t="s">
        <v>719</v>
      </c>
      <c r="G73" t="s">
        <v>720</v>
      </c>
    </row>
    <row r="74" spans="1:7" x14ac:dyDescent="0.4">
      <c r="A74">
        <v>736</v>
      </c>
      <c r="B74" t="s">
        <v>501</v>
      </c>
      <c r="C74" t="s">
        <v>559</v>
      </c>
      <c r="D74" t="s">
        <v>508</v>
      </c>
      <c r="E74" t="s">
        <v>721</v>
      </c>
      <c r="F74" t="s">
        <v>722</v>
      </c>
      <c r="G74" t="s">
        <v>723</v>
      </c>
    </row>
    <row r="75" spans="1:7" x14ac:dyDescent="0.4">
      <c r="A75">
        <v>735</v>
      </c>
      <c r="B75" t="s">
        <v>501</v>
      </c>
      <c r="C75" t="s">
        <v>559</v>
      </c>
      <c r="D75" t="s">
        <v>508</v>
      </c>
      <c r="E75" t="s">
        <v>724</v>
      </c>
      <c r="F75" t="s">
        <v>725</v>
      </c>
      <c r="G75" t="s">
        <v>726</v>
      </c>
    </row>
    <row r="76" spans="1:7" x14ac:dyDescent="0.4">
      <c r="A76">
        <v>734</v>
      </c>
      <c r="B76" t="s">
        <v>501</v>
      </c>
      <c r="C76" t="s">
        <v>559</v>
      </c>
      <c r="D76" t="s">
        <v>508</v>
      </c>
      <c r="E76" t="s">
        <v>727</v>
      </c>
      <c r="F76" t="s">
        <v>728</v>
      </c>
      <c r="G76" t="s">
        <v>729</v>
      </c>
    </row>
    <row r="77" spans="1:7" x14ac:dyDescent="0.4">
      <c r="A77">
        <v>733</v>
      </c>
      <c r="B77" t="s">
        <v>501</v>
      </c>
      <c r="C77" t="s">
        <v>559</v>
      </c>
      <c r="D77" t="s">
        <v>508</v>
      </c>
      <c r="E77" t="s">
        <v>730</v>
      </c>
      <c r="F77" t="s">
        <v>731</v>
      </c>
      <c r="G77" t="s">
        <v>732</v>
      </c>
    </row>
    <row r="78" spans="1:7" x14ac:dyDescent="0.4">
      <c r="A78">
        <v>732</v>
      </c>
      <c r="B78" t="s">
        <v>501</v>
      </c>
      <c r="C78" t="s">
        <v>507</v>
      </c>
      <c r="D78" t="s">
        <v>508</v>
      </c>
      <c r="E78" t="s">
        <v>733</v>
      </c>
      <c r="F78" t="s">
        <v>734</v>
      </c>
      <c r="G78" t="s">
        <v>735</v>
      </c>
    </row>
    <row r="79" spans="1:7" x14ac:dyDescent="0.4">
      <c r="A79">
        <v>731</v>
      </c>
      <c r="B79" t="s">
        <v>501</v>
      </c>
      <c r="C79" t="s">
        <v>502</v>
      </c>
      <c r="D79" t="s">
        <v>503</v>
      </c>
      <c r="E79" t="s">
        <v>736</v>
      </c>
      <c r="F79" t="s">
        <v>737</v>
      </c>
      <c r="G79" t="s">
        <v>738</v>
      </c>
    </row>
    <row r="80" spans="1:7" x14ac:dyDescent="0.4">
      <c r="A80">
        <v>730</v>
      </c>
      <c r="B80" t="s">
        <v>501</v>
      </c>
      <c r="C80" t="s">
        <v>507</v>
      </c>
      <c r="D80" t="s">
        <v>503</v>
      </c>
      <c r="E80" t="s">
        <v>739</v>
      </c>
      <c r="F80" t="s">
        <v>737</v>
      </c>
      <c r="G80" t="s">
        <v>740</v>
      </c>
    </row>
    <row r="81" spans="1:7" x14ac:dyDescent="0.4">
      <c r="A81">
        <v>729</v>
      </c>
      <c r="B81" t="s">
        <v>501</v>
      </c>
      <c r="C81" t="s">
        <v>660</v>
      </c>
      <c r="D81" t="s">
        <v>508</v>
      </c>
      <c r="E81" t="s">
        <v>741</v>
      </c>
      <c r="F81" t="s">
        <v>742</v>
      </c>
      <c r="G81" t="s">
        <v>743</v>
      </c>
    </row>
    <row r="82" spans="1:7" x14ac:dyDescent="0.4">
      <c r="A82">
        <v>728</v>
      </c>
      <c r="B82" t="s">
        <v>501</v>
      </c>
      <c r="C82" t="s">
        <v>507</v>
      </c>
      <c r="D82" t="s">
        <v>508</v>
      </c>
      <c r="E82" t="s">
        <v>744</v>
      </c>
      <c r="F82" t="s">
        <v>745</v>
      </c>
      <c r="G82" t="s">
        <v>746</v>
      </c>
    </row>
    <row r="83" spans="1:7" x14ac:dyDescent="0.4">
      <c r="A83">
        <v>727</v>
      </c>
      <c r="B83" t="s">
        <v>501</v>
      </c>
      <c r="C83" t="s">
        <v>559</v>
      </c>
      <c r="D83" t="s">
        <v>508</v>
      </c>
      <c r="E83" t="s">
        <v>747</v>
      </c>
      <c r="F83" t="s">
        <v>748</v>
      </c>
      <c r="G83" t="s">
        <v>749</v>
      </c>
    </row>
    <row r="84" spans="1:7" x14ac:dyDescent="0.4">
      <c r="A84">
        <v>726</v>
      </c>
      <c r="B84" t="s">
        <v>501</v>
      </c>
      <c r="C84" t="s">
        <v>507</v>
      </c>
      <c r="D84" t="s">
        <v>508</v>
      </c>
      <c r="E84" t="s">
        <v>750</v>
      </c>
      <c r="F84" t="s">
        <v>751</v>
      </c>
      <c r="G84" t="s">
        <v>752</v>
      </c>
    </row>
    <row r="85" spans="1:7" x14ac:dyDescent="0.4">
      <c r="A85">
        <v>725</v>
      </c>
      <c r="B85" t="s">
        <v>501</v>
      </c>
      <c r="C85" t="s">
        <v>559</v>
      </c>
      <c r="D85" t="s">
        <v>508</v>
      </c>
      <c r="E85" t="s">
        <v>753</v>
      </c>
      <c r="F85" t="s">
        <v>754</v>
      </c>
      <c r="G85" t="s">
        <v>755</v>
      </c>
    </row>
    <row r="86" spans="1:7" x14ac:dyDescent="0.4">
      <c r="A86">
        <v>724</v>
      </c>
      <c r="B86" t="s">
        <v>501</v>
      </c>
      <c r="C86" t="s">
        <v>507</v>
      </c>
      <c r="D86" t="s">
        <v>508</v>
      </c>
      <c r="E86" t="s">
        <v>756</v>
      </c>
      <c r="F86" t="s">
        <v>757</v>
      </c>
      <c r="G86" t="s">
        <v>758</v>
      </c>
    </row>
    <row r="87" spans="1:7" x14ac:dyDescent="0.4">
      <c r="A87">
        <v>723</v>
      </c>
      <c r="B87" t="s">
        <v>501</v>
      </c>
      <c r="C87" t="s">
        <v>559</v>
      </c>
      <c r="D87" t="s">
        <v>508</v>
      </c>
      <c r="E87" t="s">
        <v>759</v>
      </c>
      <c r="F87" t="s">
        <v>760</v>
      </c>
      <c r="G87" t="s">
        <v>761</v>
      </c>
    </row>
    <row r="88" spans="1:7" x14ac:dyDescent="0.4">
      <c r="A88">
        <v>722</v>
      </c>
      <c r="B88" t="s">
        <v>501</v>
      </c>
      <c r="C88" t="s">
        <v>559</v>
      </c>
      <c r="D88" t="s">
        <v>508</v>
      </c>
      <c r="E88" t="s">
        <v>762</v>
      </c>
      <c r="F88" t="s">
        <v>763</v>
      </c>
      <c r="G88" t="s">
        <v>764</v>
      </c>
    </row>
    <row r="89" spans="1:7" x14ac:dyDescent="0.4">
      <c r="A89">
        <v>721</v>
      </c>
      <c r="B89" t="s">
        <v>501</v>
      </c>
      <c r="C89" t="s">
        <v>502</v>
      </c>
      <c r="D89" t="s">
        <v>508</v>
      </c>
      <c r="E89" t="s">
        <v>765</v>
      </c>
      <c r="F89" t="s">
        <v>766</v>
      </c>
      <c r="G89" t="s">
        <v>767</v>
      </c>
    </row>
    <row r="90" spans="1:7" x14ac:dyDescent="0.4">
      <c r="A90">
        <v>720</v>
      </c>
      <c r="B90" t="s">
        <v>501</v>
      </c>
      <c r="C90" t="s">
        <v>502</v>
      </c>
      <c r="D90" t="s">
        <v>503</v>
      </c>
      <c r="E90" t="s">
        <v>768</v>
      </c>
      <c r="F90" t="s">
        <v>769</v>
      </c>
      <c r="G90" t="s">
        <v>770</v>
      </c>
    </row>
    <row r="91" spans="1:7" x14ac:dyDescent="0.4">
      <c r="A91">
        <v>719</v>
      </c>
      <c r="B91" t="s">
        <v>501</v>
      </c>
      <c r="C91" t="s">
        <v>507</v>
      </c>
      <c r="D91" t="s">
        <v>508</v>
      </c>
      <c r="E91" t="s">
        <v>771</v>
      </c>
      <c r="F91" t="s">
        <v>772</v>
      </c>
      <c r="G91" t="s">
        <v>773</v>
      </c>
    </row>
    <row r="92" spans="1:7" x14ac:dyDescent="0.4">
      <c r="A92">
        <v>718</v>
      </c>
      <c r="B92" t="s">
        <v>501</v>
      </c>
      <c r="C92" t="s">
        <v>559</v>
      </c>
      <c r="D92" t="s">
        <v>508</v>
      </c>
      <c r="E92" t="s">
        <v>774</v>
      </c>
      <c r="F92" t="s">
        <v>775</v>
      </c>
      <c r="G92" t="s">
        <v>776</v>
      </c>
    </row>
    <row r="93" spans="1:7" x14ac:dyDescent="0.4">
      <c r="A93">
        <v>717</v>
      </c>
      <c r="B93" t="s">
        <v>501</v>
      </c>
      <c r="C93" t="s">
        <v>507</v>
      </c>
      <c r="D93" t="s">
        <v>508</v>
      </c>
      <c r="E93" t="s">
        <v>777</v>
      </c>
      <c r="F93" t="s">
        <v>778</v>
      </c>
      <c r="G93" t="s">
        <v>779</v>
      </c>
    </row>
    <row r="94" spans="1:7" x14ac:dyDescent="0.4">
      <c r="A94">
        <v>716</v>
      </c>
      <c r="B94" t="s">
        <v>501</v>
      </c>
      <c r="C94" t="s">
        <v>507</v>
      </c>
      <c r="D94" t="s">
        <v>508</v>
      </c>
      <c r="E94" t="s">
        <v>780</v>
      </c>
      <c r="F94" t="s">
        <v>781</v>
      </c>
      <c r="G94" t="s">
        <v>782</v>
      </c>
    </row>
    <row r="95" spans="1:7" x14ac:dyDescent="0.4">
      <c r="A95">
        <v>715</v>
      </c>
      <c r="B95" t="s">
        <v>501</v>
      </c>
      <c r="C95" t="s">
        <v>559</v>
      </c>
      <c r="D95" t="s">
        <v>508</v>
      </c>
      <c r="E95" t="s">
        <v>783</v>
      </c>
      <c r="F95" t="s">
        <v>784</v>
      </c>
      <c r="G95" t="s">
        <v>785</v>
      </c>
    </row>
    <row r="96" spans="1:7" x14ac:dyDescent="0.4">
      <c r="A96">
        <v>714</v>
      </c>
      <c r="B96" t="s">
        <v>501</v>
      </c>
      <c r="C96" t="s">
        <v>660</v>
      </c>
      <c r="D96" t="s">
        <v>508</v>
      </c>
      <c r="E96" t="s">
        <v>786</v>
      </c>
      <c r="F96" t="s">
        <v>787</v>
      </c>
      <c r="G96" t="s">
        <v>788</v>
      </c>
    </row>
    <row r="97" spans="1:7" x14ac:dyDescent="0.4">
      <c r="A97">
        <v>713</v>
      </c>
      <c r="B97" t="s">
        <v>501</v>
      </c>
      <c r="C97" t="s">
        <v>559</v>
      </c>
      <c r="D97" t="s">
        <v>508</v>
      </c>
      <c r="E97" t="s">
        <v>789</v>
      </c>
      <c r="F97" t="s">
        <v>790</v>
      </c>
      <c r="G97" t="s">
        <v>791</v>
      </c>
    </row>
    <row r="98" spans="1:7" x14ac:dyDescent="0.4">
      <c r="A98">
        <v>712</v>
      </c>
      <c r="B98" t="s">
        <v>501</v>
      </c>
      <c r="C98" t="s">
        <v>559</v>
      </c>
      <c r="D98" t="s">
        <v>508</v>
      </c>
      <c r="E98" t="s">
        <v>792</v>
      </c>
      <c r="F98" t="s">
        <v>554</v>
      </c>
      <c r="G98" t="s">
        <v>793</v>
      </c>
    </row>
    <row r="99" spans="1:7" x14ac:dyDescent="0.4">
      <c r="A99">
        <v>711</v>
      </c>
      <c r="B99" t="s">
        <v>501</v>
      </c>
      <c r="C99" t="s">
        <v>559</v>
      </c>
      <c r="D99" t="s">
        <v>508</v>
      </c>
      <c r="E99" t="s">
        <v>794</v>
      </c>
      <c r="F99" t="s">
        <v>795</v>
      </c>
      <c r="G99" t="s">
        <v>796</v>
      </c>
    </row>
    <row r="100" spans="1:7" x14ac:dyDescent="0.4">
      <c r="A100">
        <v>710</v>
      </c>
      <c r="B100" t="s">
        <v>501</v>
      </c>
      <c r="C100" t="s">
        <v>507</v>
      </c>
      <c r="D100" t="s">
        <v>508</v>
      </c>
      <c r="E100" t="s">
        <v>797</v>
      </c>
      <c r="F100" t="s">
        <v>798</v>
      </c>
      <c r="G100" t="s">
        <v>799</v>
      </c>
    </row>
    <row r="101" spans="1:7" x14ac:dyDescent="0.4">
      <c r="A101">
        <v>709</v>
      </c>
      <c r="B101" t="s">
        <v>501</v>
      </c>
      <c r="C101" t="s">
        <v>559</v>
      </c>
      <c r="D101" t="s">
        <v>508</v>
      </c>
      <c r="E101" t="s">
        <v>800</v>
      </c>
      <c r="F101" t="s">
        <v>801</v>
      </c>
      <c r="G101" t="s">
        <v>802</v>
      </c>
    </row>
    <row r="102" spans="1:7" x14ac:dyDescent="0.4">
      <c r="A102">
        <v>708</v>
      </c>
      <c r="B102" t="s">
        <v>501</v>
      </c>
      <c r="C102" t="s">
        <v>559</v>
      </c>
      <c r="D102" t="s">
        <v>508</v>
      </c>
      <c r="E102" t="s">
        <v>803</v>
      </c>
      <c r="F102" t="s">
        <v>804</v>
      </c>
      <c r="G102" t="s">
        <v>805</v>
      </c>
    </row>
    <row r="103" spans="1:7" x14ac:dyDescent="0.4">
      <c r="A103">
        <v>707</v>
      </c>
      <c r="B103" t="s">
        <v>501</v>
      </c>
      <c r="C103" t="s">
        <v>507</v>
      </c>
      <c r="D103" t="s">
        <v>508</v>
      </c>
      <c r="E103" t="s">
        <v>806</v>
      </c>
      <c r="F103" t="s">
        <v>807</v>
      </c>
      <c r="G103" t="s">
        <v>808</v>
      </c>
    </row>
    <row r="104" spans="1:7" x14ac:dyDescent="0.4">
      <c r="A104">
        <v>706</v>
      </c>
      <c r="B104" t="s">
        <v>501</v>
      </c>
      <c r="C104" t="s">
        <v>559</v>
      </c>
      <c r="D104" t="s">
        <v>508</v>
      </c>
      <c r="E104" t="s">
        <v>809</v>
      </c>
      <c r="F104" t="s">
        <v>810</v>
      </c>
      <c r="G104" t="s">
        <v>811</v>
      </c>
    </row>
    <row r="105" spans="1:7" x14ac:dyDescent="0.4">
      <c r="A105">
        <v>705</v>
      </c>
      <c r="B105" t="s">
        <v>501</v>
      </c>
      <c r="C105" t="s">
        <v>507</v>
      </c>
      <c r="D105" t="s">
        <v>508</v>
      </c>
      <c r="E105" t="s">
        <v>812</v>
      </c>
      <c r="F105" t="s">
        <v>813</v>
      </c>
      <c r="G105" t="s">
        <v>814</v>
      </c>
    </row>
    <row r="106" spans="1:7" x14ac:dyDescent="0.4">
      <c r="A106">
        <v>704</v>
      </c>
      <c r="B106" t="s">
        <v>501</v>
      </c>
      <c r="C106" t="s">
        <v>559</v>
      </c>
      <c r="D106" t="s">
        <v>508</v>
      </c>
      <c r="E106" t="s">
        <v>815</v>
      </c>
      <c r="F106" t="s">
        <v>816</v>
      </c>
      <c r="G106" t="s">
        <v>817</v>
      </c>
    </row>
    <row r="107" spans="1:7" x14ac:dyDescent="0.4">
      <c r="A107">
        <v>703</v>
      </c>
      <c r="B107" t="s">
        <v>501</v>
      </c>
      <c r="C107" t="s">
        <v>507</v>
      </c>
      <c r="D107" t="s">
        <v>508</v>
      </c>
      <c r="E107" t="s">
        <v>818</v>
      </c>
      <c r="F107" t="s">
        <v>819</v>
      </c>
      <c r="G107" t="s">
        <v>820</v>
      </c>
    </row>
    <row r="108" spans="1:7" x14ac:dyDescent="0.4">
      <c r="A108">
        <v>702</v>
      </c>
      <c r="B108" t="s">
        <v>501</v>
      </c>
      <c r="C108" t="s">
        <v>507</v>
      </c>
      <c r="D108" t="s">
        <v>508</v>
      </c>
      <c r="E108" t="s">
        <v>821</v>
      </c>
      <c r="F108" t="s">
        <v>822</v>
      </c>
      <c r="G108" t="s">
        <v>823</v>
      </c>
    </row>
    <row r="109" spans="1:7" x14ac:dyDescent="0.4">
      <c r="A109">
        <v>701</v>
      </c>
      <c r="B109" t="s">
        <v>501</v>
      </c>
      <c r="C109" t="s">
        <v>559</v>
      </c>
      <c r="D109" t="s">
        <v>508</v>
      </c>
      <c r="E109" t="s">
        <v>824</v>
      </c>
      <c r="F109" t="s">
        <v>825</v>
      </c>
      <c r="G109" t="s">
        <v>826</v>
      </c>
    </row>
    <row r="110" spans="1:7" x14ac:dyDescent="0.4">
      <c r="A110">
        <v>700</v>
      </c>
      <c r="B110" t="s">
        <v>501</v>
      </c>
      <c r="C110" t="s">
        <v>559</v>
      </c>
      <c r="D110" t="s">
        <v>508</v>
      </c>
      <c r="E110" t="s">
        <v>827</v>
      </c>
      <c r="F110" t="s">
        <v>828</v>
      </c>
      <c r="G110" t="s">
        <v>829</v>
      </c>
    </row>
    <row r="111" spans="1:7" x14ac:dyDescent="0.4">
      <c r="A111">
        <v>699</v>
      </c>
      <c r="B111" t="s">
        <v>501</v>
      </c>
      <c r="C111" t="s">
        <v>660</v>
      </c>
      <c r="D111" t="s">
        <v>508</v>
      </c>
      <c r="E111" t="s">
        <v>830</v>
      </c>
      <c r="F111" t="s">
        <v>831</v>
      </c>
      <c r="G111" t="s">
        <v>832</v>
      </c>
    </row>
    <row r="112" spans="1:7" x14ac:dyDescent="0.4">
      <c r="A112">
        <v>698</v>
      </c>
      <c r="B112" t="s">
        <v>501</v>
      </c>
      <c r="C112" t="s">
        <v>700</v>
      </c>
      <c r="D112" t="s">
        <v>508</v>
      </c>
      <c r="E112" t="s">
        <v>833</v>
      </c>
      <c r="F112" t="s">
        <v>834</v>
      </c>
      <c r="G112" t="s">
        <v>835</v>
      </c>
    </row>
    <row r="113" spans="1:7" x14ac:dyDescent="0.4">
      <c r="A113">
        <v>697</v>
      </c>
      <c r="B113" t="s">
        <v>501</v>
      </c>
      <c r="C113" t="s">
        <v>700</v>
      </c>
      <c r="D113" t="s">
        <v>508</v>
      </c>
      <c r="E113" t="s">
        <v>836</v>
      </c>
      <c r="F113" t="s">
        <v>837</v>
      </c>
      <c r="G113" t="s">
        <v>838</v>
      </c>
    </row>
    <row r="114" spans="1:7" x14ac:dyDescent="0.4">
      <c r="A114">
        <v>696</v>
      </c>
      <c r="B114" t="s">
        <v>501</v>
      </c>
      <c r="C114" t="s">
        <v>559</v>
      </c>
      <c r="D114" t="s">
        <v>508</v>
      </c>
      <c r="E114" t="s">
        <v>839</v>
      </c>
      <c r="F114" t="s">
        <v>840</v>
      </c>
      <c r="G114" t="s">
        <v>841</v>
      </c>
    </row>
    <row r="115" spans="1:7" x14ac:dyDescent="0.4">
      <c r="A115">
        <v>695</v>
      </c>
      <c r="B115" t="s">
        <v>501</v>
      </c>
      <c r="C115" t="s">
        <v>559</v>
      </c>
      <c r="D115" t="s">
        <v>508</v>
      </c>
      <c r="E115" t="s">
        <v>842</v>
      </c>
      <c r="F115" t="s">
        <v>843</v>
      </c>
      <c r="G115" t="s">
        <v>844</v>
      </c>
    </row>
    <row r="116" spans="1:7" x14ac:dyDescent="0.4">
      <c r="A116">
        <v>694</v>
      </c>
      <c r="B116" t="s">
        <v>501</v>
      </c>
      <c r="C116" t="s">
        <v>559</v>
      </c>
      <c r="D116" t="s">
        <v>508</v>
      </c>
      <c r="E116" t="s">
        <v>845</v>
      </c>
      <c r="F116" t="s">
        <v>846</v>
      </c>
      <c r="G116" t="s">
        <v>847</v>
      </c>
    </row>
    <row r="117" spans="1:7" x14ac:dyDescent="0.4">
      <c r="A117">
        <v>693</v>
      </c>
      <c r="B117" t="s">
        <v>501</v>
      </c>
      <c r="C117" t="s">
        <v>559</v>
      </c>
      <c r="D117" t="s">
        <v>508</v>
      </c>
      <c r="E117" t="s">
        <v>848</v>
      </c>
      <c r="F117" t="s">
        <v>849</v>
      </c>
      <c r="G117" t="s">
        <v>850</v>
      </c>
    </row>
    <row r="118" spans="1:7" x14ac:dyDescent="0.4">
      <c r="A118">
        <v>692</v>
      </c>
      <c r="B118" t="s">
        <v>501</v>
      </c>
      <c r="C118" t="s">
        <v>559</v>
      </c>
      <c r="D118" t="s">
        <v>508</v>
      </c>
      <c r="E118" t="s">
        <v>851</v>
      </c>
      <c r="F118" t="s">
        <v>852</v>
      </c>
      <c r="G118" t="s">
        <v>853</v>
      </c>
    </row>
    <row r="119" spans="1:7" x14ac:dyDescent="0.4">
      <c r="A119">
        <v>691</v>
      </c>
      <c r="B119" t="s">
        <v>501</v>
      </c>
      <c r="C119" t="s">
        <v>559</v>
      </c>
      <c r="D119" t="s">
        <v>508</v>
      </c>
      <c r="E119" t="s">
        <v>854</v>
      </c>
      <c r="F119" t="s">
        <v>855</v>
      </c>
      <c r="G119" t="s">
        <v>856</v>
      </c>
    </row>
    <row r="120" spans="1:7" x14ac:dyDescent="0.4">
      <c r="A120">
        <v>690</v>
      </c>
      <c r="B120" t="s">
        <v>501</v>
      </c>
      <c r="C120" t="s">
        <v>502</v>
      </c>
      <c r="D120" t="s">
        <v>508</v>
      </c>
      <c r="E120" t="s">
        <v>857</v>
      </c>
      <c r="F120" t="s">
        <v>858</v>
      </c>
      <c r="G120" t="s">
        <v>859</v>
      </c>
    </row>
    <row r="121" spans="1:7" x14ac:dyDescent="0.4">
      <c r="A121">
        <v>689</v>
      </c>
      <c r="B121" t="s">
        <v>501</v>
      </c>
      <c r="C121" t="s">
        <v>559</v>
      </c>
      <c r="D121" t="s">
        <v>508</v>
      </c>
      <c r="E121" t="s">
        <v>860</v>
      </c>
      <c r="F121" t="s">
        <v>861</v>
      </c>
      <c r="G121" t="s">
        <v>862</v>
      </c>
    </row>
    <row r="123" spans="1:7" x14ac:dyDescent="0.4">
      <c r="A123" s="4" t="s">
        <v>863</v>
      </c>
      <c r="B123" s="35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8DB4E-CC02-49A5-937A-03C07C653B30}">
  <sheetPr codeName="Sheet5"/>
  <dimension ref="A1:E2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491</v>
      </c>
    </row>
    <row r="3" spans="1:5" ht="25.95" customHeight="1" x14ac:dyDescent="0.4">
      <c r="B3" s="61" t="s">
        <v>492</v>
      </c>
      <c r="C3" s="60"/>
      <c r="D3" s="60"/>
      <c r="E3" s="60"/>
    </row>
    <row r="4" spans="1:5" ht="25.95" customHeight="1" x14ac:dyDescent="0.4">
      <c r="B4" s="60"/>
      <c r="C4" s="60"/>
      <c r="D4" s="60"/>
      <c r="E4" s="60"/>
    </row>
    <row r="5" spans="1:5" ht="10.050000000000001" customHeight="1" x14ac:dyDescent="0.4">
      <c r="B5" s="51"/>
      <c r="C5" s="51"/>
      <c r="D5" s="51"/>
      <c r="E5" s="51"/>
    </row>
    <row r="6" spans="1:5" ht="28.05" customHeight="1" x14ac:dyDescent="0.4">
      <c r="B6" s="62" t="str">
        <f>"본인은 "&amp;IF(기초자료입력!C4&lt;&gt;"",기초자료입력!C4,"○○학교")&amp;" 교복선정위원회 활동을 공정하게 수행할 것이며, 교복가격 안정화에 적극 노력하겠습니다."</f>
        <v>본인은 ○○학교 교복선정위원회 활동을 공정하게 수행할 것이며, 교복가격 안정화에 적극 노력하겠습니다.</v>
      </c>
      <c r="C6" s="62"/>
      <c r="D6" s="62"/>
      <c r="E6" s="62"/>
    </row>
    <row r="7" spans="1:5" ht="28.05" customHeight="1" x14ac:dyDescent="0.4">
      <c r="B7" s="62" t="str">
        <f>"아울러 본인은 "&amp;IF(기초자료입력!C4&lt;&gt;"",기초자료입력!C4,"○○학교")&amp;" 교복 입찰에 참가한(또는 앞으로 참가할) 업체와 전혀 관련이 없음을 확인합니다."</f>
        <v>아울러 본인은 ○○학교 교복 입찰에 참가한(또는 앞으로 참가할) 업체와 전혀 관련이 없음을 확인합니다.</v>
      </c>
      <c r="C7" s="62"/>
      <c r="D7" s="62"/>
      <c r="E7" s="62"/>
    </row>
    <row r="8" spans="1:5" ht="28.05" customHeight="1" x14ac:dyDescent="0.4">
      <c r="B8" s="62" t="s">
        <v>493</v>
      </c>
      <c r="C8" s="62"/>
      <c r="D8" s="62"/>
      <c r="E8" s="62"/>
    </row>
    <row r="9" spans="1:5" ht="13.95" customHeight="1" x14ac:dyDescent="0.4">
      <c r="B9" s="51"/>
      <c r="C9" s="51"/>
      <c r="D9" s="51"/>
      <c r="E9" s="51"/>
    </row>
    <row r="10" spans="1:5" ht="13.95" customHeight="1" x14ac:dyDescent="0.4">
      <c r="B10" s="51"/>
      <c r="C10" s="51"/>
      <c r="D10" s="51"/>
      <c r="E10" s="51"/>
    </row>
    <row r="11" spans="1:5" ht="10.050000000000001" customHeight="1" x14ac:dyDescent="0.4">
      <c r="B11" s="51"/>
      <c r="C11" s="51"/>
      <c r="D11" s="51"/>
      <c r="E11" s="51"/>
    </row>
    <row r="12" spans="1:5" ht="19.95" customHeight="1" x14ac:dyDescent="0.4">
      <c r="B12" s="60" t="str">
        <f>IF(기초자료입력!$C$5="","20○○.  ○○  .  ○○  .","20"&amp;RIGHT(기초자료입력!$C$5,2)&amp;".  ○○  .  ○○  .")</f>
        <v>20○○.  ○○  .  ○○  .</v>
      </c>
      <c r="C12" s="60"/>
      <c r="D12" s="60"/>
      <c r="E12" s="60"/>
    </row>
    <row r="13" spans="1:5" ht="13.95" customHeight="1" x14ac:dyDescent="0.4">
      <c r="B13" s="51"/>
      <c r="C13" s="51"/>
      <c r="D13" s="51"/>
      <c r="E13" s="51"/>
    </row>
    <row r="14" spans="1:5" ht="22.05" customHeight="1" x14ac:dyDescent="0.4">
      <c r="B14" s="59" t="s">
        <v>494</v>
      </c>
      <c r="C14" s="59"/>
      <c r="D14" s="59"/>
      <c r="E14" s="59"/>
    </row>
    <row r="15" spans="1:5" ht="13.95" customHeight="1" x14ac:dyDescent="0.4">
      <c r="B15" s="52"/>
      <c r="C15" s="52"/>
      <c r="D15" s="52"/>
      <c r="E15" s="52"/>
    </row>
    <row r="16" spans="1:5" ht="22.05" customHeight="1" x14ac:dyDescent="0.4">
      <c r="B16" s="59" t="s">
        <v>495</v>
      </c>
      <c r="C16" s="59"/>
      <c r="D16" s="59"/>
      <c r="E16" s="59"/>
    </row>
    <row r="17" spans="2:5" ht="13.95" customHeight="1" x14ac:dyDescent="0.4">
      <c r="B17" s="52"/>
      <c r="C17" s="52"/>
      <c r="D17" s="52"/>
      <c r="E17" s="52"/>
    </row>
    <row r="18" spans="2:5" ht="22.05" customHeight="1" x14ac:dyDescent="0.4">
      <c r="B18" s="59" t="s">
        <v>496</v>
      </c>
      <c r="C18" s="59"/>
      <c r="D18" s="59"/>
      <c r="E18" s="59"/>
    </row>
    <row r="19" spans="2:5" ht="13.95" customHeight="1" x14ac:dyDescent="0.4">
      <c r="B19" s="51"/>
      <c r="C19" s="51"/>
      <c r="D19" s="51"/>
      <c r="E19" s="51"/>
    </row>
    <row r="20" spans="2:5" ht="10.050000000000001" customHeight="1" x14ac:dyDescent="0.4">
      <c r="B20" s="51"/>
      <c r="C20" s="51"/>
      <c r="D20" s="51"/>
      <c r="E20" s="51"/>
    </row>
    <row r="21" spans="2:5" ht="19.95" customHeight="1" x14ac:dyDescent="0.4">
      <c r="B21" s="60" t="str">
        <f>IF(기초자료입력!$C$4="","○○학교장 귀하",기초자료입력!$C$4&amp;"장 귀하")</f>
        <v>○○학교장 귀하</v>
      </c>
      <c r="C21" s="60"/>
      <c r="D21" s="60"/>
      <c r="E21" s="60"/>
    </row>
  </sheetData>
  <mergeCells count="9">
    <mergeCell ref="B16:E16"/>
    <mergeCell ref="B18:E18"/>
    <mergeCell ref="B21:E21"/>
    <mergeCell ref="B3:E4"/>
    <mergeCell ref="B6:E6"/>
    <mergeCell ref="B7:E7"/>
    <mergeCell ref="B8:E8"/>
    <mergeCell ref="B12:E12"/>
    <mergeCell ref="B14:E1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23477-B8B8-4474-AB0B-EDCB4F067B9C}">
  <sheetPr codeName="Sheet6"/>
  <dimension ref="A1:H43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2.69921875" customWidth="1"/>
    <col min="5" max="5" width="10.69921875" customWidth="1"/>
    <col min="6" max="8" width="8.69921875" customWidth="1"/>
  </cols>
  <sheetData>
    <row r="1" spans="1:8" x14ac:dyDescent="0.4">
      <c r="A1" s="20" t="s">
        <v>474</v>
      </c>
    </row>
    <row r="3" spans="1:8" ht="24" customHeight="1" x14ac:dyDescent="0.4">
      <c r="B3" s="70" t="s">
        <v>475</v>
      </c>
      <c r="C3" s="71"/>
      <c r="D3" s="71"/>
      <c r="E3" s="71"/>
      <c r="F3" s="71"/>
      <c r="G3" s="71"/>
      <c r="H3" s="71"/>
    </row>
    <row r="5" spans="1:8" ht="14.55" customHeight="1" x14ac:dyDescent="0.4">
      <c r="B5" s="50" t="s">
        <v>25</v>
      </c>
      <c r="C5" s="33" t="str">
        <f>IF(기초자료입력!C9&lt;&gt;"",기초자료입력!C9,"")</f>
        <v/>
      </c>
      <c r="D5" s="33"/>
      <c r="E5" s="50" t="s">
        <v>255</v>
      </c>
      <c r="F5" s="33" t="str">
        <f>IF(기초자료입력!C8&lt;&gt;"",TEXT(기초자료입력!C8,"yyyy-mm-dd"),"")</f>
        <v/>
      </c>
      <c r="G5" s="33"/>
      <c r="H5" s="33"/>
    </row>
    <row r="6" spans="1:8" ht="14.55" customHeight="1" x14ac:dyDescent="0.4">
      <c r="B6" s="33"/>
      <c r="C6" s="33"/>
      <c r="D6" s="33"/>
      <c r="E6" s="33"/>
      <c r="F6" s="33"/>
      <c r="G6" s="33"/>
      <c r="H6" s="33"/>
    </row>
    <row r="7" spans="1:8" ht="14.55" customHeight="1" x14ac:dyDescent="0.4">
      <c r="B7" s="50" t="s">
        <v>256</v>
      </c>
      <c r="C7" s="64" t="s">
        <v>476</v>
      </c>
      <c r="D7" s="64"/>
      <c r="E7" s="64"/>
      <c r="F7" s="64"/>
      <c r="G7" s="64"/>
      <c r="H7" s="64"/>
    </row>
    <row r="8" spans="1:8" ht="14.55" customHeight="1" x14ac:dyDescent="0.4">
      <c r="B8" s="50" t="s">
        <v>263</v>
      </c>
      <c r="C8" s="64"/>
      <c r="D8" s="64"/>
      <c r="E8" s="64"/>
      <c r="F8" s="64"/>
      <c r="G8" s="64"/>
      <c r="H8" s="64"/>
    </row>
    <row r="9" spans="1:8" ht="14.55" customHeight="1" x14ac:dyDescent="0.4">
      <c r="B9" s="50" t="s">
        <v>257</v>
      </c>
      <c r="C9" s="66" t="str">
        <f>IF(기초자료입력!C5&lt;&gt;"",기초자료입력!C5&amp;"학년도 교복선정위원회 구성(안)","교복선정위원회 구성(안)")</f>
        <v>교복선정위원회 구성(안)</v>
      </c>
      <c r="D9" s="64"/>
      <c r="E9" s="64"/>
      <c r="F9" s="64"/>
      <c r="G9" s="64"/>
      <c r="H9" s="64"/>
    </row>
    <row r="10" spans="1:8" ht="14.55" customHeight="1" x14ac:dyDescent="0.4">
      <c r="B10" s="33"/>
      <c r="C10" s="33"/>
      <c r="D10" s="33"/>
      <c r="E10" s="33"/>
      <c r="F10" s="33"/>
      <c r="G10" s="33"/>
      <c r="H10" s="33"/>
    </row>
    <row r="11" spans="1:8" ht="14.55" customHeight="1" x14ac:dyDescent="0.4">
      <c r="B11" s="50" t="s">
        <v>264</v>
      </c>
      <c r="C11" s="64" t="str">
        <f>IF(기초자료입력!C23&lt;&gt;"",기초자료입력!C23,"")</f>
        <v/>
      </c>
      <c r="D11" s="64"/>
      <c r="E11" s="64"/>
      <c r="F11" s="64"/>
      <c r="G11" s="64"/>
      <c r="H11" s="64"/>
    </row>
    <row r="12" spans="1:8" ht="14.55" customHeight="1" x14ac:dyDescent="0.4">
      <c r="B12" s="33"/>
      <c r="C12" s="33"/>
      <c r="D12" s="33"/>
      <c r="E12" s="33"/>
      <c r="F12" s="33"/>
      <c r="G12" s="33"/>
      <c r="H12" s="33"/>
    </row>
    <row r="13" spans="1:8" ht="25.95" customHeight="1" x14ac:dyDescent="0.4">
      <c r="B13" s="69" t="str">
        <f>"2. "&amp;IF(기초자료입력!C4&lt;&gt;"",기초자료입력!C4,"○○학교")&amp;" "&amp;IF(기초자료입력!C5&lt;&gt;"",기초자료입력!C5,"○○")&amp;"학년도 교복선정을 위한 교복선정위원회를 아래와 같이 구성하고자 합니다."</f>
        <v>2. ○○학교 ○○학년도 교복선정을 위한 교복선정위원회를 아래와 같이 구성하고자 합니다.</v>
      </c>
      <c r="C13" s="69"/>
      <c r="D13" s="69"/>
      <c r="E13" s="69"/>
      <c r="F13" s="69"/>
      <c r="G13" s="69"/>
      <c r="H13" s="69"/>
    </row>
    <row r="14" spans="1:8" ht="14.55" customHeight="1" x14ac:dyDescent="0.4">
      <c r="B14" s="33"/>
      <c r="C14" s="33"/>
      <c r="D14" s="33"/>
      <c r="E14" s="33"/>
      <c r="F14" s="33"/>
      <c r="G14" s="33"/>
      <c r="H14" s="33"/>
    </row>
    <row r="15" spans="1:8" ht="14.55" customHeight="1" x14ac:dyDescent="0.4">
      <c r="B15" s="66" t="s">
        <v>477</v>
      </c>
      <c r="C15" s="64"/>
      <c r="D15" s="64"/>
      <c r="E15" s="64"/>
      <c r="F15" s="64"/>
      <c r="G15" s="64"/>
      <c r="H15" s="64"/>
    </row>
    <row r="16" spans="1:8" ht="19.95" customHeight="1" x14ac:dyDescent="0.4">
      <c r="B16" s="68" t="s">
        <v>478</v>
      </c>
      <c r="C16" s="69"/>
      <c r="D16" s="69"/>
      <c r="E16" s="69"/>
      <c r="F16" s="69"/>
      <c r="G16" s="69"/>
      <c r="H16" s="69"/>
    </row>
    <row r="17" spans="2:8" ht="12" customHeight="1" x14ac:dyDescent="0.4">
      <c r="B17" s="69" t="s">
        <v>479</v>
      </c>
      <c r="C17" s="69"/>
      <c r="D17" s="69"/>
      <c r="E17" s="69"/>
      <c r="F17" s="69"/>
      <c r="G17" s="69"/>
      <c r="H17" s="69"/>
    </row>
    <row r="18" spans="2:8" ht="14.55" customHeight="1" x14ac:dyDescent="0.4">
      <c r="B18" s="66" t="s">
        <v>480</v>
      </c>
      <c r="C18" s="64"/>
      <c r="D18" s="64"/>
      <c r="E18" s="64"/>
      <c r="F18" s="64"/>
      <c r="G18" s="64"/>
      <c r="H18" s="64"/>
    </row>
    <row r="19" spans="2:8" ht="14.55" customHeight="1" x14ac:dyDescent="0.4">
      <c r="B19" s="64" t="s">
        <v>481</v>
      </c>
      <c r="C19" s="64"/>
      <c r="D19" s="64"/>
      <c r="E19" s="64"/>
      <c r="F19" s="64"/>
      <c r="G19" s="64"/>
      <c r="H19" s="64"/>
    </row>
    <row r="20" spans="2:8" ht="14.55" customHeight="1" x14ac:dyDescent="0.4">
      <c r="B20" s="64" t="s">
        <v>482</v>
      </c>
      <c r="C20" s="64"/>
      <c r="D20" s="64"/>
      <c r="E20" s="64"/>
      <c r="F20" s="64"/>
      <c r="G20" s="64"/>
      <c r="H20" s="64"/>
    </row>
    <row r="21" spans="2:8" ht="14.55" customHeight="1" x14ac:dyDescent="0.4">
      <c r="B21" s="64" t="s">
        <v>483</v>
      </c>
      <c r="C21" s="64"/>
      <c r="D21" s="64"/>
      <c r="E21" s="64"/>
      <c r="F21" s="64"/>
      <c r="G21" s="64"/>
      <c r="H21" s="64"/>
    </row>
    <row r="22" spans="2:8" ht="14.55" customHeight="1" x14ac:dyDescent="0.4">
      <c r="B22" s="64" t="s">
        <v>484</v>
      </c>
      <c r="C22" s="64"/>
      <c r="D22" s="64"/>
      <c r="E22" s="64"/>
      <c r="F22" s="64"/>
      <c r="G22" s="64"/>
      <c r="H22" s="64"/>
    </row>
    <row r="23" spans="2:8" ht="14.55" customHeight="1" x14ac:dyDescent="0.4">
      <c r="B23" s="33"/>
      <c r="C23" s="33"/>
      <c r="D23" s="33"/>
      <c r="E23" s="33"/>
      <c r="F23" s="33"/>
      <c r="G23" s="33"/>
      <c r="H23" s="33"/>
    </row>
    <row r="24" spans="2:8" ht="14.55" customHeight="1" x14ac:dyDescent="0.4">
      <c r="B24" s="66" t="s">
        <v>485</v>
      </c>
      <c r="C24" s="64"/>
      <c r="D24" s="64"/>
      <c r="E24" s="64"/>
      <c r="F24" s="64"/>
      <c r="G24" s="64"/>
      <c r="H24" s="64"/>
    </row>
    <row r="25" spans="2:8" ht="14.55" customHeight="1" x14ac:dyDescent="0.4">
      <c r="B25" s="28" t="s">
        <v>486</v>
      </c>
      <c r="C25" s="28" t="s">
        <v>293</v>
      </c>
      <c r="D25" s="28" t="s">
        <v>487</v>
      </c>
      <c r="E25" s="28" t="s">
        <v>488</v>
      </c>
      <c r="F25" s="67" t="s">
        <v>282</v>
      </c>
      <c r="G25" s="64"/>
      <c r="H25" s="64"/>
    </row>
    <row r="26" spans="2:8" ht="14.55" customHeight="1" x14ac:dyDescent="0.4">
      <c r="B26" s="33" t="str">
        <f>IF(기초자료입력!B58&lt;&gt;"",1,"")</f>
        <v/>
      </c>
      <c r="C26" s="33" t="str">
        <f>IF(기초자료입력!B58&lt;&gt;"","위원장","")</f>
        <v/>
      </c>
      <c r="D26" s="33" t="str">
        <f>IF(기초자료입력!B58&lt;&gt;"",기초자료입력!B58,"")</f>
        <v/>
      </c>
      <c r="E26" s="33" t="str">
        <f>IF(기초자료입력!C58&lt;&gt;"",기초자료입력!C58,"")</f>
        <v/>
      </c>
      <c r="F26" s="64"/>
      <c r="G26" s="64"/>
      <c r="H26" s="64"/>
    </row>
    <row r="27" spans="2:8" ht="14.55" customHeight="1" x14ac:dyDescent="0.4">
      <c r="B27" s="33" t="str">
        <f>IF(기초자료입력!B59&lt;&gt;"",2,"")</f>
        <v/>
      </c>
      <c r="C27" s="33" t="str">
        <f>IF(기초자료입력!B59&lt;&gt;"","위원","")</f>
        <v/>
      </c>
      <c r="D27" s="33" t="str">
        <f>IF(기초자료입력!B59&lt;&gt;"",기초자료입력!B59,"")</f>
        <v/>
      </c>
      <c r="E27" s="33" t="str">
        <f>IF(기초자료입력!C59&lt;&gt;"",기초자료입력!C59,"")</f>
        <v/>
      </c>
      <c r="F27" s="64"/>
      <c r="G27" s="64"/>
      <c r="H27" s="64"/>
    </row>
    <row r="28" spans="2:8" ht="14.55" customHeight="1" x14ac:dyDescent="0.4">
      <c r="B28" s="33" t="str">
        <f>IF(기초자료입력!B60&lt;&gt;"",3,"")</f>
        <v/>
      </c>
      <c r="C28" s="33" t="str">
        <f>IF(기초자료입력!B60&lt;&gt;"","위원","")</f>
        <v/>
      </c>
      <c r="D28" s="33" t="str">
        <f>IF(기초자료입력!B60&lt;&gt;"",기초자료입력!B60,"")</f>
        <v/>
      </c>
      <c r="E28" s="33" t="str">
        <f>IF(기초자료입력!C60&lt;&gt;"",기초자료입력!C60,"")</f>
        <v/>
      </c>
      <c r="F28" s="64"/>
      <c r="G28" s="64"/>
      <c r="H28" s="64"/>
    </row>
    <row r="29" spans="2:8" ht="14.55" customHeight="1" x14ac:dyDescent="0.4">
      <c r="B29" s="33" t="str">
        <f>IF(기초자료입력!B61&lt;&gt;"",4,"")</f>
        <v/>
      </c>
      <c r="C29" s="33" t="str">
        <f>IF(기초자료입력!B61&lt;&gt;"","위원","")</f>
        <v/>
      </c>
      <c r="D29" s="33" t="str">
        <f>IF(기초자료입력!B61&lt;&gt;"",기초자료입력!B61,"")</f>
        <v/>
      </c>
      <c r="E29" s="33" t="str">
        <f>IF(기초자료입력!C61&lt;&gt;"",기초자료입력!C61,"")</f>
        <v/>
      </c>
      <c r="F29" s="64"/>
      <c r="G29" s="64"/>
      <c r="H29" s="64"/>
    </row>
    <row r="30" spans="2:8" ht="14.55" customHeight="1" x14ac:dyDescent="0.4">
      <c r="B30" s="33" t="str">
        <f>IF(기초자료입력!B62&lt;&gt;"",5,"")</f>
        <v/>
      </c>
      <c r="C30" s="33" t="str">
        <f>IF(기초자료입력!B62&lt;&gt;"","위원","")</f>
        <v/>
      </c>
      <c r="D30" s="33" t="str">
        <f>IF(기초자료입력!B62&lt;&gt;"",기초자료입력!B62,"")</f>
        <v/>
      </c>
      <c r="E30" s="33" t="str">
        <f>IF(기초자료입력!C62&lt;&gt;"",기초자료입력!C62,"")</f>
        <v/>
      </c>
      <c r="F30" s="64"/>
      <c r="G30" s="64"/>
      <c r="H30" s="64"/>
    </row>
    <row r="31" spans="2:8" ht="14.55" customHeight="1" x14ac:dyDescent="0.4">
      <c r="B31" s="33" t="str">
        <f>IF(기초자료입력!B63&lt;&gt;"",6,"")</f>
        <v/>
      </c>
      <c r="C31" s="33" t="str">
        <f>IF(기초자료입력!B63&lt;&gt;"","위원","")</f>
        <v/>
      </c>
      <c r="D31" s="33" t="str">
        <f>IF(기초자료입력!B63&lt;&gt;"",기초자료입력!B63,"")</f>
        <v/>
      </c>
      <c r="E31" s="33" t="str">
        <f>IF(기초자료입력!C63&lt;&gt;"",기초자료입력!C63,"")</f>
        <v/>
      </c>
      <c r="F31" s="64"/>
      <c r="G31" s="64"/>
      <c r="H31" s="64"/>
    </row>
    <row r="32" spans="2:8" ht="14.55" customHeight="1" x14ac:dyDescent="0.4">
      <c r="B32" s="33" t="str">
        <f>IF(기초자료입력!B64&lt;&gt;"",7,"")</f>
        <v/>
      </c>
      <c r="C32" s="33" t="str">
        <f>IF(기초자료입력!B64&lt;&gt;"","위원","")</f>
        <v/>
      </c>
      <c r="D32" s="33" t="str">
        <f>IF(기초자료입력!B64&lt;&gt;"",기초자료입력!B64,"")</f>
        <v/>
      </c>
      <c r="E32" s="33" t="str">
        <f>IF(기초자료입력!C64&lt;&gt;"",기초자료입력!C64,"")</f>
        <v/>
      </c>
      <c r="F32" s="64"/>
      <c r="G32" s="64"/>
      <c r="H32" s="64"/>
    </row>
    <row r="33" spans="2:8" ht="14.55" customHeight="1" x14ac:dyDescent="0.4">
      <c r="B33" s="33" t="str">
        <f>IF(기초자료입력!B65&lt;&gt;"",8,"")</f>
        <v/>
      </c>
      <c r="C33" s="33" t="str">
        <f>IF(기초자료입력!B65&lt;&gt;"","위원","")</f>
        <v/>
      </c>
      <c r="D33" s="33" t="str">
        <f>IF(기초자료입력!B65&lt;&gt;"",기초자료입력!B65,"")</f>
        <v/>
      </c>
      <c r="E33" s="33" t="str">
        <f>IF(기초자료입력!C65&lt;&gt;"",기초자료입력!C65,"")</f>
        <v/>
      </c>
      <c r="F33" s="64"/>
      <c r="G33" s="64"/>
      <c r="H33" s="64"/>
    </row>
    <row r="34" spans="2:8" ht="14.55" customHeight="1" x14ac:dyDescent="0.4">
      <c r="B34" s="33" t="str">
        <f>IF(기초자료입력!B66&lt;&gt;"",9,"")</f>
        <v/>
      </c>
      <c r="C34" s="33" t="str">
        <f>IF(기초자료입력!B66&lt;&gt;"","위원","")</f>
        <v/>
      </c>
      <c r="D34" s="33" t="str">
        <f>IF(기초자료입력!B66&lt;&gt;"",기초자료입력!B66,"")</f>
        <v/>
      </c>
      <c r="E34" s="33" t="str">
        <f>IF(기초자료입력!C66&lt;&gt;"",기초자료입력!C66,"")</f>
        <v/>
      </c>
      <c r="F34" s="64"/>
      <c r="G34" s="64"/>
      <c r="H34" s="64"/>
    </row>
    <row r="35" spans="2:8" ht="14.55" customHeight="1" x14ac:dyDescent="0.4">
      <c r="B35" s="33" t="str">
        <f>IF(기초자료입력!B67&lt;&gt;"",10,"")</f>
        <v/>
      </c>
      <c r="C35" s="33" t="str">
        <f>IF(기초자료입력!B67&lt;&gt;"","위원","")</f>
        <v/>
      </c>
      <c r="D35" s="33" t="str">
        <f>IF(기초자료입력!B67&lt;&gt;"",기초자료입력!B67,"")</f>
        <v/>
      </c>
      <c r="E35" s="33" t="str">
        <f>IF(기초자료입력!C67&lt;&gt;"",기초자료입력!C67,"")</f>
        <v/>
      </c>
      <c r="F35" s="64"/>
      <c r="G35" s="64"/>
      <c r="H35" s="64"/>
    </row>
    <row r="36" spans="2:8" ht="14.55" customHeight="1" x14ac:dyDescent="0.4">
      <c r="B36" s="34"/>
      <c r="C36" s="34"/>
      <c r="D36" s="34"/>
      <c r="E36" s="34"/>
      <c r="F36" s="34"/>
      <c r="G36" s="34"/>
      <c r="H36" s="34"/>
    </row>
    <row r="37" spans="2:8" ht="14.55" customHeight="1" x14ac:dyDescent="0.4">
      <c r="B37" s="65" t="s">
        <v>489</v>
      </c>
      <c r="C37" s="63"/>
      <c r="D37" s="63"/>
      <c r="E37" s="63"/>
      <c r="F37" s="63"/>
      <c r="G37" s="63"/>
      <c r="H37" s="63"/>
    </row>
    <row r="38" spans="2:8" ht="14.55" customHeight="1" x14ac:dyDescent="0.4">
      <c r="B38" s="63" t="s">
        <v>490</v>
      </c>
      <c r="C38" s="63"/>
      <c r="D38" s="63"/>
      <c r="E38" s="63"/>
      <c r="F38" s="63"/>
      <c r="G38" s="63"/>
      <c r="H38" s="63"/>
    </row>
    <row r="39" spans="2:8" ht="14.55" customHeight="1" x14ac:dyDescent="0.4">
      <c r="B39" s="34"/>
      <c r="C39" s="34"/>
      <c r="D39" s="34"/>
      <c r="E39" s="34"/>
      <c r="F39" s="34"/>
      <c r="G39" s="34"/>
      <c r="H39" s="34"/>
    </row>
    <row r="40" spans="2:8" ht="14.55" customHeight="1" x14ac:dyDescent="0.4">
      <c r="B40" s="34"/>
      <c r="C40" s="34"/>
      <c r="D40" s="34"/>
      <c r="E40" s="34"/>
      <c r="F40" s="50" t="s">
        <v>259</v>
      </c>
      <c r="G40" s="50" t="s">
        <v>270</v>
      </c>
      <c r="H40" s="50" t="s">
        <v>260</v>
      </c>
    </row>
    <row r="41" spans="2:8" ht="14.55" customHeight="1" x14ac:dyDescent="0.4">
      <c r="B41" s="49" t="s">
        <v>271</v>
      </c>
      <c r="C41" s="63" t="str">
        <f>IF(기초자료입력!C9&lt;&gt;"",기초자료입력!C9,"")</f>
        <v/>
      </c>
      <c r="D41" s="63"/>
      <c r="E41" s="63"/>
      <c r="F41" s="50" t="s">
        <v>272</v>
      </c>
      <c r="G41" s="64"/>
      <c r="H41" s="64"/>
    </row>
    <row r="42" spans="2:8" ht="14.55" customHeight="1" x14ac:dyDescent="0.4">
      <c r="B42" s="49" t="s">
        <v>273</v>
      </c>
      <c r="C42" s="34"/>
      <c r="D42" s="49" t="s">
        <v>274</v>
      </c>
      <c r="E42" s="63"/>
      <c r="F42" s="64"/>
      <c r="G42" s="64"/>
      <c r="H42" s="64"/>
    </row>
    <row r="43" spans="2:8" ht="14.55" customHeight="1" x14ac:dyDescent="0.4">
      <c r="B43" s="49" t="s">
        <v>275</v>
      </c>
      <c r="C43" s="34"/>
      <c r="D43" s="49" t="s">
        <v>276</v>
      </c>
      <c r="E43" s="34"/>
      <c r="F43" s="50" t="s">
        <v>277</v>
      </c>
      <c r="G43" s="64"/>
      <c r="H43" s="64"/>
    </row>
  </sheetData>
  <mergeCells count="32">
    <mergeCell ref="B20:H20"/>
    <mergeCell ref="B3:H3"/>
    <mergeCell ref="C7:H7"/>
    <mergeCell ref="C8:H8"/>
    <mergeCell ref="C9:H9"/>
    <mergeCell ref="C11:H11"/>
    <mergeCell ref="B13:H13"/>
    <mergeCell ref="B15:H15"/>
    <mergeCell ref="B16:H16"/>
    <mergeCell ref="B17:H17"/>
    <mergeCell ref="B18:H18"/>
    <mergeCell ref="B19:H19"/>
    <mergeCell ref="F33:H33"/>
    <mergeCell ref="B21:H21"/>
    <mergeCell ref="B22:H22"/>
    <mergeCell ref="B24:H24"/>
    <mergeCell ref="F25:H25"/>
    <mergeCell ref="F26:H26"/>
    <mergeCell ref="F27:H27"/>
    <mergeCell ref="F28:H28"/>
    <mergeCell ref="F29:H29"/>
    <mergeCell ref="F30:H30"/>
    <mergeCell ref="F31:H31"/>
    <mergeCell ref="F32:H32"/>
    <mergeCell ref="E42:H42"/>
    <mergeCell ref="G43:H43"/>
    <mergeCell ref="F34:H34"/>
    <mergeCell ref="F35:H35"/>
    <mergeCell ref="B37:H37"/>
    <mergeCell ref="B38:H38"/>
    <mergeCell ref="C41:E41"/>
    <mergeCell ref="G41:H4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56936-B547-4819-ACD0-A7CFC23A90E0}">
  <sheetPr codeName="Sheet7"/>
  <dimension ref="B1:G3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2:7" ht="12" customHeight="1" x14ac:dyDescent="0.4">
      <c r="B1" s="77" t="s">
        <v>456</v>
      </c>
      <c r="C1" s="78"/>
      <c r="D1" s="78"/>
      <c r="E1" s="78"/>
    </row>
    <row r="2" spans="2:7" ht="7.95" customHeight="1" x14ac:dyDescent="0.4">
      <c r="G2" s="32" t="s">
        <v>304</v>
      </c>
    </row>
    <row r="3" spans="2:7" ht="25.95" customHeight="1" x14ac:dyDescent="0.4">
      <c r="B3" s="79" t="s">
        <v>196</v>
      </c>
      <c r="C3" s="73"/>
      <c r="D3" s="73"/>
      <c r="E3" s="73"/>
      <c r="G3">
        <v>1</v>
      </c>
    </row>
    <row r="4" spans="2:7" ht="25.95" customHeight="1" x14ac:dyDescent="0.4">
      <c r="B4" s="73"/>
      <c r="C4" s="73"/>
      <c r="D4" s="73"/>
      <c r="E4" s="73"/>
    </row>
    <row r="5" spans="2:7" ht="6" customHeight="1" x14ac:dyDescent="0.4">
      <c r="B5" s="45"/>
      <c r="C5" s="45"/>
      <c r="D5" s="45"/>
      <c r="E5" s="45"/>
    </row>
    <row r="6" spans="2:7" ht="18" customHeight="1" x14ac:dyDescent="0.4">
      <c r="B6" s="75" t="s">
        <v>457</v>
      </c>
      <c r="C6" s="72"/>
      <c r="D6" s="72"/>
      <c r="E6" s="72"/>
    </row>
    <row r="7" spans="2:7" ht="19.95" customHeight="1" x14ac:dyDescent="0.4">
      <c r="B7" s="74" t="s">
        <v>458</v>
      </c>
      <c r="C7" s="74"/>
      <c r="D7" s="74"/>
      <c r="E7" s="74"/>
    </row>
    <row r="8" spans="2:7" ht="6" customHeight="1" x14ac:dyDescent="0.4">
      <c r="B8" s="45"/>
      <c r="C8" s="45"/>
      <c r="D8" s="45"/>
      <c r="E8" s="45"/>
    </row>
    <row r="9" spans="2:7" ht="18" customHeight="1" x14ac:dyDescent="0.4">
      <c r="B9" s="75" t="s">
        <v>459</v>
      </c>
      <c r="C9" s="72"/>
      <c r="D9" s="72"/>
      <c r="E9" s="72"/>
    </row>
    <row r="10" spans="2:7" ht="19.95" customHeight="1" x14ac:dyDescent="0.4">
      <c r="B10" s="74" t="s">
        <v>460</v>
      </c>
      <c r="C10" s="74"/>
      <c r="D10" s="74"/>
      <c r="E10" s="74"/>
    </row>
    <row r="11" spans="2:7" ht="19.95" customHeight="1" x14ac:dyDescent="0.4">
      <c r="B11" s="74" t="s">
        <v>461</v>
      </c>
      <c r="C11" s="74"/>
      <c r="D11" s="74"/>
      <c r="E11" s="74"/>
    </row>
    <row r="12" spans="2:7" ht="19.95" customHeight="1" x14ac:dyDescent="0.4">
      <c r="B12" s="74" t="s">
        <v>462</v>
      </c>
      <c r="C12" s="74"/>
      <c r="D12" s="74"/>
      <c r="E12" s="74"/>
    </row>
    <row r="13" spans="2:7" ht="19.95" customHeight="1" x14ac:dyDescent="0.4">
      <c r="B13" s="74" t="s">
        <v>463</v>
      </c>
      <c r="C13" s="74"/>
      <c r="D13" s="74"/>
      <c r="E13" s="74"/>
    </row>
    <row r="14" spans="2:7" ht="6" customHeight="1" x14ac:dyDescent="0.4">
      <c r="B14" s="45"/>
      <c r="C14" s="45"/>
      <c r="D14" s="45"/>
      <c r="E14" s="45"/>
    </row>
    <row r="15" spans="2:7" ht="25.95" customHeight="1" x14ac:dyDescent="0.4">
      <c r="B15" s="76" t="s">
        <v>464</v>
      </c>
      <c r="C15" s="74"/>
      <c r="D15" s="74"/>
      <c r="E15" s="74"/>
    </row>
    <row r="16" spans="2:7" ht="18" customHeight="1" x14ac:dyDescent="0.4">
      <c r="B16" s="74" t="s">
        <v>465</v>
      </c>
      <c r="C16" s="74"/>
      <c r="D16" s="74"/>
      <c r="E16" s="74"/>
    </row>
    <row r="17" spans="2:5" ht="18" customHeight="1" x14ac:dyDescent="0.4">
      <c r="B17" s="74" t="s">
        <v>466</v>
      </c>
      <c r="C17" s="74"/>
      <c r="D17" s="74"/>
      <c r="E17" s="74"/>
    </row>
    <row r="18" spans="2:5" ht="19.95" customHeight="1" x14ac:dyDescent="0.4">
      <c r="B18" s="74" t="s">
        <v>467</v>
      </c>
      <c r="C18" s="74"/>
      <c r="D18" s="74"/>
      <c r="E18" s="74"/>
    </row>
    <row r="19" spans="2:5" ht="6" customHeight="1" x14ac:dyDescent="0.4">
      <c r="B19" s="45"/>
      <c r="C19" s="45"/>
      <c r="D19" s="45"/>
      <c r="E19" s="45"/>
    </row>
    <row r="20" spans="2:5" ht="18" customHeight="1" x14ac:dyDescent="0.4">
      <c r="B20" s="75" t="s">
        <v>468</v>
      </c>
      <c r="C20" s="72"/>
      <c r="D20" s="72"/>
      <c r="E20" s="72"/>
    </row>
    <row r="21" spans="2:5" ht="19.95" customHeight="1" x14ac:dyDescent="0.4">
      <c r="B21" s="74" t="s">
        <v>469</v>
      </c>
      <c r="C21" s="74"/>
      <c r="D21" s="74"/>
      <c r="E21" s="74"/>
    </row>
    <row r="22" spans="2:5" ht="18" customHeight="1" x14ac:dyDescent="0.4">
      <c r="B22" s="74" t="s">
        <v>470</v>
      </c>
      <c r="C22" s="74"/>
      <c r="D22" s="74"/>
      <c r="E22" s="74"/>
    </row>
    <row r="23" spans="2:5" ht="22.05" customHeight="1" x14ac:dyDescent="0.4">
      <c r="B23" s="74" t="s">
        <v>471</v>
      </c>
      <c r="C23" s="74"/>
      <c r="D23" s="74"/>
      <c r="E23" s="74"/>
    </row>
    <row r="24" spans="2:5" ht="22.05" customHeight="1" x14ac:dyDescent="0.4">
      <c r="B24" s="74"/>
      <c r="C24" s="74"/>
      <c r="D24" s="74"/>
      <c r="E24" s="74"/>
    </row>
    <row r="25" spans="2:5" ht="18" customHeight="1" x14ac:dyDescent="0.4">
      <c r="B25" s="74" t="s">
        <v>472</v>
      </c>
      <c r="C25" s="74"/>
      <c r="D25" s="74"/>
      <c r="E25" s="74"/>
    </row>
    <row r="26" spans="2:5" ht="18" customHeight="1" x14ac:dyDescent="0.4">
      <c r="B26" s="72" t="s">
        <v>473</v>
      </c>
      <c r="C26" s="72"/>
      <c r="D26" s="72"/>
      <c r="E26" s="72"/>
    </row>
    <row r="27" spans="2:5" ht="18" customHeight="1" x14ac:dyDescent="0.4">
      <c r="B27" s="72" t="s">
        <v>473</v>
      </c>
      <c r="C27" s="72"/>
      <c r="D27" s="72"/>
      <c r="E27" s="72"/>
    </row>
    <row r="28" spans="2:5" ht="7.95" customHeight="1" x14ac:dyDescent="0.4">
      <c r="B28" s="45"/>
      <c r="C28" s="45"/>
      <c r="D28" s="45"/>
      <c r="E28" s="45"/>
    </row>
    <row r="29" spans="2:5" ht="18" customHeight="1" x14ac:dyDescent="0.4">
      <c r="B29" s="73" t="str">
        <f>IF(기초자료입력!$C$5="","20○○년   월   일","20"&amp;RIGHT(기초자료입력!$C$5,2)&amp;"년   월   일")</f>
        <v>20○○년   월   일</v>
      </c>
      <c r="C29" s="73"/>
      <c r="D29" s="73"/>
      <c r="E29" s="73"/>
    </row>
    <row r="30" spans="2:5" ht="18" customHeight="1" x14ac:dyDescent="0.4">
      <c r="B30" s="73" t="s">
        <v>441</v>
      </c>
      <c r="C30" s="73"/>
      <c r="D30" s="73"/>
      <c r="E30" s="73"/>
    </row>
    <row r="31" spans="2:5" ht="18" customHeight="1" x14ac:dyDescent="0.4">
      <c r="B31" s="73" t="str">
        <f>IF(기초자료입력!$C$4="","○○○○학교장 귀하",기초자료입력!$C$4&amp;"장 귀하")</f>
        <v>○○○○학교장 귀하</v>
      </c>
      <c r="C31" s="73"/>
      <c r="D31" s="73"/>
      <c r="E31" s="73"/>
    </row>
  </sheetData>
  <mergeCells count="23">
    <mergeCell ref="B10:E10"/>
    <mergeCell ref="B1:E1"/>
    <mergeCell ref="B3:E4"/>
    <mergeCell ref="B6:E6"/>
    <mergeCell ref="B7:E7"/>
    <mergeCell ref="B9:E9"/>
    <mergeCell ref="B25:E25"/>
    <mergeCell ref="B11:E11"/>
    <mergeCell ref="B12:E12"/>
    <mergeCell ref="B13:E13"/>
    <mergeCell ref="B15:E15"/>
    <mergeCell ref="B16:E16"/>
    <mergeCell ref="B17:E17"/>
    <mergeCell ref="B18:E18"/>
    <mergeCell ref="B20:E20"/>
    <mergeCell ref="B21:E21"/>
    <mergeCell ref="B22:E22"/>
    <mergeCell ref="B23:E24"/>
    <mergeCell ref="B26:E26"/>
    <mergeCell ref="B27:E27"/>
    <mergeCell ref="B29:E29"/>
    <mergeCell ref="B30:E30"/>
    <mergeCell ref="B31:E3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EC35B-2A07-45B2-83EE-0DAC93DD7F64}">
  <sheetPr codeName="Sheet8"/>
  <dimension ref="B1:G21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4" width="16.69921875" customWidth="1"/>
    <col min="5" max="5" width="24.69921875" customWidth="1"/>
  </cols>
  <sheetData>
    <row r="1" spans="2:7" ht="12" customHeight="1" x14ac:dyDescent="0.4">
      <c r="B1" s="77" t="s">
        <v>442</v>
      </c>
      <c r="C1" s="78"/>
      <c r="D1" s="78"/>
      <c r="E1" s="78"/>
    </row>
    <row r="2" spans="2:7" ht="7.95" customHeight="1" x14ac:dyDescent="0.4">
      <c r="G2" s="32" t="s">
        <v>304</v>
      </c>
    </row>
    <row r="3" spans="2:7" ht="24" customHeight="1" x14ac:dyDescent="0.4">
      <c r="B3" s="79" t="s">
        <v>443</v>
      </c>
      <c r="C3" s="73"/>
      <c r="D3" s="73"/>
      <c r="E3" s="73"/>
      <c r="G3">
        <v>1</v>
      </c>
    </row>
    <row r="4" spans="2:7" ht="24" customHeight="1" x14ac:dyDescent="0.4">
      <c r="B4" s="73"/>
      <c r="C4" s="73"/>
      <c r="D4" s="73"/>
      <c r="E4" s="73"/>
    </row>
    <row r="5" spans="2:7" ht="19.95" customHeight="1" x14ac:dyDescent="0.4">
      <c r="B5" s="73" t="str">
        <f>"(제안자: "&amp;IFERROR(IF(INDEX(기초자료입력!$B$44:$B$53,$G$3)=0,"",INDEX(기초자료입력!$B$44:$B$53,$G$3)),"")&amp;")"</f>
        <v>(제안자: )</v>
      </c>
      <c r="C5" s="73"/>
      <c r="D5" s="73"/>
      <c r="E5" s="73"/>
    </row>
    <row r="6" spans="2:7" ht="16.05" customHeight="1" x14ac:dyDescent="0.4">
      <c r="B6" s="73" t="s">
        <v>444</v>
      </c>
      <c r="C6" s="73"/>
      <c r="D6" s="73"/>
      <c r="E6" s="73"/>
    </row>
    <row r="7" spans="2:7" ht="18" customHeight="1" x14ac:dyDescent="0.4">
      <c r="B7" s="75" t="s">
        <v>445</v>
      </c>
      <c r="C7" s="72"/>
      <c r="D7" s="72"/>
      <c r="E7" s="72"/>
    </row>
    <row r="8" spans="2:7" ht="6" customHeight="1" x14ac:dyDescent="0.4">
      <c r="B8" s="45"/>
      <c r="C8" s="45"/>
      <c r="D8" s="45"/>
      <c r="E8" s="45"/>
    </row>
    <row r="9" spans="2:7" ht="22.05" customHeight="1" x14ac:dyDescent="0.4">
      <c r="B9" s="46" t="s">
        <v>293</v>
      </c>
      <c r="C9" s="46" t="s">
        <v>446</v>
      </c>
      <c r="D9" s="46" t="s">
        <v>447</v>
      </c>
      <c r="E9" s="46" t="s">
        <v>448</v>
      </c>
    </row>
    <row r="10" spans="2:7" ht="22.05" customHeight="1" x14ac:dyDescent="0.4">
      <c r="B10" s="73" t="s">
        <v>283</v>
      </c>
      <c r="C10" s="47" t="s">
        <v>449</v>
      </c>
      <c r="D10" s="47"/>
      <c r="E10" s="47"/>
    </row>
    <row r="11" spans="2:7" ht="22.05" customHeight="1" x14ac:dyDescent="0.4">
      <c r="B11" s="73"/>
      <c r="C11" s="47" t="s">
        <v>450</v>
      </c>
      <c r="D11" s="47"/>
      <c r="E11" s="47"/>
    </row>
    <row r="12" spans="2:7" ht="22.05" customHeight="1" x14ac:dyDescent="0.4">
      <c r="B12" s="73"/>
      <c r="C12" s="47" t="s">
        <v>451</v>
      </c>
      <c r="D12" s="47"/>
      <c r="E12" s="47"/>
    </row>
    <row r="13" spans="2:7" ht="22.05" customHeight="1" x14ac:dyDescent="0.4">
      <c r="B13" s="73"/>
      <c r="C13" s="47" t="s">
        <v>452</v>
      </c>
      <c r="D13" s="47"/>
      <c r="E13" s="47"/>
    </row>
    <row r="14" spans="2:7" ht="22.05" customHeight="1" x14ac:dyDescent="0.4">
      <c r="B14" s="73" t="s">
        <v>284</v>
      </c>
      <c r="C14" s="47" t="s">
        <v>453</v>
      </c>
      <c r="D14" s="47"/>
      <c r="E14" s="47"/>
    </row>
    <row r="15" spans="2:7" ht="22.05" customHeight="1" x14ac:dyDescent="0.4">
      <c r="B15" s="73"/>
      <c r="C15" s="47" t="s">
        <v>454</v>
      </c>
      <c r="D15" s="47"/>
      <c r="E15" s="47"/>
    </row>
    <row r="16" spans="2:7" ht="6" customHeight="1" x14ac:dyDescent="0.4">
      <c r="B16" s="45"/>
      <c r="C16" s="45"/>
      <c r="D16" s="45"/>
      <c r="E16" s="45"/>
    </row>
    <row r="17" spans="2:5" ht="19.95" customHeight="1" x14ac:dyDescent="0.4">
      <c r="B17" s="74" t="s">
        <v>455</v>
      </c>
      <c r="C17" s="74"/>
      <c r="D17" s="74"/>
      <c r="E17" s="74"/>
    </row>
    <row r="18" spans="2:5" ht="7.95" customHeight="1" x14ac:dyDescent="0.4">
      <c r="B18" s="45"/>
      <c r="C18" s="45"/>
      <c r="D18" s="45"/>
      <c r="E18" s="45"/>
    </row>
    <row r="19" spans="2:5" ht="18" customHeight="1" x14ac:dyDescent="0.4">
      <c r="B19" s="73" t="str">
        <f>IF(기초자료입력!$C$5="","20○○.  .  .","20"&amp;RIGHT(기초자료입력!$C$5,2)&amp;".  .  .")</f>
        <v>20○○.  .  .</v>
      </c>
      <c r="C19" s="73"/>
      <c r="D19" s="73"/>
      <c r="E19" s="73"/>
    </row>
    <row r="20" spans="2:5" ht="18" customHeight="1" x14ac:dyDescent="0.4">
      <c r="B20" s="73" t="s">
        <v>441</v>
      </c>
      <c r="C20" s="73"/>
      <c r="D20" s="73"/>
      <c r="E20" s="73"/>
    </row>
    <row r="21" spans="2:5" ht="18" customHeight="1" x14ac:dyDescent="0.4">
      <c r="B21" s="73" t="str">
        <f>IF(기초자료입력!$C$4="","○○○○학교장 귀하",기초자료입력!$C$4&amp;"장 귀하")</f>
        <v>○○○○학교장 귀하</v>
      </c>
      <c r="C21" s="73"/>
      <c r="D21" s="73"/>
      <c r="E21" s="73"/>
    </row>
  </sheetData>
  <mergeCells count="11">
    <mergeCell ref="B10:B13"/>
    <mergeCell ref="B1:E1"/>
    <mergeCell ref="B3:E4"/>
    <mergeCell ref="B5:E5"/>
    <mergeCell ref="B6:E6"/>
    <mergeCell ref="B7:E7"/>
    <mergeCell ref="B14:B15"/>
    <mergeCell ref="B17:E17"/>
    <mergeCell ref="B19:E19"/>
    <mergeCell ref="B20:E20"/>
    <mergeCell ref="B21:E2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8D811-5F1B-4868-B35D-757E4A7CE350}">
  <sheetPr codeName="Sheet9"/>
  <dimension ref="B1:I25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20.69921875" customWidth="1"/>
    <col min="4" max="4" width="14.69921875" customWidth="1"/>
    <col min="5" max="5" width="12.69921875" customWidth="1"/>
    <col min="6" max="6" width="15.69921875" customWidth="1"/>
    <col min="7" max="7" width="13.69921875" customWidth="1"/>
  </cols>
  <sheetData>
    <row r="1" spans="2:9" ht="12" customHeight="1" x14ac:dyDescent="0.4">
      <c r="B1" s="77" t="s">
        <v>433</v>
      </c>
      <c r="C1" s="78"/>
      <c r="D1" s="78"/>
      <c r="E1" s="78"/>
      <c r="F1" s="78"/>
      <c r="G1" s="78"/>
    </row>
    <row r="2" spans="2:9" ht="7.95" customHeight="1" x14ac:dyDescent="0.4">
      <c r="I2" s="32" t="s">
        <v>304</v>
      </c>
    </row>
    <row r="3" spans="2:9" ht="24" customHeight="1" x14ac:dyDescent="0.4">
      <c r="B3" s="79" t="s">
        <v>187</v>
      </c>
      <c r="C3" s="73"/>
      <c r="D3" s="73"/>
      <c r="E3" s="73"/>
      <c r="F3" s="73"/>
      <c r="G3" s="73"/>
      <c r="I3">
        <v>1</v>
      </c>
    </row>
    <row r="4" spans="2:9" ht="24" customHeight="1" x14ac:dyDescent="0.4">
      <c r="B4" s="73"/>
      <c r="C4" s="73"/>
      <c r="D4" s="73"/>
      <c r="E4" s="73"/>
      <c r="F4" s="73"/>
      <c r="G4" s="73"/>
    </row>
    <row r="5" spans="2:9" ht="19.95" customHeight="1" x14ac:dyDescent="0.4">
      <c r="B5" s="73" t="str">
        <f>"(제안자: "&amp;IFERROR(IF(INDEX(기초자료입력!$B$44:$B$53,$I$3)=0,"",INDEX(기초자료입력!$B$44:$B$53,$I$3)),"")&amp;")"</f>
        <v>(제안자: )</v>
      </c>
      <c r="C5" s="73"/>
      <c r="D5" s="73"/>
      <c r="E5" s="73"/>
      <c r="F5" s="73"/>
      <c r="G5" s="73"/>
    </row>
    <row r="6" spans="2:9" ht="6" customHeight="1" x14ac:dyDescent="0.4">
      <c r="B6" s="45"/>
      <c r="C6" s="45"/>
      <c r="D6" s="45"/>
      <c r="E6" s="45"/>
      <c r="F6" s="45"/>
      <c r="G6" s="45"/>
    </row>
    <row r="7" spans="2:9" ht="19.95" customHeight="1" x14ac:dyDescent="0.4">
      <c r="B7" s="79" t="s">
        <v>434</v>
      </c>
      <c r="C7" s="73"/>
      <c r="D7" s="73"/>
      <c r="E7" s="73"/>
      <c r="F7" s="73"/>
      <c r="G7" s="73"/>
    </row>
    <row r="8" spans="2:9" ht="6" customHeight="1" x14ac:dyDescent="0.4">
      <c r="B8" s="45"/>
      <c r="C8" s="45"/>
      <c r="D8" s="45"/>
      <c r="E8" s="45"/>
      <c r="F8" s="45"/>
      <c r="G8" s="45"/>
    </row>
    <row r="9" spans="2:9" ht="30" customHeight="1" x14ac:dyDescent="0.4">
      <c r="B9" s="46" t="s">
        <v>86</v>
      </c>
      <c r="C9" s="46" t="s">
        <v>435</v>
      </c>
      <c r="D9" s="46" t="s">
        <v>436</v>
      </c>
      <c r="E9" s="46" t="s">
        <v>437</v>
      </c>
      <c r="F9" s="46" t="s">
        <v>438</v>
      </c>
      <c r="G9" s="46" t="s">
        <v>282</v>
      </c>
    </row>
    <row r="10" spans="2:9" ht="24" customHeight="1" x14ac:dyDescent="0.4">
      <c r="B10" s="47">
        <v>1</v>
      </c>
      <c r="C10" s="48"/>
      <c r="D10" s="48"/>
      <c r="E10" s="48"/>
      <c r="F10" s="48"/>
      <c r="G10" s="48"/>
    </row>
    <row r="11" spans="2:9" ht="24" customHeight="1" x14ac:dyDescent="0.4">
      <c r="B11" s="47">
        <v>2</v>
      </c>
      <c r="C11" s="48"/>
      <c r="D11" s="48"/>
      <c r="E11" s="48"/>
      <c r="F11" s="48"/>
      <c r="G11" s="48"/>
    </row>
    <row r="12" spans="2:9" ht="24" customHeight="1" x14ac:dyDescent="0.4">
      <c r="B12" s="47">
        <v>3</v>
      </c>
      <c r="C12" s="48"/>
      <c r="D12" s="48"/>
      <c r="E12" s="48"/>
      <c r="F12" s="48"/>
      <c r="G12" s="48"/>
    </row>
    <row r="13" spans="2:9" ht="24" customHeight="1" x14ac:dyDescent="0.4">
      <c r="B13" s="47">
        <v>4</v>
      </c>
      <c r="C13" s="48"/>
      <c r="D13" s="48"/>
      <c r="E13" s="48"/>
      <c r="F13" s="48"/>
      <c r="G13" s="48"/>
    </row>
    <row r="14" spans="2:9" ht="24" customHeight="1" x14ac:dyDescent="0.4">
      <c r="B14" s="47">
        <v>5</v>
      </c>
      <c r="C14" s="48"/>
      <c r="D14" s="48"/>
      <c r="E14" s="48"/>
      <c r="F14" s="48"/>
      <c r="G14" s="48"/>
    </row>
    <row r="15" spans="2:9" ht="24" customHeight="1" x14ac:dyDescent="0.4">
      <c r="B15" s="47">
        <v>6</v>
      </c>
      <c r="C15" s="48"/>
      <c r="D15" s="48"/>
      <c r="E15" s="48"/>
      <c r="F15" s="48"/>
      <c r="G15" s="48"/>
    </row>
    <row r="16" spans="2:9" ht="24" customHeight="1" x14ac:dyDescent="0.4">
      <c r="B16" s="47">
        <v>7</v>
      </c>
      <c r="C16" s="48"/>
      <c r="D16" s="48"/>
      <c r="E16" s="48"/>
      <c r="F16" s="48"/>
      <c r="G16" s="48"/>
    </row>
    <row r="17" spans="2:7" ht="24" customHeight="1" x14ac:dyDescent="0.4">
      <c r="B17" s="47">
        <v>8</v>
      </c>
      <c r="C17" s="48"/>
      <c r="D17" s="48"/>
      <c r="E17" s="48"/>
      <c r="F17" s="48"/>
      <c r="G17" s="48"/>
    </row>
    <row r="18" spans="2:7" ht="24" customHeight="1" x14ac:dyDescent="0.4">
      <c r="B18" s="47">
        <v>9</v>
      </c>
      <c r="C18" s="48"/>
      <c r="D18" s="48"/>
      <c r="E18" s="48"/>
      <c r="F18" s="48"/>
      <c r="G18" s="48"/>
    </row>
    <row r="19" spans="2:7" ht="6" customHeight="1" x14ac:dyDescent="0.4">
      <c r="B19" s="45"/>
      <c r="C19" s="45"/>
      <c r="D19" s="45"/>
      <c r="E19" s="45"/>
      <c r="F19" s="45"/>
      <c r="G19" s="45"/>
    </row>
    <row r="20" spans="2:7" ht="18" customHeight="1" x14ac:dyDescent="0.4">
      <c r="B20" s="72" t="s">
        <v>439</v>
      </c>
      <c r="C20" s="72"/>
      <c r="D20" s="72"/>
      <c r="E20" s="72"/>
      <c r="F20" s="72"/>
      <c r="G20" s="72"/>
    </row>
    <row r="21" spans="2:7" ht="18" customHeight="1" x14ac:dyDescent="0.4">
      <c r="B21" s="72" t="s">
        <v>440</v>
      </c>
      <c r="C21" s="72"/>
      <c r="D21" s="72"/>
      <c r="E21" s="72"/>
      <c r="F21" s="72"/>
      <c r="G21" s="72"/>
    </row>
    <row r="22" spans="2:7" ht="7.95" customHeight="1" x14ac:dyDescent="0.4">
      <c r="B22" s="45"/>
      <c r="C22" s="45"/>
      <c r="D22" s="45"/>
      <c r="E22" s="45"/>
      <c r="F22" s="45"/>
      <c r="G22" s="45"/>
    </row>
    <row r="23" spans="2:7" ht="18" customHeight="1" x14ac:dyDescent="0.4">
      <c r="B23" s="73" t="str">
        <f>IF(기초자료입력!$C$5="","20○○.  .  .","20"&amp;RIGHT(기초자료입력!$C$5,2)&amp;".  .  .")</f>
        <v>20○○.  .  .</v>
      </c>
      <c r="C23" s="73"/>
      <c r="D23" s="73"/>
      <c r="E23" s="73"/>
      <c r="F23" s="73"/>
      <c r="G23" s="73"/>
    </row>
    <row r="24" spans="2:7" ht="18" customHeight="1" x14ac:dyDescent="0.4">
      <c r="B24" s="73" t="s">
        <v>441</v>
      </c>
      <c r="C24" s="73"/>
      <c r="D24" s="73"/>
      <c r="E24" s="73"/>
      <c r="F24" s="73"/>
      <c r="G24" s="73"/>
    </row>
    <row r="25" spans="2:7" ht="18" customHeight="1" x14ac:dyDescent="0.4">
      <c r="B25" s="73" t="str">
        <f>IF(기초자료입력!$C$4="","○○○○학교장 귀하",기초자료입력!$C$4&amp;"장 귀하")</f>
        <v>○○○○학교장 귀하</v>
      </c>
      <c r="C25" s="73"/>
      <c r="D25" s="73"/>
      <c r="E25" s="73"/>
      <c r="F25" s="73"/>
      <c r="G25" s="73"/>
    </row>
  </sheetData>
  <mergeCells count="9">
    <mergeCell ref="B23:G23"/>
    <mergeCell ref="B24:G24"/>
    <mergeCell ref="B25:G25"/>
    <mergeCell ref="B1:G1"/>
    <mergeCell ref="B3:G4"/>
    <mergeCell ref="B5:G5"/>
    <mergeCell ref="B7:G7"/>
    <mergeCell ref="B20:G20"/>
    <mergeCell ref="B21:G21"/>
  </mergeCells>
  <phoneticPr fontId="6" type="noConversion"/>
  <pageMargins left="0.23622083333333332" right="0.23622083333333332" top="0.31496111111111108" bottom="0.31496111111111108" header="0.11811041666666666" footer="0.11811041666666666"/>
  <pageSetup paperSize="9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9AFF2-4F83-4324-A6AF-7C1088AED246}">
  <sheetPr codeName="Sheet10"/>
  <dimension ref="B1:G31"/>
  <sheetViews>
    <sheetView workbookViewId="0"/>
  </sheetViews>
  <sheetFormatPr defaultRowHeight="17.399999999999999" x14ac:dyDescent="0.4"/>
  <cols>
    <col min="1" max="1" width="3.19921875" customWidth="1"/>
    <col min="2" max="2" width="19.69921875" customWidth="1"/>
    <col min="3" max="3" width="17.69921875" customWidth="1"/>
    <col min="4" max="4" width="14.69921875" customWidth="1"/>
    <col min="5" max="5" width="18.69921875" customWidth="1"/>
  </cols>
  <sheetData>
    <row r="1" spans="2:7" ht="12" customHeight="1" x14ac:dyDescent="0.4">
      <c r="B1" s="77" t="s">
        <v>420</v>
      </c>
      <c r="C1" s="78"/>
      <c r="D1" s="78"/>
      <c r="E1" s="78"/>
    </row>
    <row r="2" spans="2:7" ht="7.95" customHeight="1" x14ac:dyDescent="0.4">
      <c r="G2" s="32" t="s">
        <v>304</v>
      </c>
    </row>
    <row r="3" spans="2:7" ht="25.05" customHeight="1" x14ac:dyDescent="0.4">
      <c r="B3" s="80" t="str">
        <f>IF(기초자료입력!$C$5="","20○○학년도","20"&amp;RIGHT(기초자료입력!$C$5,2)&amp;"학년도")&amp;" "&amp;IF(기초자료입력!$C$4="","○○○○학교",기초자료입력!$C$4)&amp;" 교복(동·하복) 납품 제안서"</f>
        <v>20○○학년도 ○○○○학교 교복(동·하복) 납품 제안서</v>
      </c>
      <c r="C3" s="81"/>
      <c r="D3" s="81"/>
      <c r="E3" s="81"/>
      <c r="G3">
        <v>1</v>
      </c>
    </row>
    <row r="4" spans="2:7" ht="25.05" customHeight="1" x14ac:dyDescent="0.4">
      <c r="B4" s="81"/>
      <c r="C4" s="81"/>
      <c r="D4" s="81"/>
      <c r="E4" s="81"/>
    </row>
    <row r="5" spans="2:7" ht="28.05" customHeight="1" x14ac:dyDescent="0.4">
      <c r="B5" s="82" t="s">
        <v>421</v>
      </c>
      <c r="C5" s="83"/>
      <c r="D5" s="83"/>
      <c r="E5" s="83"/>
    </row>
    <row r="6" spans="2:7" ht="6" customHeight="1" x14ac:dyDescent="0.4">
      <c r="B6" s="21"/>
      <c r="C6" s="21"/>
      <c r="D6" s="21"/>
      <c r="E6" s="21"/>
    </row>
    <row r="7" spans="2:7" ht="18" customHeight="1" x14ac:dyDescent="0.4">
      <c r="B7" s="75" t="s">
        <v>422</v>
      </c>
      <c r="C7" s="72"/>
      <c r="D7" s="72"/>
      <c r="E7" s="72"/>
    </row>
    <row r="8" spans="2:7" ht="18" customHeight="1" x14ac:dyDescent="0.4">
      <c r="B8" s="44" t="s">
        <v>423</v>
      </c>
      <c r="C8" s="72" t="str">
        <f>IFERROR(IF(INDEX(기초자료입력!$B$44:$B$53,$G$3)=0,"",INDEX(기초자료입력!$B$44:$B$53,$G$3)),"")</f>
        <v/>
      </c>
      <c r="D8" s="72"/>
      <c r="E8" s="72"/>
    </row>
    <row r="9" spans="2:7" ht="18" customHeight="1" x14ac:dyDescent="0.4">
      <c r="B9" s="44" t="s">
        <v>348</v>
      </c>
      <c r="C9" s="72"/>
      <c r="D9" s="72"/>
      <c r="E9" s="72"/>
    </row>
    <row r="10" spans="2:7" ht="18" customHeight="1" x14ac:dyDescent="0.4">
      <c r="B10" s="44" t="s">
        <v>424</v>
      </c>
      <c r="C10" s="72"/>
      <c r="D10" s="72"/>
      <c r="E10" s="72"/>
    </row>
    <row r="11" spans="2:7" ht="18" customHeight="1" x14ac:dyDescent="0.4">
      <c r="B11" s="44" t="s">
        <v>274</v>
      </c>
      <c r="C11" s="72"/>
      <c r="D11" s="72"/>
      <c r="E11" s="72"/>
    </row>
    <row r="12" spans="2:7" ht="18" customHeight="1" x14ac:dyDescent="0.4">
      <c r="B12" s="44" t="s">
        <v>349</v>
      </c>
      <c r="C12" s="72" t="s">
        <v>428</v>
      </c>
      <c r="D12" s="72"/>
      <c r="E12" s="72"/>
    </row>
    <row r="13" spans="2:7" ht="18" customHeight="1" x14ac:dyDescent="0.4">
      <c r="B13" s="44" t="s">
        <v>425</v>
      </c>
      <c r="C13" s="72"/>
      <c r="D13" s="72"/>
      <c r="E13" s="72"/>
    </row>
    <row r="14" spans="2:7" ht="18" customHeight="1" x14ac:dyDescent="0.4">
      <c r="B14" s="44" t="s">
        <v>426</v>
      </c>
      <c r="C14" s="72"/>
      <c r="D14" s="72"/>
      <c r="E14" s="72"/>
    </row>
    <row r="15" spans="2:7" ht="18" customHeight="1" x14ac:dyDescent="0.4">
      <c r="B15" s="44" t="s">
        <v>427</v>
      </c>
      <c r="C15" s="72"/>
      <c r="D15" s="72"/>
      <c r="E15" s="72"/>
    </row>
    <row r="16" spans="2:7" ht="24" customHeight="1" x14ac:dyDescent="0.4">
      <c r="B16" s="72" t="s">
        <v>429</v>
      </c>
      <c r="C16" s="72"/>
      <c r="D16" s="72"/>
      <c r="E16" s="72"/>
    </row>
    <row r="17" spans="2:5" ht="24" customHeight="1" x14ac:dyDescent="0.4">
      <c r="B17" s="72"/>
      <c r="C17" s="72"/>
      <c r="D17" s="72"/>
      <c r="E17" s="72"/>
    </row>
    <row r="18" spans="2:5" ht="6" customHeight="1" x14ac:dyDescent="0.4">
      <c r="B18" s="45"/>
      <c r="C18" s="45"/>
      <c r="D18" s="45"/>
      <c r="E18" s="45"/>
    </row>
    <row r="19" spans="2:5" ht="18" customHeight="1" x14ac:dyDescent="0.4">
      <c r="B19" s="75" t="s">
        <v>430</v>
      </c>
      <c r="C19" s="72"/>
      <c r="D19" s="72"/>
      <c r="E19" s="72"/>
    </row>
    <row r="20" spans="2:5" ht="16.05" customHeight="1" x14ac:dyDescent="0.4">
      <c r="B20" s="74" t="s">
        <v>431</v>
      </c>
      <c r="C20" s="74"/>
      <c r="D20" s="74"/>
      <c r="E20" s="74"/>
    </row>
    <row r="21" spans="2:5" ht="16.05" customHeight="1" x14ac:dyDescent="0.4">
      <c r="B21" s="74"/>
      <c r="C21" s="74"/>
      <c r="D21" s="74"/>
      <c r="E21" s="74"/>
    </row>
    <row r="22" spans="2:5" ht="16.05" customHeight="1" x14ac:dyDescent="0.4">
      <c r="B22" s="74"/>
      <c r="C22" s="74"/>
      <c r="D22" s="74"/>
      <c r="E22" s="74"/>
    </row>
    <row r="23" spans="2:5" ht="16.05" customHeight="1" x14ac:dyDescent="0.4">
      <c r="B23" s="74"/>
      <c r="C23" s="74"/>
      <c r="D23" s="74"/>
      <c r="E23" s="74"/>
    </row>
    <row r="24" spans="2:5" ht="16.05" customHeight="1" x14ac:dyDescent="0.4">
      <c r="B24" s="74"/>
      <c r="C24" s="74"/>
      <c r="D24" s="74"/>
      <c r="E24" s="74"/>
    </row>
    <row r="25" spans="2:5" ht="16.05" customHeight="1" x14ac:dyDescent="0.4">
      <c r="B25" s="74"/>
      <c r="C25" s="74"/>
      <c r="D25" s="74"/>
      <c r="E25" s="74"/>
    </row>
    <row r="26" spans="2:5" ht="16.05" customHeight="1" x14ac:dyDescent="0.4">
      <c r="B26" s="74"/>
      <c r="C26" s="74"/>
      <c r="D26" s="74"/>
      <c r="E26" s="74"/>
    </row>
    <row r="27" spans="2:5" ht="16.05" customHeight="1" x14ac:dyDescent="0.4">
      <c r="B27" s="74"/>
      <c r="C27" s="74"/>
      <c r="D27" s="74"/>
      <c r="E27" s="74"/>
    </row>
    <row r="28" spans="2:5" ht="6" customHeight="1" x14ac:dyDescent="0.4">
      <c r="B28" s="45"/>
      <c r="C28" s="45"/>
      <c r="D28" s="45"/>
      <c r="E28" s="45"/>
    </row>
    <row r="29" spans="2:5" ht="18" customHeight="1" x14ac:dyDescent="0.4">
      <c r="B29" s="73" t="str">
        <f>IF(기초자료입력!$C$5="","20○○. ○○. ○○","20"&amp;RIGHT(기초자료입력!$C$5,2)&amp;". ○○. ○○")</f>
        <v>20○○. ○○. ○○</v>
      </c>
      <c r="C29" s="73"/>
      <c r="D29" s="73"/>
      <c r="E29" s="73"/>
    </row>
    <row r="30" spans="2:5" ht="18" customHeight="1" x14ac:dyDescent="0.4">
      <c r="B30" s="73" t="s">
        <v>432</v>
      </c>
      <c r="C30" s="73"/>
      <c r="D30" s="73"/>
      <c r="E30" s="73"/>
    </row>
    <row r="31" spans="2:5" ht="18" customHeight="1" x14ac:dyDescent="0.4">
      <c r="B31" s="73" t="str">
        <f>IF(기초자료입력!$C$4="","○○○○학교장 귀하",기초자료입력!$C$4&amp;"장 귀하")</f>
        <v>○○○○학교장 귀하</v>
      </c>
      <c r="C31" s="73"/>
      <c r="D31" s="73"/>
      <c r="E31" s="73"/>
    </row>
  </sheetData>
  <mergeCells count="18">
    <mergeCell ref="C9:E9"/>
    <mergeCell ref="B1:E1"/>
    <mergeCell ref="B3:E4"/>
    <mergeCell ref="B5:E5"/>
    <mergeCell ref="B7:E7"/>
    <mergeCell ref="C8:E8"/>
    <mergeCell ref="B31:E31"/>
    <mergeCell ref="C10:E10"/>
    <mergeCell ref="C11:E11"/>
    <mergeCell ref="C12:E12"/>
    <mergeCell ref="C13:E13"/>
    <mergeCell ref="C14:E14"/>
    <mergeCell ref="C15:E15"/>
    <mergeCell ref="B16:E17"/>
    <mergeCell ref="B19:E19"/>
    <mergeCell ref="B20:E27"/>
    <mergeCell ref="B29:E29"/>
    <mergeCell ref="B30:E30"/>
  </mergeCells>
  <phoneticPr fontId="6" type="noConversion"/>
  <pageMargins left="0.35433124999999999" right="0.35433124999999999" top="0.27559097222222223" bottom="0.27559097222222223" header="0.11811041666666666" footer="0.11811041666666666"/>
  <pageSetup paperSize="9" fitToWidth="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9AAC7-4C1E-4F17-A5E1-31C934E4CCDA}">
  <sheetPr codeName="Sheet11"/>
  <dimension ref="A1:G2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ht="10.050000000000001" customHeight="1" x14ac:dyDescent="0.4">
      <c r="A1" s="20" t="s">
        <v>412</v>
      </c>
    </row>
    <row r="2" spans="1:7" ht="10.050000000000001" customHeight="1" x14ac:dyDescent="0.4">
      <c r="G2" s="32" t="s">
        <v>304</v>
      </c>
    </row>
    <row r="3" spans="1:7" ht="22.05" customHeight="1" x14ac:dyDescent="0.4">
      <c r="B3" s="79" t="s">
        <v>413</v>
      </c>
      <c r="C3" s="73"/>
      <c r="D3" s="73"/>
      <c r="E3" s="73"/>
      <c r="G3">
        <v>1</v>
      </c>
    </row>
    <row r="4" spans="1:7" ht="22.05" customHeight="1" x14ac:dyDescent="0.4">
      <c r="B4" s="73"/>
      <c r="C4" s="73"/>
      <c r="D4" s="73"/>
      <c r="E4" s="73"/>
    </row>
    <row r="5" spans="1:7" ht="28.05" customHeight="1" x14ac:dyDescent="0.4">
      <c r="B5" s="74" t="s">
        <v>414</v>
      </c>
      <c r="C5" s="74"/>
      <c r="D5" s="74"/>
      <c r="E5" s="74"/>
    </row>
    <row r="6" spans="1:7" ht="7.95" customHeight="1" x14ac:dyDescent="0.4">
      <c r="B6" s="21"/>
      <c r="C6" s="21"/>
      <c r="D6" s="21"/>
      <c r="E6" s="21"/>
    </row>
    <row r="7" spans="1:7" ht="19.95" customHeight="1" x14ac:dyDescent="0.4">
      <c r="B7" s="44" t="s">
        <v>415</v>
      </c>
      <c r="C7" s="72" t="str">
        <f>IFERROR(IF(INDEX(기초자료입력!$B$44:$B$53,$G$3)=0,"",INDEX(기초자료입력!$B$44:$B$53,$G$3)),"")</f>
        <v/>
      </c>
      <c r="D7" s="72"/>
      <c r="E7" s="72"/>
    </row>
    <row r="8" spans="1:7" ht="19.95" customHeight="1" x14ac:dyDescent="0.4">
      <c r="B8" s="44" t="s">
        <v>416</v>
      </c>
      <c r="C8" s="72"/>
      <c r="D8" s="72"/>
      <c r="E8" s="72"/>
    </row>
    <row r="9" spans="1:7" ht="19.95" customHeight="1" x14ac:dyDescent="0.4">
      <c r="B9" s="44" t="s">
        <v>417</v>
      </c>
      <c r="C9" s="72"/>
      <c r="D9" s="72"/>
      <c r="E9" s="72"/>
    </row>
    <row r="10" spans="1:7" ht="7.95" customHeight="1" x14ac:dyDescent="0.4">
      <c r="B10" s="21"/>
      <c r="C10" s="21"/>
      <c r="D10" s="21"/>
      <c r="E10" s="21"/>
    </row>
    <row r="11" spans="1:7" ht="18" customHeight="1" x14ac:dyDescent="0.4">
      <c r="B11" s="74" t="str">
        <f>"위 사업자는 전북특별자치도교육청의 교복 가격 안정화를 위한 교복 ‘학교주관구매’ 실시에 따라, "&amp;IF(기초자료입력!$C$4="","○○○○학교",기초자료입력!$C$4)&amp;"(주소지 전북 )가 시행하는 교복 ‘학교주관구매’가 원만히 추진될 수 있도록 20○○.00.00. 일자로 공고한 입찰에 참가하기에 신고합니다."</f>
        <v>위 사업자는 전북특별자치도교육청의 교복 가격 안정화를 위한 교복 ‘학교주관구매’ 실시에 따라, ○○○○학교(주소지 전북 )가 시행하는 교복 ‘학교주관구매’가 원만히 추진될 수 있도록 20○○.00.00. 일자로 공고한 입찰에 참가하기에 신고합니다.</v>
      </c>
      <c r="C11" s="74"/>
      <c r="D11" s="74"/>
      <c r="E11" s="74"/>
    </row>
    <row r="12" spans="1:7" ht="18" customHeight="1" x14ac:dyDescent="0.4">
      <c r="B12" s="74"/>
      <c r="C12" s="74"/>
      <c r="D12" s="74"/>
      <c r="E12" s="74"/>
    </row>
    <row r="13" spans="1:7" ht="18" customHeight="1" x14ac:dyDescent="0.4">
      <c r="B13" s="74"/>
      <c r="C13" s="74"/>
      <c r="D13" s="74"/>
      <c r="E13" s="74"/>
    </row>
    <row r="14" spans="1:7" ht="7.95" customHeight="1" x14ac:dyDescent="0.4">
      <c r="B14" s="45"/>
      <c r="C14" s="45"/>
      <c r="D14" s="45"/>
      <c r="E14" s="45"/>
    </row>
    <row r="15" spans="1:7" ht="22.05" customHeight="1" x14ac:dyDescent="0.4">
      <c r="B15" s="74" t="s">
        <v>418</v>
      </c>
      <c r="C15" s="74"/>
      <c r="D15" s="74"/>
      <c r="E15" s="74"/>
    </row>
    <row r="16" spans="1:7" ht="22.05" customHeight="1" x14ac:dyDescent="0.4">
      <c r="B16" s="74"/>
      <c r="C16" s="74"/>
      <c r="D16" s="74"/>
      <c r="E16" s="74"/>
    </row>
    <row r="17" spans="2:5" ht="7.95" customHeight="1" x14ac:dyDescent="0.4">
      <c r="B17" s="21"/>
      <c r="C17" s="21"/>
      <c r="D17" s="21"/>
      <c r="E17" s="21"/>
    </row>
    <row r="18" spans="2:5" ht="19.95" customHeight="1" x14ac:dyDescent="0.4">
      <c r="B18" s="73" t="str">
        <f>IF(기초자료입력!$C$5="","20○○. ○○. ○○","20"&amp;RIGHT(기초자료입력!$C$5,2)&amp;". ○○. ○○")</f>
        <v>20○○. ○○. ○○</v>
      </c>
      <c r="C18" s="73"/>
      <c r="D18" s="73"/>
      <c r="E18" s="73"/>
    </row>
    <row r="19" spans="2:5" ht="19.95" customHeight="1" x14ac:dyDescent="0.4">
      <c r="B19" s="73" t="s">
        <v>419</v>
      </c>
      <c r="C19" s="73"/>
      <c r="D19" s="73"/>
      <c r="E19" s="73"/>
    </row>
    <row r="20" spans="2:5" ht="19.95" customHeight="1" x14ac:dyDescent="0.4">
      <c r="B20" s="73" t="str">
        <f>IF(기초자료입력!$C$4="","○○○○학교장 귀하",기초자료입력!$C$4&amp;"장 귀하")</f>
        <v>○○○○학교장 귀하</v>
      </c>
      <c r="C20" s="73"/>
      <c r="D20" s="73"/>
      <c r="E20" s="73"/>
    </row>
  </sheetData>
  <mergeCells count="10">
    <mergeCell ref="B15:E16"/>
    <mergeCell ref="B18:E18"/>
    <mergeCell ref="B19:E19"/>
    <mergeCell ref="B20:E20"/>
    <mergeCell ref="B3:E4"/>
    <mergeCell ref="B5:E5"/>
    <mergeCell ref="C7:E7"/>
    <mergeCell ref="C8:E8"/>
    <mergeCell ref="C9:E9"/>
    <mergeCell ref="B11:E13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DBF6C-11CB-4075-9F52-DF850CEF5554}">
  <sheetPr codeName="Sheet12"/>
  <dimension ref="A1:N25"/>
  <sheetViews>
    <sheetView workbookViewId="0"/>
  </sheetViews>
  <sheetFormatPr defaultRowHeight="17.399999999999999" x14ac:dyDescent="0.4"/>
  <cols>
    <col min="1" max="1" width="2.69921875" customWidth="1"/>
    <col min="2" max="3" width="5.69921875" customWidth="1"/>
    <col min="4" max="5" width="8.69921875" customWidth="1"/>
    <col min="6" max="7" width="10.69921875" customWidth="1"/>
    <col min="8" max="8" width="8.69921875" customWidth="1"/>
    <col min="9" max="9" width="9.69921875" customWidth="1"/>
    <col min="10" max="12" width="8.69921875" customWidth="1"/>
  </cols>
  <sheetData>
    <row r="1" spans="1:14" ht="10.050000000000001" customHeight="1" x14ac:dyDescent="0.4">
      <c r="A1" s="20" t="s">
        <v>393</v>
      </c>
    </row>
    <row r="2" spans="1:14" ht="10.050000000000001" customHeight="1" x14ac:dyDescent="0.4">
      <c r="N2" s="32" t="s">
        <v>304</v>
      </c>
    </row>
    <row r="3" spans="1:14" ht="30" customHeight="1" x14ac:dyDescent="0.4">
      <c r="B3" s="88" t="s">
        <v>394</v>
      </c>
      <c r="C3" s="86"/>
      <c r="D3" s="86"/>
      <c r="E3" s="86"/>
      <c r="F3" s="86"/>
      <c r="G3" s="86"/>
      <c r="H3" s="86"/>
      <c r="I3" s="86"/>
      <c r="J3" s="86"/>
      <c r="K3" s="86" t="s">
        <v>395</v>
      </c>
      <c r="L3" s="86"/>
      <c r="N3">
        <v>1</v>
      </c>
    </row>
    <row r="4" spans="1:14" ht="24" customHeight="1" x14ac:dyDescent="0.4">
      <c r="B4" s="86"/>
      <c r="C4" s="86"/>
      <c r="D4" s="86"/>
      <c r="E4" s="86"/>
      <c r="F4" s="86"/>
      <c r="G4" s="86"/>
      <c r="H4" s="86"/>
      <c r="I4" s="86"/>
      <c r="J4" s="86"/>
      <c r="K4" s="86"/>
      <c r="L4" s="86"/>
    </row>
    <row r="5" spans="1:14" x14ac:dyDescent="0.4"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</row>
    <row r="6" spans="1:14" ht="22.95" customHeight="1" x14ac:dyDescent="0.4">
      <c r="B6" s="86" t="s">
        <v>396</v>
      </c>
      <c r="C6" s="86"/>
      <c r="D6" s="86" t="s">
        <v>397</v>
      </c>
      <c r="E6" s="85"/>
      <c r="F6" s="85" t="str">
        <f>IFERROR(IF(INDEX(기초자료입력!$B$44:$B$53,$N$3)=0,"",INDEX(기초자료입력!$B$44:$B$53,$N$3)),"")</f>
        <v/>
      </c>
      <c r="G6" s="85"/>
      <c r="H6" s="85"/>
      <c r="I6" s="25" t="s">
        <v>398</v>
      </c>
      <c r="J6" s="85"/>
      <c r="K6" s="85"/>
      <c r="L6" s="85"/>
    </row>
    <row r="7" spans="1:14" ht="22.95" customHeight="1" x14ac:dyDescent="0.4">
      <c r="B7" s="86"/>
      <c r="C7" s="86"/>
      <c r="D7" s="85" t="s">
        <v>399</v>
      </c>
      <c r="E7" s="85"/>
      <c r="F7" s="85"/>
      <c r="G7" s="85"/>
      <c r="H7" s="85"/>
      <c r="I7" s="25" t="s">
        <v>400</v>
      </c>
      <c r="J7" s="85"/>
      <c r="K7" s="85"/>
      <c r="L7" s="85"/>
    </row>
    <row r="8" spans="1:14" ht="22.95" customHeight="1" x14ac:dyDescent="0.4">
      <c r="B8" s="86"/>
      <c r="C8" s="86"/>
      <c r="D8" s="85" t="s">
        <v>348</v>
      </c>
      <c r="E8" s="85"/>
      <c r="F8" s="85"/>
      <c r="G8" s="85"/>
      <c r="H8" s="85"/>
      <c r="I8" s="25" t="s">
        <v>401</v>
      </c>
      <c r="J8" s="85"/>
      <c r="K8" s="85"/>
      <c r="L8" s="85"/>
    </row>
    <row r="9" spans="1:14" ht="22.95" customHeight="1" x14ac:dyDescent="0.4"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</row>
    <row r="10" spans="1:14" ht="22.95" customHeight="1" x14ac:dyDescent="0.4">
      <c r="B10" s="86" t="s">
        <v>402</v>
      </c>
      <c r="C10" s="86"/>
      <c r="D10" s="86" t="s">
        <v>403</v>
      </c>
      <c r="E10" s="85"/>
      <c r="F10" s="85" t="str">
        <f>IF(기초자료입력!$C$4="","",기초자료입력!$C$4&amp;" 공고 제20○○-00호")</f>
        <v/>
      </c>
      <c r="G10" s="85"/>
      <c r="H10" s="85"/>
      <c r="I10" s="25" t="s">
        <v>404</v>
      </c>
      <c r="J10" s="85"/>
      <c r="K10" s="85"/>
      <c r="L10" s="85"/>
    </row>
    <row r="11" spans="1:14" ht="22.95" customHeight="1" x14ac:dyDescent="0.4">
      <c r="B11" s="86"/>
      <c r="C11" s="86"/>
      <c r="D11" s="85" t="s">
        <v>405</v>
      </c>
      <c r="E11" s="85"/>
      <c r="F11" s="85" t="str">
        <f>IF(OR(기초자료입력!$C$4="",기초자료입력!$C$5=""),"",기초자료입력!$C$4&amp;" "&amp;기초자료입력!$C$5&amp;"학년도 교복 학교주관 구매 입찰")</f>
        <v/>
      </c>
      <c r="G11" s="85"/>
      <c r="H11" s="85"/>
      <c r="I11" s="85"/>
      <c r="J11" s="85"/>
      <c r="K11" s="85"/>
      <c r="L11" s="85"/>
    </row>
    <row r="12" spans="1:14" x14ac:dyDescent="0.4"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</row>
    <row r="13" spans="1:14" ht="40.049999999999997" customHeight="1" x14ac:dyDescent="0.4">
      <c r="B13" s="85" t="s">
        <v>406</v>
      </c>
      <c r="C13" s="85"/>
      <c r="D13" s="86" t="s">
        <v>407</v>
      </c>
      <c r="E13" s="86"/>
      <c r="F13" s="86"/>
      <c r="G13" s="86"/>
      <c r="H13" s="86"/>
      <c r="I13" s="86"/>
      <c r="J13" s="86"/>
      <c r="K13" s="86"/>
      <c r="L13" s="86"/>
    </row>
    <row r="14" spans="1:14" x14ac:dyDescent="0.4"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</row>
    <row r="15" spans="1:14" ht="22.05" customHeight="1" x14ac:dyDescent="0.4">
      <c r="B15" s="86" t="s">
        <v>408</v>
      </c>
      <c r="C15" s="86"/>
      <c r="D15" s="86" t="s">
        <v>409</v>
      </c>
      <c r="E15" s="86"/>
      <c r="F15" s="86"/>
      <c r="G15" s="86"/>
      <c r="H15" s="86"/>
      <c r="I15" s="86" t="s">
        <v>410</v>
      </c>
      <c r="J15" s="86"/>
      <c r="K15" s="86"/>
      <c r="L15" s="86"/>
    </row>
    <row r="16" spans="1:14" ht="22.05" customHeight="1" x14ac:dyDescent="0.4"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</row>
    <row r="17" spans="2:12" ht="22.05" customHeight="1" x14ac:dyDescent="0.4"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6"/>
    </row>
    <row r="18" spans="2:12" ht="22.05" customHeight="1" x14ac:dyDescent="0.4"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</row>
    <row r="19" spans="2:12" x14ac:dyDescent="0.4"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</row>
    <row r="20" spans="2:12" ht="42" customHeight="1" x14ac:dyDescent="0.4">
      <c r="B20" s="87" t="str">
        <f>"본인은 위의 번호로 공고한 "&amp;IF(기초자료입력!$C$4="","○○○○학교",기초자료입력!$C$4)&amp;"의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합니다."</f>
        <v>본인은 위의 번호로 공고한 ○○○○학교의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</v>
      </c>
      <c r="C20" s="87"/>
      <c r="D20" s="87"/>
      <c r="E20" s="87"/>
      <c r="F20" s="87"/>
      <c r="G20" s="87"/>
      <c r="H20" s="87"/>
      <c r="I20" s="87"/>
      <c r="J20" s="87"/>
      <c r="K20" s="87"/>
      <c r="L20" s="87"/>
    </row>
    <row r="21" spans="2:12" x14ac:dyDescent="0.4">
      <c r="B21" s="84" t="s">
        <v>411</v>
      </c>
      <c r="C21" s="84"/>
      <c r="D21" s="84"/>
      <c r="E21" s="84"/>
      <c r="F21" s="84"/>
      <c r="G21" s="84"/>
      <c r="H21" s="84"/>
      <c r="I21" s="84"/>
      <c r="J21" s="84"/>
      <c r="K21" s="84"/>
      <c r="L21" s="84"/>
    </row>
    <row r="22" spans="2:12" x14ac:dyDescent="0.4"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</row>
    <row r="23" spans="2:12" x14ac:dyDescent="0.4">
      <c r="B23" s="84" t="str">
        <f>IF(OR(기초자료입력!$C$4="",기초자료입력!$C$5=""),"","20"&amp;RIGHT(기초자료입력!$C$5,2)&amp;". . .")</f>
        <v/>
      </c>
      <c r="C23" s="84"/>
      <c r="D23" s="84"/>
      <c r="E23" s="84"/>
      <c r="F23" s="84"/>
      <c r="G23" s="84"/>
      <c r="H23" s="84"/>
      <c r="I23" s="84"/>
      <c r="J23" s="84"/>
      <c r="K23" s="84"/>
      <c r="L23" s="84"/>
    </row>
    <row r="24" spans="2:12" x14ac:dyDescent="0.4">
      <c r="B24" s="84" t="str">
        <f>"업체명: "&amp;IFERROR(IF(INDEX(기초자료입력!$B$44:$B$53,$N$3)=0,"",INDEX(기초자료입력!$B$44:$B$53,$N$3)),"")&amp;"                 대표자:                         (인)"</f>
        <v>업체명:                  대표자:                         (인)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</row>
    <row r="25" spans="2:12" x14ac:dyDescent="0.4">
      <c r="B25" s="84" t="str">
        <f>IF(기초자료입력!$C$4="","○○○○학교장 귀하",기초자료입력!$C$4&amp;"장 귀하")</f>
        <v>○○○○학교장 귀하</v>
      </c>
      <c r="C25" s="84"/>
      <c r="D25" s="84"/>
      <c r="E25" s="84"/>
      <c r="F25" s="84"/>
      <c r="G25" s="84"/>
      <c r="H25" s="84"/>
      <c r="I25" s="84"/>
      <c r="J25" s="84"/>
      <c r="K25" s="84"/>
      <c r="L25" s="84"/>
    </row>
  </sheetData>
  <mergeCells count="28">
    <mergeCell ref="B3:J4"/>
    <mergeCell ref="K3:L4"/>
    <mergeCell ref="B6:C8"/>
    <mergeCell ref="D6:E6"/>
    <mergeCell ref="F6:H6"/>
    <mergeCell ref="J6:L6"/>
    <mergeCell ref="D7:E7"/>
    <mergeCell ref="F7:H7"/>
    <mergeCell ref="J7:L7"/>
    <mergeCell ref="D8:E8"/>
    <mergeCell ref="F8:H8"/>
    <mergeCell ref="J8:L8"/>
    <mergeCell ref="B10:C11"/>
    <mergeCell ref="D10:E10"/>
    <mergeCell ref="F10:H10"/>
    <mergeCell ref="J10:L10"/>
    <mergeCell ref="D11:E11"/>
    <mergeCell ref="F11:L11"/>
    <mergeCell ref="B21:L21"/>
    <mergeCell ref="B23:L23"/>
    <mergeCell ref="B24:L24"/>
    <mergeCell ref="B25:L25"/>
    <mergeCell ref="B13:C13"/>
    <mergeCell ref="D13:L13"/>
    <mergeCell ref="B15:C18"/>
    <mergeCell ref="D15:H18"/>
    <mergeCell ref="I15:L18"/>
    <mergeCell ref="B20:L20"/>
  </mergeCells>
  <phoneticPr fontId="6" type="noConversion"/>
  <pageMargins left="0.31496111111111108" right="0.31496111111111108" top="0.31496111111111108" bottom="0.31496111111111108" header="0.19685069444444445" footer="0.19685069444444445"/>
  <pageSetup paperSize="9" fitToWidth="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102A8-BE55-4E9F-9DC6-B3D35107071D}">
  <sheetPr codeName="Sheet13"/>
  <dimension ref="A1:I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1.69921875" customWidth="1"/>
    <col min="4" max="4" width="19.69921875" customWidth="1"/>
    <col min="5" max="5" width="7.69921875" customWidth="1"/>
    <col min="6" max="6" width="9.69921875" customWidth="1"/>
  </cols>
  <sheetData>
    <row r="1" spans="1:9" x14ac:dyDescent="0.4">
      <c r="A1" s="20" t="s">
        <v>381</v>
      </c>
    </row>
    <row r="2" spans="1:9" x14ac:dyDescent="0.4">
      <c r="I2" s="32" t="s">
        <v>304</v>
      </c>
    </row>
    <row r="3" spans="1:9" x14ac:dyDescent="0.4">
      <c r="B3" s="90" t="s">
        <v>382</v>
      </c>
      <c r="C3" s="91"/>
      <c r="D3" s="91"/>
      <c r="E3" s="91"/>
      <c r="F3" s="91"/>
      <c r="I3">
        <v>1</v>
      </c>
    </row>
    <row r="4" spans="1:9" ht="28.05" customHeight="1" x14ac:dyDescent="0.4">
      <c r="B4" s="87" t="s">
        <v>383</v>
      </c>
      <c r="C4" s="87"/>
      <c r="D4" s="87"/>
      <c r="E4" s="87"/>
      <c r="F4" s="87"/>
    </row>
    <row r="5" spans="1:9" x14ac:dyDescent="0.4">
      <c r="B5" s="25" t="s">
        <v>60</v>
      </c>
      <c r="C5" s="92" t="str">
        <f>IFERROR(IF(INDEX(기초자료입력!$B$44:$B$53,$I$3)=0,"",INDEX(기초자료입력!$B$44:$B$53,$I$3)),"")</f>
        <v/>
      </c>
      <c r="D5" s="92"/>
      <c r="E5" s="92"/>
      <c r="F5" s="85"/>
    </row>
    <row r="6" spans="1:9" x14ac:dyDescent="0.4">
      <c r="B6" s="27"/>
      <c r="C6" s="27"/>
      <c r="D6" s="27"/>
      <c r="E6" s="27"/>
      <c r="F6" s="27"/>
    </row>
    <row r="7" spans="1:9" x14ac:dyDescent="0.4">
      <c r="B7" s="28" t="s">
        <v>293</v>
      </c>
      <c r="C7" s="28" t="s">
        <v>81</v>
      </c>
      <c r="D7" s="28" t="s">
        <v>294</v>
      </c>
      <c r="E7" s="28" t="s">
        <v>82</v>
      </c>
      <c r="F7" s="28" t="s">
        <v>384</v>
      </c>
    </row>
    <row r="8" spans="1:9" ht="22.05" customHeight="1" x14ac:dyDescent="0.4">
      <c r="B8" s="86" t="s">
        <v>309</v>
      </c>
      <c r="C8" s="69" t="s">
        <v>385</v>
      </c>
      <c r="D8" s="29" t="s">
        <v>311</v>
      </c>
      <c r="E8" s="25">
        <v>10</v>
      </c>
      <c r="F8" s="85" t="str">
        <f>IFERROR(IF(INDEX(기초자료입력!$B$44:$B$53,$I$3)=0,"",INDEX(기초자료입력!$N$44:$N$53,$I$3)),"")</f>
        <v/>
      </c>
    </row>
    <row r="9" spans="1:9" ht="22.05" customHeight="1" x14ac:dyDescent="0.4">
      <c r="B9" s="86"/>
      <c r="C9" s="69"/>
      <c r="D9" s="29" t="s">
        <v>312</v>
      </c>
      <c r="E9" s="25">
        <v>8</v>
      </c>
      <c r="F9" s="85"/>
    </row>
    <row r="10" spans="1:9" ht="22.05" customHeight="1" x14ac:dyDescent="0.4">
      <c r="B10" s="86"/>
      <c r="C10" s="69"/>
      <c r="D10" s="29" t="s">
        <v>386</v>
      </c>
      <c r="E10" s="25">
        <v>6</v>
      </c>
      <c r="F10" s="85"/>
    </row>
    <row r="11" spans="1:9" ht="22.05" customHeight="1" x14ac:dyDescent="0.4">
      <c r="B11" s="86"/>
      <c r="C11" s="69"/>
      <c r="D11" s="29" t="s">
        <v>314</v>
      </c>
      <c r="E11" s="25">
        <v>4</v>
      </c>
      <c r="F11" s="85"/>
    </row>
    <row r="12" spans="1:9" ht="22.05" customHeight="1" x14ac:dyDescent="0.4">
      <c r="B12" s="86"/>
      <c r="C12" s="69" t="s">
        <v>387</v>
      </c>
      <c r="D12" s="29" t="s">
        <v>316</v>
      </c>
      <c r="E12" s="25">
        <v>10</v>
      </c>
      <c r="F12" s="85" t="str">
        <f>IFERROR(IF(INDEX(기초자료입력!$B$44:$B$53,$I$3)=0,"",INDEX(기초자료입력!$O$44:$O$53,$I$3)),"")</f>
        <v/>
      </c>
    </row>
    <row r="13" spans="1:9" ht="22.05" customHeight="1" x14ac:dyDescent="0.4">
      <c r="B13" s="86"/>
      <c r="C13" s="69"/>
      <c r="D13" s="29" t="s">
        <v>317</v>
      </c>
      <c r="E13" s="25">
        <v>8</v>
      </c>
      <c r="F13" s="85"/>
    </row>
    <row r="14" spans="1:9" ht="22.05" customHeight="1" x14ac:dyDescent="0.4">
      <c r="B14" s="86"/>
      <c r="C14" s="69"/>
      <c r="D14" s="29" t="s">
        <v>318</v>
      </c>
      <c r="E14" s="25">
        <v>5</v>
      </c>
      <c r="F14" s="85"/>
    </row>
    <row r="15" spans="1:9" ht="22.05" customHeight="1" x14ac:dyDescent="0.4">
      <c r="B15" s="86"/>
      <c r="C15" s="69" t="s">
        <v>388</v>
      </c>
      <c r="D15" s="29" t="s">
        <v>320</v>
      </c>
      <c r="E15" s="25">
        <v>15</v>
      </c>
      <c r="F15" s="85" t="str">
        <f>IFERROR(IF(INDEX(기초자료입력!$B$44:$B$53,$I$3)=0,"",INDEX(기초자료입력!$P$44:$P$53,$I$3)),"")</f>
        <v/>
      </c>
    </row>
    <row r="16" spans="1:9" ht="22.05" customHeight="1" x14ac:dyDescent="0.4">
      <c r="B16" s="86"/>
      <c r="C16" s="69"/>
      <c r="D16" s="29" t="s">
        <v>389</v>
      </c>
      <c r="E16" s="25">
        <v>12</v>
      </c>
      <c r="F16" s="85"/>
    </row>
    <row r="17" spans="2:6" ht="22.05" customHeight="1" x14ac:dyDescent="0.4">
      <c r="B17" s="86"/>
      <c r="C17" s="69"/>
      <c r="D17" s="29" t="s">
        <v>390</v>
      </c>
      <c r="E17" s="25">
        <v>9</v>
      </c>
      <c r="F17" s="85"/>
    </row>
    <row r="18" spans="2:6" ht="22.05" customHeight="1" x14ac:dyDescent="0.4">
      <c r="B18" s="86"/>
      <c r="C18" s="69"/>
      <c r="D18" s="29" t="s">
        <v>391</v>
      </c>
      <c r="E18" s="25">
        <v>5</v>
      </c>
      <c r="F18" s="85"/>
    </row>
    <row r="19" spans="2:6" ht="22.05" customHeight="1" x14ac:dyDescent="0.4">
      <c r="B19" s="86"/>
      <c r="C19" s="69" t="s">
        <v>324</v>
      </c>
      <c r="D19" s="29" t="s">
        <v>325</v>
      </c>
      <c r="E19" s="25">
        <v>15</v>
      </c>
      <c r="F19" s="85" t="str">
        <f>IFERROR(IF(INDEX(기초자료입력!$B$44:$B$53,$I$3)=0,"",INDEX(기초자료입력!$Q$44:$Q$53,$I$3)),"")</f>
        <v/>
      </c>
    </row>
    <row r="20" spans="2:6" ht="22.05" customHeight="1" x14ac:dyDescent="0.4">
      <c r="B20" s="86"/>
      <c r="C20" s="69"/>
      <c r="D20" s="29" t="s">
        <v>326</v>
      </c>
      <c r="E20" s="25">
        <v>0</v>
      </c>
      <c r="F20" s="85"/>
    </row>
    <row r="21" spans="2:6" x14ac:dyDescent="0.4">
      <c r="B21" s="67" t="s">
        <v>261</v>
      </c>
      <c r="C21" s="89"/>
      <c r="D21" s="89" t="s">
        <v>327</v>
      </c>
      <c r="E21" s="67"/>
      <c r="F21" s="28" t="str">
        <f>IF(OR(F8="",F12="",F15="",F19=""),"",F8+F12+F15+F19)</f>
        <v/>
      </c>
    </row>
    <row r="22" spans="2:6" x14ac:dyDescent="0.4">
      <c r="B22" s="27"/>
      <c r="C22" s="27"/>
      <c r="D22" s="27"/>
      <c r="E22" s="27"/>
      <c r="F22" s="27"/>
    </row>
    <row r="23" spans="2:6" ht="28.05" customHeight="1" x14ac:dyDescent="0.4">
      <c r="B23" s="87" t="s">
        <v>392</v>
      </c>
      <c r="C23" s="87"/>
      <c r="D23" s="87"/>
      <c r="E23" s="87"/>
      <c r="F23" s="87"/>
    </row>
    <row r="24" spans="2:6" x14ac:dyDescent="0.4">
      <c r="B24" s="27"/>
      <c r="C24" s="27"/>
      <c r="D24" s="27"/>
      <c r="E24" s="27"/>
      <c r="F24" s="27"/>
    </row>
    <row r="25" spans="2:6" x14ac:dyDescent="0.4">
      <c r="B25" s="84" t="str">
        <f>"업체명: "&amp;IFERROR(IF(INDEX(기초자료입력!$B$44:$B$53,$I$3)=0,"",INDEX(기초자료입력!$B$44:$B$53,$I$3)),"")&amp;"     작성자:                         대표자:                         (인)"</f>
        <v>업체명:      작성자:                         대표자:                         (인)</v>
      </c>
      <c r="C25" s="84"/>
      <c r="D25" s="84"/>
      <c r="E25" s="84"/>
      <c r="F25" s="84"/>
    </row>
  </sheetData>
  <mergeCells count="16">
    <mergeCell ref="B25:F25"/>
    <mergeCell ref="B3:F3"/>
    <mergeCell ref="B4:F4"/>
    <mergeCell ref="C5:F5"/>
    <mergeCell ref="B8:B20"/>
    <mergeCell ref="C8:C11"/>
    <mergeCell ref="F8:F11"/>
    <mergeCell ref="C12:C14"/>
    <mergeCell ref="F12:F14"/>
    <mergeCell ref="C15:C18"/>
    <mergeCell ref="F15:F18"/>
    <mergeCell ref="C19:C20"/>
    <mergeCell ref="F19:F20"/>
    <mergeCell ref="B21:C21"/>
    <mergeCell ref="D21:E21"/>
    <mergeCell ref="B23:F23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45AC8-F9FA-40F1-8344-28CBED9C04F8}">
  <sheetPr codeName="Sheet14"/>
  <dimension ref="A1:G3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x14ac:dyDescent="0.4">
      <c r="A1" s="20" t="s">
        <v>346</v>
      </c>
    </row>
    <row r="2" spans="1:7" x14ac:dyDescent="0.4">
      <c r="G2" s="32" t="s">
        <v>304</v>
      </c>
    </row>
    <row r="3" spans="1:7" x14ac:dyDescent="0.4">
      <c r="B3" s="93" t="str">
        <f>IF(기초자료입력!C5&lt;&gt;"",기초자료입력!C5,"20○○")&amp;"년도 신입생 교복 제출서류 자기확인서"</f>
        <v>20○○년도 신입생 교복 제출서류 자기확인서</v>
      </c>
      <c r="C3" s="94"/>
      <c r="D3" s="94"/>
      <c r="E3" s="94"/>
      <c r="G3">
        <v>1</v>
      </c>
    </row>
    <row r="4" spans="1:7" x14ac:dyDescent="0.4">
      <c r="B4" s="35"/>
      <c r="C4" s="35"/>
      <c r="D4" s="35"/>
      <c r="E4" s="35"/>
    </row>
    <row r="5" spans="1:7" ht="19.95" customHeight="1" x14ac:dyDescent="0.4">
      <c r="B5" s="82" t="s">
        <v>347</v>
      </c>
      <c r="C5" s="82"/>
      <c r="D5" s="82"/>
      <c r="E5" s="82"/>
    </row>
    <row r="6" spans="1:7" x14ac:dyDescent="0.4">
      <c r="B6" s="35"/>
      <c r="C6" s="35"/>
      <c r="D6" s="35"/>
      <c r="E6" s="35"/>
    </row>
    <row r="7" spans="1:7" ht="24" customHeight="1" x14ac:dyDescent="0.4">
      <c r="B7" s="36" t="s">
        <v>60</v>
      </c>
      <c r="C7" s="36" t="s">
        <v>348</v>
      </c>
      <c r="D7" s="36" t="s">
        <v>349</v>
      </c>
      <c r="E7" s="36" t="s">
        <v>350</v>
      </c>
    </row>
    <row r="8" spans="1:7" ht="19.95" customHeight="1" x14ac:dyDescent="0.4">
      <c r="B8" s="37" t="str">
        <f>IFERROR(IF(INDEX(기초자료입력!$B$44:$B$53,$G$3)=0,"",INDEX(기초자료입력!$B$44:$B$53,$G$3)),"")</f>
        <v/>
      </c>
      <c r="C8" s="38"/>
      <c r="D8" s="38"/>
      <c r="E8" s="37"/>
    </row>
    <row r="9" spans="1:7" x14ac:dyDescent="0.4">
      <c r="B9" s="39"/>
      <c r="C9" s="40"/>
      <c r="D9" s="40"/>
      <c r="E9" s="39"/>
    </row>
    <row r="10" spans="1:7" ht="24" customHeight="1" x14ac:dyDescent="0.4">
      <c r="B10" s="36" t="s">
        <v>351</v>
      </c>
      <c r="C10" s="36" t="s">
        <v>55</v>
      </c>
      <c r="D10" s="36" t="s">
        <v>352</v>
      </c>
      <c r="E10" s="36" t="s">
        <v>353</v>
      </c>
    </row>
    <row r="11" spans="1:7" ht="16.05" customHeight="1" x14ac:dyDescent="0.4">
      <c r="B11" s="41" t="s">
        <v>354</v>
      </c>
      <c r="C11" s="42" t="s">
        <v>355</v>
      </c>
      <c r="D11" s="42"/>
      <c r="E11" s="41"/>
    </row>
    <row r="12" spans="1:7" ht="16.05" customHeight="1" x14ac:dyDescent="0.4">
      <c r="B12" s="41" t="s">
        <v>356</v>
      </c>
      <c r="C12" s="42" t="s">
        <v>355</v>
      </c>
      <c r="D12" s="42"/>
      <c r="E12" s="41"/>
    </row>
    <row r="13" spans="1:7" ht="16.05" customHeight="1" x14ac:dyDescent="0.4">
      <c r="B13" s="41" t="s">
        <v>357</v>
      </c>
      <c r="C13" s="42" t="s">
        <v>355</v>
      </c>
      <c r="D13" s="42"/>
      <c r="E13" s="41"/>
    </row>
    <row r="14" spans="1:7" ht="16.05" customHeight="1" x14ac:dyDescent="0.4">
      <c r="B14" s="41" t="s">
        <v>358</v>
      </c>
      <c r="C14" s="42" t="s">
        <v>355</v>
      </c>
      <c r="D14" s="42"/>
      <c r="E14" s="41" t="s">
        <v>359</v>
      </c>
    </row>
    <row r="15" spans="1:7" ht="16.05" customHeight="1" x14ac:dyDescent="0.4">
      <c r="B15" s="41" t="s">
        <v>360</v>
      </c>
      <c r="C15" s="42" t="s">
        <v>355</v>
      </c>
      <c r="D15" s="42"/>
      <c r="E15" s="41"/>
    </row>
    <row r="16" spans="1:7" ht="16.05" customHeight="1" x14ac:dyDescent="0.4">
      <c r="B16" s="41" t="s">
        <v>361</v>
      </c>
      <c r="C16" s="42" t="s">
        <v>355</v>
      </c>
      <c r="D16" s="42"/>
      <c r="E16" s="41"/>
    </row>
    <row r="17" spans="2:5" ht="16.05" customHeight="1" x14ac:dyDescent="0.4">
      <c r="B17" s="41" t="s">
        <v>362</v>
      </c>
      <c r="C17" s="42" t="s">
        <v>355</v>
      </c>
      <c r="D17" s="42"/>
      <c r="E17" s="41"/>
    </row>
    <row r="18" spans="2:5" ht="16.05" customHeight="1" x14ac:dyDescent="0.4">
      <c r="B18" s="41" t="s">
        <v>363</v>
      </c>
      <c r="C18" s="42" t="s">
        <v>355</v>
      </c>
      <c r="D18" s="42"/>
      <c r="E18" s="41"/>
    </row>
    <row r="19" spans="2:5" ht="16.05" customHeight="1" x14ac:dyDescent="0.4">
      <c r="B19" s="41" t="s">
        <v>364</v>
      </c>
      <c r="C19" s="42" t="s">
        <v>355</v>
      </c>
      <c r="D19" s="42"/>
      <c r="E19" s="41"/>
    </row>
    <row r="20" spans="2:5" ht="16.05" customHeight="1" x14ac:dyDescent="0.4">
      <c r="B20" s="41" t="s">
        <v>365</v>
      </c>
      <c r="C20" s="42" t="s">
        <v>355</v>
      </c>
      <c r="D20" s="42"/>
      <c r="E20" s="41"/>
    </row>
    <row r="21" spans="2:5" ht="16.05" customHeight="1" x14ac:dyDescent="0.4">
      <c r="B21" s="41" t="s">
        <v>366</v>
      </c>
      <c r="C21" s="42" t="s">
        <v>355</v>
      </c>
      <c r="D21" s="42"/>
      <c r="E21" s="41"/>
    </row>
    <row r="22" spans="2:5" ht="24" customHeight="1" x14ac:dyDescent="0.4">
      <c r="B22" s="41" t="s">
        <v>367</v>
      </c>
      <c r="C22" s="42" t="s">
        <v>355</v>
      </c>
      <c r="D22" s="42"/>
      <c r="E22" s="41" t="s">
        <v>368</v>
      </c>
    </row>
    <row r="23" spans="2:5" ht="16.05" customHeight="1" x14ac:dyDescent="0.4">
      <c r="B23" s="41" t="s">
        <v>369</v>
      </c>
      <c r="C23" s="42" t="s">
        <v>370</v>
      </c>
      <c r="D23" s="42"/>
      <c r="E23" s="41" t="s">
        <v>371</v>
      </c>
    </row>
    <row r="24" spans="2:5" ht="16.05" customHeight="1" x14ac:dyDescent="0.4">
      <c r="B24" s="41" t="s">
        <v>372</v>
      </c>
      <c r="C24" s="42" t="s">
        <v>370</v>
      </c>
      <c r="D24" s="42"/>
      <c r="E24" s="41" t="s">
        <v>371</v>
      </c>
    </row>
    <row r="25" spans="2:5" ht="16.05" customHeight="1" x14ac:dyDescent="0.4">
      <c r="B25" s="41" t="s">
        <v>373</v>
      </c>
      <c r="C25" s="42" t="s">
        <v>370</v>
      </c>
      <c r="D25" s="42"/>
      <c r="E25" s="41" t="s">
        <v>371</v>
      </c>
    </row>
    <row r="26" spans="2:5" ht="16.05" customHeight="1" x14ac:dyDescent="0.4">
      <c r="B26" s="41" t="s">
        <v>374</v>
      </c>
      <c r="C26" s="42" t="s">
        <v>370</v>
      </c>
      <c r="D26" s="42"/>
      <c r="E26" s="41" t="s">
        <v>371</v>
      </c>
    </row>
    <row r="27" spans="2:5" ht="16.05" customHeight="1" x14ac:dyDescent="0.4">
      <c r="B27" s="41" t="s">
        <v>375</v>
      </c>
      <c r="C27" s="42" t="s">
        <v>370</v>
      </c>
      <c r="D27" s="42"/>
      <c r="E27" s="41" t="s">
        <v>371</v>
      </c>
    </row>
    <row r="28" spans="2:5" ht="16.05" customHeight="1" x14ac:dyDescent="0.4">
      <c r="B28" s="41" t="s">
        <v>376</v>
      </c>
      <c r="C28" s="42" t="s">
        <v>370</v>
      </c>
      <c r="D28" s="42"/>
      <c r="E28" s="41" t="s">
        <v>371</v>
      </c>
    </row>
    <row r="29" spans="2:5" ht="16.05" customHeight="1" x14ac:dyDescent="0.4">
      <c r="B29" s="41" t="s">
        <v>377</v>
      </c>
      <c r="C29" s="42" t="s">
        <v>370</v>
      </c>
      <c r="D29" s="42"/>
      <c r="E29" s="41" t="s">
        <v>371</v>
      </c>
    </row>
    <row r="30" spans="2:5" ht="16.05" customHeight="1" x14ac:dyDescent="0.4">
      <c r="B30" s="41" t="s">
        <v>378</v>
      </c>
      <c r="C30" s="42" t="s">
        <v>379</v>
      </c>
      <c r="D30" s="42"/>
      <c r="E30" s="41" t="s">
        <v>380</v>
      </c>
    </row>
  </sheetData>
  <mergeCells count="2">
    <mergeCell ref="B3:E3"/>
    <mergeCell ref="B5:E5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EE3E4-0A81-48C8-99CF-8F2FFCBC2406}">
  <sheetPr codeName="Sheet15"/>
  <dimension ref="A1:I18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14.69921875" customWidth="1"/>
    <col min="4" max="4" width="34.69921875" customWidth="1"/>
    <col min="5" max="6" width="8.69921875" customWidth="1"/>
  </cols>
  <sheetData>
    <row r="1" spans="1:9" x14ac:dyDescent="0.4">
      <c r="A1" s="20" t="s">
        <v>329</v>
      </c>
    </row>
    <row r="2" spans="1:9" x14ac:dyDescent="0.4">
      <c r="I2" s="32" t="s">
        <v>304</v>
      </c>
    </row>
    <row r="3" spans="1:9" x14ac:dyDescent="0.4">
      <c r="B3" s="90" t="s">
        <v>330</v>
      </c>
      <c r="C3" s="91"/>
      <c r="D3" s="91"/>
      <c r="E3" s="91"/>
      <c r="F3" s="91"/>
      <c r="I3">
        <v>1</v>
      </c>
    </row>
    <row r="4" spans="1:9" x14ac:dyDescent="0.4">
      <c r="B4" s="90" t="s">
        <v>331</v>
      </c>
      <c r="C4" s="91"/>
      <c r="D4" s="91"/>
      <c r="E4" s="91"/>
      <c r="F4" s="91"/>
    </row>
    <row r="5" spans="1:9" x14ac:dyDescent="0.4">
      <c r="B5" s="33" t="s">
        <v>87</v>
      </c>
      <c r="C5" s="33" t="str">
        <f>IF(기초자료입력!C4&lt;&gt;"",기초자료입력!C4,"")</f>
        <v/>
      </c>
      <c r="D5" s="33" t="s">
        <v>88</v>
      </c>
      <c r="E5" s="33" t="str">
        <f>IF(기초자료입력!C5&lt;&gt;"",기초자료입력!C5,"")</f>
        <v/>
      </c>
      <c r="F5" s="33" t="s">
        <v>332</v>
      </c>
    </row>
    <row r="6" spans="1:9" x14ac:dyDescent="0.4">
      <c r="B6" s="91">
        <f>IFERROR(INDEX(기초자료입력!$B$44:$B$53,I3),"")</f>
        <v>0</v>
      </c>
      <c r="C6" s="91"/>
      <c r="D6" s="91"/>
      <c r="E6" s="91"/>
      <c r="F6" s="91"/>
    </row>
    <row r="7" spans="1:9" ht="24" customHeight="1" x14ac:dyDescent="0.4">
      <c r="B7" s="87" t="s">
        <v>308</v>
      </c>
      <c r="C7" s="87"/>
      <c r="D7" s="87"/>
      <c r="E7" s="87"/>
      <c r="F7" s="87"/>
    </row>
    <row r="8" spans="1:9" x14ac:dyDescent="0.4">
      <c r="B8" s="28" t="s">
        <v>293</v>
      </c>
      <c r="C8" s="28" t="s">
        <v>81</v>
      </c>
      <c r="D8" s="28" t="s">
        <v>294</v>
      </c>
      <c r="E8" s="28" t="s">
        <v>82</v>
      </c>
      <c r="F8" s="28" t="s">
        <v>295</v>
      </c>
    </row>
    <row r="9" spans="1:9" ht="45" customHeight="1" x14ac:dyDescent="0.4">
      <c r="B9" s="86" t="s">
        <v>333</v>
      </c>
      <c r="C9" s="25" t="s">
        <v>334</v>
      </c>
      <c r="D9" s="29" t="s">
        <v>335</v>
      </c>
      <c r="E9" s="25">
        <v>15</v>
      </c>
      <c r="F9" s="25">
        <f>IFERROR(INDEX(기초자료입력!$H$44:$H$53,I3),"")</f>
        <v>0</v>
      </c>
    </row>
    <row r="10" spans="1:9" ht="45" customHeight="1" x14ac:dyDescent="0.4">
      <c r="B10" s="86"/>
      <c r="C10" s="25" t="s">
        <v>336</v>
      </c>
      <c r="D10" s="29" t="s">
        <v>337</v>
      </c>
      <c r="E10" s="25">
        <v>10</v>
      </c>
      <c r="F10" s="25">
        <f>IFERROR(INDEX(기초자료입력!$I$44:$I$53,I3),"")</f>
        <v>0</v>
      </c>
    </row>
    <row r="11" spans="1:9" ht="45" customHeight="1" x14ac:dyDescent="0.4">
      <c r="B11" s="86"/>
      <c r="C11" s="25" t="s">
        <v>338</v>
      </c>
      <c r="D11" s="29" t="s">
        <v>339</v>
      </c>
      <c r="E11" s="25">
        <v>15</v>
      </c>
      <c r="F11" s="25">
        <f>IFERROR(INDEX(기초자료입력!$J$44:$J$53,I3),"")</f>
        <v>0</v>
      </c>
    </row>
    <row r="12" spans="1:9" ht="45" customHeight="1" x14ac:dyDescent="0.4">
      <c r="B12" s="86"/>
      <c r="C12" s="25" t="s">
        <v>340</v>
      </c>
      <c r="D12" s="29" t="s">
        <v>341</v>
      </c>
      <c r="E12" s="25">
        <v>10</v>
      </c>
      <c r="F12" s="25">
        <f>IFERROR(INDEX(기초자료입력!$K$44:$K$53,I3),"")</f>
        <v>0</v>
      </c>
    </row>
    <row r="13" spans="1:9" ht="45" customHeight="1" x14ac:dyDescent="0.4">
      <c r="B13" s="86"/>
      <c r="C13" s="25" t="s">
        <v>342</v>
      </c>
      <c r="D13" s="29" t="s">
        <v>343</v>
      </c>
      <c r="E13" s="25" t="s">
        <v>344</v>
      </c>
      <c r="F13" s="25">
        <f>IFERROR(INDEX(기초자료입력!$L$44:$L$53,I3),"")</f>
        <v>0</v>
      </c>
    </row>
    <row r="14" spans="1:9" x14ac:dyDescent="0.4">
      <c r="B14" s="89" t="s">
        <v>261</v>
      </c>
      <c r="C14" s="89"/>
      <c r="D14" s="89" t="s">
        <v>327</v>
      </c>
      <c r="E14" s="67"/>
      <c r="F14" s="28">
        <f>IF(OR(F9="",F10="",F11="",F12="",F13=""),"",F9+F10+F11+F12+F13)</f>
        <v>0</v>
      </c>
    </row>
    <row r="15" spans="1:9" x14ac:dyDescent="0.4">
      <c r="B15" s="34"/>
      <c r="C15" s="34"/>
      <c r="D15" s="34"/>
      <c r="E15" s="34"/>
      <c r="F15" s="34"/>
    </row>
    <row r="16" spans="1:9" ht="30" customHeight="1" x14ac:dyDescent="0.4">
      <c r="B16" s="87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16" s="87"/>
      <c r="D16" s="87"/>
      <c r="E16" s="87"/>
      <c r="F16" s="87"/>
    </row>
    <row r="17" spans="2:6" x14ac:dyDescent="0.4">
      <c r="B17" s="91" t="s">
        <v>286</v>
      </c>
      <c r="C17" s="91"/>
      <c r="D17" s="91"/>
      <c r="E17" s="91"/>
      <c r="F17" s="91"/>
    </row>
    <row r="18" spans="2:6" x14ac:dyDescent="0.4">
      <c r="B18" s="91" t="s">
        <v>345</v>
      </c>
      <c r="C18" s="91"/>
      <c r="D18" s="91"/>
      <c r="E18" s="91"/>
      <c r="F18" s="91"/>
    </row>
  </sheetData>
  <mergeCells count="10">
    <mergeCell ref="B16:F16"/>
    <mergeCell ref="B17:F17"/>
    <mergeCell ref="B18:F18"/>
    <mergeCell ref="B3:F3"/>
    <mergeCell ref="B4:F4"/>
    <mergeCell ref="B6:F6"/>
    <mergeCell ref="B7:F7"/>
    <mergeCell ref="B9:B13"/>
    <mergeCell ref="B14:C14"/>
    <mergeCell ref="D14:E1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68EAA-2A77-4FC6-8767-CD213AE71544}">
  <sheetPr codeName="Sheet16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303</v>
      </c>
    </row>
    <row r="2" spans="1:9" x14ac:dyDescent="0.4">
      <c r="I2" s="32" t="s">
        <v>304</v>
      </c>
    </row>
    <row r="3" spans="1:9" x14ac:dyDescent="0.4">
      <c r="B3" s="90" t="s">
        <v>305</v>
      </c>
      <c r="C3" s="91"/>
      <c r="D3" s="91"/>
      <c r="E3" s="91"/>
      <c r="F3" s="91"/>
      <c r="G3" s="91"/>
      <c r="I3">
        <v>1</v>
      </c>
    </row>
    <row r="4" spans="1:9" x14ac:dyDescent="0.4">
      <c r="B4" s="90" t="s">
        <v>306</v>
      </c>
      <c r="C4" s="91"/>
      <c r="D4" s="91"/>
      <c r="E4" s="91"/>
      <c r="F4" s="91"/>
      <c r="G4" s="91"/>
    </row>
    <row r="5" spans="1:9" x14ac:dyDescent="0.4">
      <c r="B5" s="33" t="s">
        <v>87</v>
      </c>
      <c r="C5" s="33" t="str">
        <f>IF(기초자료입력!C4&lt;&gt;"",기초자료입력!C4,"")</f>
        <v/>
      </c>
      <c r="D5" s="33" t="s">
        <v>88</v>
      </c>
      <c r="E5" s="33" t="str">
        <f>IF(기초자료입력!C5&lt;&gt;"",기초자료입력!C5,"")</f>
        <v/>
      </c>
      <c r="F5" s="33" t="s">
        <v>307</v>
      </c>
      <c r="G5" s="33">
        <f>IFERROR(INDEX(기초자료입력!$B$44:$B$53,I3),"")</f>
        <v>0</v>
      </c>
    </row>
    <row r="6" spans="1:9" ht="24" customHeight="1" x14ac:dyDescent="0.4">
      <c r="B6" s="87" t="s">
        <v>308</v>
      </c>
      <c r="C6" s="87"/>
      <c r="D6" s="87"/>
      <c r="E6" s="87"/>
      <c r="F6" s="87"/>
      <c r="G6" s="87"/>
    </row>
    <row r="7" spans="1:9" x14ac:dyDescent="0.4">
      <c r="B7" s="34"/>
      <c r="C7" s="34"/>
      <c r="D7" s="34"/>
      <c r="E7" s="34"/>
      <c r="F7" s="34"/>
      <c r="G7" s="34"/>
    </row>
    <row r="8" spans="1:9" x14ac:dyDescent="0.4">
      <c r="B8" s="28" t="s">
        <v>293</v>
      </c>
      <c r="C8" s="28" t="s">
        <v>81</v>
      </c>
      <c r="D8" s="28" t="s">
        <v>294</v>
      </c>
      <c r="E8" s="28" t="s">
        <v>82</v>
      </c>
      <c r="F8" s="28" t="s">
        <v>295</v>
      </c>
      <c r="G8" s="33"/>
    </row>
    <row r="9" spans="1:9" ht="22.05" customHeight="1" x14ac:dyDescent="0.4">
      <c r="B9" s="86" t="s">
        <v>309</v>
      </c>
      <c r="C9" s="69" t="s">
        <v>310</v>
      </c>
      <c r="D9" s="29" t="s">
        <v>311</v>
      </c>
      <c r="E9" s="25">
        <v>10</v>
      </c>
      <c r="F9" s="85">
        <f>IFERROR(INDEX(기초자료입력!$C$44:$C$53,I3),"")</f>
        <v>0</v>
      </c>
      <c r="G9" s="26"/>
    </row>
    <row r="10" spans="1:9" ht="22.05" customHeight="1" x14ac:dyDescent="0.4">
      <c r="B10" s="86"/>
      <c r="C10" s="69"/>
      <c r="D10" s="29" t="s">
        <v>312</v>
      </c>
      <c r="E10" s="25">
        <v>8</v>
      </c>
      <c r="F10" s="85"/>
      <c r="G10" s="26"/>
    </row>
    <row r="11" spans="1:9" ht="22.05" customHeight="1" x14ac:dyDescent="0.4">
      <c r="B11" s="86"/>
      <c r="C11" s="69"/>
      <c r="D11" s="29" t="s">
        <v>313</v>
      </c>
      <c r="E11" s="25">
        <v>6</v>
      </c>
      <c r="F11" s="85"/>
      <c r="G11" s="26"/>
    </row>
    <row r="12" spans="1:9" ht="22.05" customHeight="1" x14ac:dyDescent="0.4">
      <c r="B12" s="86"/>
      <c r="C12" s="69"/>
      <c r="D12" s="29" t="s">
        <v>314</v>
      </c>
      <c r="E12" s="25">
        <v>4</v>
      </c>
      <c r="F12" s="85"/>
      <c r="G12" s="26"/>
    </row>
    <row r="13" spans="1:9" ht="22.05" customHeight="1" x14ac:dyDescent="0.4">
      <c r="B13" s="86"/>
      <c r="C13" s="69" t="s">
        <v>315</v>
      </c>
      <c r="D13" s="29" t="s">
        <v>316</v>
      </c>
      <c r="E13" s="25">
        <v>10</v>
      </c>
      <c r="F13" s="85">
        <f>IFERROR(INDEX(기초자료입력!$D$44:$D$53,I3),"")</f>
        <v>0</v>
      </c>
      <c r="G13" s="26"/>
    </row>
    <row r="14" spans="1:9" ht="22.05" customHeight="1" x14ac:dyDescent="0.4">
      <c r="B14" s="86"/>
      <c r="C14" s="69"/>
      <c r="D14" s="29" t="s">
        <v>317</v>
      </c>
      <c r="E14" s="25">
        <v>8</v>
      </c>
      <c r="F14" s="85"/>
      <c r="G14" s="26"/>
    </row>
    <row r="15" spans="1:9" ht="22.05" customHeight="1" x14ac:dyDescent="0.4">
      <c r="B15" s="86"/>
      <c r="C15" s="69"/>
      <c r="D15" s="29" t="s">
        <v>318</v>
      </c>
      <c r="E15" s="25">
        <v>5</v>
      </c>
      <c r="F15" s="85"/>
      <c r="G15" s="26"/>
    </row>
    <row r="16" spans="1:9" ht="22.05" customHeight="1" x14ac:dyDescent="0.4">
      <c r="B16" s="86"/>
      <c r="C16" s="69" t="s">
        <v>319</v>
      </c>
      <c r="D16" s="29" t="s">
        <v>320</v>
      </c>
      <c r="E16" s="25">
        <v>15</v>
      </c>
      <c r="F16" s="85">
        <f>IFERROR(INDEX(기초자료입력!$E$44:$E$53,I3),"")</f>
        <v>0</v>
      </c>
      <c r="G16" s="26"/>
    </row>
    <row r="17" spans="2:7" ht="22.05" customHeight="1" x14ac:dyDescent="0.4">
      <c r="B17" s="86"/>
      <c r="C17" s="69"/>
      <c r="D17" s="29" t="s">
        <v>321</v>
      </c>
      <c r="E17" s="25">
        <v>12</v>
      </c>
      <c r="F17" s="85"/>
      <c r="G17" s="26"/>
    </row>
    <row r="18" spans="2:7" ht="22.05" customHeight="1" x14ac:dyDescent="0.4">
      <c r="B18" s="86"/>
      <c r="C18" s="69"/>
      <c r="D18" s="29" t="s">
        <v>322</v>
      </c>
      <c r="E18" s="25">
        <v>9</v>
      </c>
      <c r="F18" s="85"/>
      <c r="G18" s="26"/>
    </row>
    <row r="19" spans="2:7" ht="22.05" customHeight="1" x14ac:dyDescent="0.4">
      <c r="B19" s="86"/>
      <c r="C19" s="69"/>
      <c r="D19" s="29" t="s">
        <v>323</v>
      </c>
      <c r="E19" s="25">
        <v>5</v>
      </c>
      <c r="F19" s="85"/>
      <c r="G19" s="26"/>
    </row>
    <row r="20" spans="2:7" ht="22.05" customHeight="1" x14ac:dyDescent="0.4">
      <c r="B20" s="86"/>
      <c r="C20" s="69" t="s">
        <v>324</v>
      </c>
      <c r="D20" s="29" t="s">
        <v>325</v>
      </c>
      <c r="E20" s="25">
        <v>15</v>
      </c>
      <c r="F20" s="85">
        <f>IFERROR(INDEX(기초자료입력!$F$44:$F$53,I3),"")</f>
        <v>0</v>
      </c>
      <c r="G20" s="26"/>
    </row>
    <row r="21" spans="2:7" ht="22.05" customHeight="1" x14ac:dyDescent="0.4">
      <c r="B21" s="86"/>
      <c r="C21" s="69"/>
      <c r="D21" s="29" t="s">
        <v>326</v>
      </c>
      <c r="E21" s="25">
        <v>0</v>
      </c>
      <c r="F21" s="85"/>
      <c r="G21" s="26"/>
    </row>
    <row r="22" spans="2:7" x14ac:dyDescent="0.4">
      <c r="B22" s="67" t="s">
        <v>261</v>
      </c>
      <c r="C22" s="89"/>
      <c r="D22" s="89" t="s">
        <v>327</v>
      </c>
      <c r="E22" s="67"/>
      <c r="F22" s="28">
        <f>IF(OR(F9="",F13="",F16="",F20=""),"",F9+F13+F16+F20)</f>
        <v>0</v>
      </c>
      <c r="G22" s="26"/>
    </row>
    <row r="23" spans="2:7" x14ac:dyDescent="0.4">
      <c r="B23" s="34"/>
      <c r="C23" s="34"/>
      <c r="D23" s="34"/>
      <c r="E23" s="34"/>
      <c r="F23" s="34"/>
      <c r="G23" s="34"/>
    </row>
    <row r="24" spans="2:7" ht="30" customHeight="1" x14ac:dyDescent="0.4">
      <c r="B24" s="87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24" s="87"/>
      <c r="D24" s="87"/>
      <c r="E24" s="87"/>
      <c r="F24" s="87"/>
      <c r="G24" s="87"/>
    </row>
    <row r="25" spans="2:7" x14ac:dyDescent="0.4">
      <c r="B25" s="91" t="s">
        <v>286</v>
      </c>
      <c r="C25" s="91"/>
      <c r="D25" s="91"/>
      <c r="E25" s="91"/>
      <c r="F25" s="91"/>
      <c r="G25" s="91"/>
    </row>
    <row r="26" spans="2:7" x14ac:dyDescent="0.4">
      <c r="B26" s="91" t="s">
        <v>328</v>
      </c>
      <c r="C26" s="91"/>
      <c r="D26" s="91"/>
      <c r="E26" s="91"/>
      <c r="F26" s="91"/>
      <c r="G26" s="91"/>
    </row>
  </sheetData>
  <mergeCells count="17"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  <mergeCell ref="B26:G26"/>
    <mergeCell ref="C20:C21"/>
    <mergeCell ref="F20:F21"/>
    <mergeCell ref="B22:C22"/>
    <mergeCell ref="D22:E22"/>
    <mergeCell ref="B24:G24"/>
    <mergeCell ref="B25:G25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FC5ED-B94D-4750-850D-6540C7CE93F4}">
  <sheetPr codeName="Sheet17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288</v>
      </c>
    </row>
    <row r="3" spans="1:7" x14ac:dyDescent="0.4">
      <c r="B3" s="90" t="s">
        <v>289</v>
      </c>
      <c r="C3" s="91"/>
      <c r="D3" s="91"/>
      <c r="E3" s="91"/>
      <c r="F3" s="91"/>
      <c r="G3" s="91"/>
    </row>
    <row r="4" spans="1:7" x14ac:dyDescent="0.4">
      <c r="B4" s="91" t="s">
        <v>290</v>
      </c>
      <c r="C4" s="91"/>
      <c r="D4" s="91"/>
      <c r="E4" s="91"/>
      <c r="F4" s="91"/>
      <c r="G4" s="91"/>
    </row>
    <row r="5" spans="1:7" x14ac:dyDescent="0.4">
      <c r="B5" s="25" t="s">
        <v>87</v>
      </c>
      <c r="C5" s="26" t="str">
        <f>IF(기초자료입력!C4&lt;&gt;"",기초자료입력!C4,"")</f>
        <v/>
      </c>
      <c r="D5" s="26" t="s">
        <v>88</v>
      </c>
      <c r="E5" s="26" t="str">
        <f>IF(기초자료입력!C5&lt;&gt;"",기초자료입력!C5,"")</f>
        <v/>
      </c>
      <c r="F5" s="26" t="s">
        <v>291</v>
      </c>
      <c r="G5" s="25" t="str">
        <f>IF(COUNTA(기초자료입력!B72:B81)&gt;0,기초자료입력!D82,"")</f>
        <v/>
      </c>
    </row>
    <row r="6" spans="1:7" x14ac:dyDescent="0.4">
      <c r="B6" s="95" t="str">
        <f>IF(기초자료입력!C22&lt;&gt;"",기초자료입력!C22,"제안서 평가항목 및 배점기준")</f>
        <v>제안서 평가항목 및 배점기준</v>
      </c>
      <c r="C6" s="84"/>
      <c r="D6" s="84"/>
      <c r="E6" s="84"/>
      <c r="F6" s="84"/>
      <c r="G6" s="84"/>
    </row>
    <row r="7" spans="1:7" ht="30" customHeight="1" x14ac:dyDescent="0.4">
      <c r="B7" s="87" t="s">
        <v>292</v>
      </c>
      <c r="C7" s="87"/>
      <c r="D7" s="87"/>
      <c r="E7" s="87"/>
      <c r="F7" s="87"/>
      <c r="G7" s="87"/>
    </row>
    <row r="8" spans="1:7" x14ac:dyDescent="0.4">
      <c r="B8" s="27"/>
      <c r="C8" s="27"/>
      <c r="D8" s="27"/>
      <c r="E8" s="27"/>
      <c r="F8" s="27"/>
      <c r="G8" s="27"/>
    </row>
    <row r="9" spans="1:7" x14ac:dyDescent="0.4">
      <c r="B9" s="28" t="s">
        <v>293</v>
      </c>
      <c r="C9" s="28" t="s">
        <v>81</v>
      </c>
      <c r="D9" s="28" t="s">
        <v>294</v>
      </c>
      <c r="E9" s="28" t="s">
        <v>82</v>
      </c>
      <c r="F9" s="28" t="s">
        <v>295</v>
      </c>
      <c r="G9" s="28" t="s">
        <v>282</v>
      </c>
    </row>
    <row r="10" spans="1:7" ht="24" customHeight="1" x14ac:dyDescent="0.4">
      <c r="B10" s="25" t="str">
        <f>IF(기초자료입력!B72&lt;&gt;"","평가","")</f>
        <v/>
      </c>
      <c r="C10" s="29" t="str">
        <f>IF(기초자료입력!B72&lt;&gt;"",기초자료입력!B72,"")</f>
        <v/>
      </c>
      <c r="D10" s="26" t="s">
        <v>296</v>
      </c>
      <c r="E10" s="30" t="str">
        <f>IF(기초자료입력!C72&lt;&gt;"",기초자료입력!C72,"")</f>
        <v/>
      </c>
      <c r="F10" s="30" t="str">
        <f>IF(기초자료입력!D72&lt;&gt;"",기초자료입력!D72,"")</f>
        <v/>
      </c>
      <c r="G10" s="25" t="str">
        <f>IF(AND(기초자료입력!B72&lt;&gt;"",기초자료입력!D72&lt;=기초자료입력!C72),"정상","")</f>
        <v/>
      </c>
    </row>
    <row r="11" spans="1:7" ht="24" customHeight="1" x14ac:dyDescent="0.4">
      <c r="B11" s="25" t="str">
        <f>IF(기초자료입력!B73&lt;&gt;"","평가","")</f>
        <v/>
      </c>
      <c r="C11" s="29" t="str">
        <f>IF(기초자료입력!B73&lt;&gt;"",기초자료입력!B73,"")</f>
        <v/>
      </c>
      <c r="D11" s="26" t="s">
        <v>296</v>
      </c>
      <c r="E11" s="30" t="str">
        <f>IF(기초자료입력!C73&lt;&gt;"",기초자료입력!C73,"")</f>
        <v/>
      </c>
      <c r="F11" s="30" t="str">
        <f>IF(기초자료입력!D73&lt;&gt;"",기초자료입력!D73,"")</f>
        <v/>
      </c>
      <c r="G11" s="25" t="str">
        <f>IF(AND(기초자료입력!B73&lt;&gt;"",기초자료입력!D73&lt;=기초자료입력!C73),"정상","")</f>
        <v/>
      </c>
    </row>
    <row r="12" spans="1:7" ht="24" customHeight="1" x14ac:dyDescent="0.4">
      <c r="B12" s="25" t="str">
        <f>IF(기초자료입력!B74&lt;&gt;"","평가","")</f>
        <v/>
      </c>
      <c r="C12" s="29" t="str">
        <f>IF(기초자료입력!B74&lt;&gt;"",기초자료입력!B74,"")</f>
        <v/>
      </c>
      <c r="D12" s="26" t="s">
        <v>296</v>
      </c>
      <c r="E12" s="30" t="str">
        <f>IF(기초자료입력!C74&lt;&gt;"",기초자료입력!C74,"")</f>
        <v/>
      </c>
      <c r="F12" s="30" t="str">
        <f>IF(기초자료입력!D74&lt;&gt;"",기초자료입력!D74,"")</f>
        <v/>
      </c>
      <c r="G12" s="25" t="str">
        <f>IF(AND(기초자료입력!B74&lt;&gt;"",기초자료입력!D74&lt;=기초자료입력!C74),"정상","")</f>
        <v/>
      </c>
    </row>
    <row r="13" spans="1:7" ht="24" customHeight="1" x14ac:dyDescent="0.4">
      <c r="B13" s="25" t="str">
        <f>IF(기초자료입력!B75&lt;&gt;"","평가","")</f>
        <v/>
      </c>
      <c r="C13" s="29" t="str">
        <f>IF(기초자료입력!B75&lt;&gt;"",기초자료입력!B75,"")</f>
        <v/>
      </c>
      <c r="D13" s="26" t="s">
        <v>296</v>
      </c>
      <c r="E13" s="30" t="str">
        <f>IF(기초자료입력!C75&lt;&gt;"",기초자료입력!C75,"")</f>
        <v/>
      </c>
      <c r="F13" s="30" t="str">
        <f>IF(기초자료입력!D75&lt;&gt;"",기초자료입력!D75,"")</f>
        <v/>
      </c>
      <c r="G13" s="25" t="str">
        <f>IF(AND(기초자료입력!B75&lt;&gt;"",기초자료입력!D75&lt;=기초자료입력!C75),"정상","")</f>
        <v/>
      </c>
    </row>
    <row r="14" spans="1:7" ht="24" customHeight="1" x14ac:dyDescent="0.4">
      <c r="B14" s="25" t="str">
        <f>IF(기초자료입력!B76&lt;&gt;"","평가","")</f>
        <v/>
      </c>
      <c r="C14" s="29" t="str">
        <f>IF(기초자료입력!B76&lt;&gt;"",기초자료입력!B76,"")</f>
        <v/>
      </c>
      <c r="D14" s="26" t="s">
        <v>296</v>
      </c>
      <c r="E14" s="30" t="str">
        <f>IF(기초자료입력!C76&lt;&gt;"",기초자료입력!C76,"")</f>
        <v/>
      </c>
      <c r="F14" s="30" t="str">
        <f>IF(기초자료입력!D76&lt;&gt;"",기초자료입력!D76,"")</f>
        <v/>
      </c>
      <c r="G14" s="25" t="str">
        <f>IF(AND(기초자료입력!B76&lt;&gt;"",기초자료입력!D76&lt;=기초자료입력!C76),"정상","")</f>
        <v/>
      </c>
    </row>
    <row r="15" spans="1:7" ht="24" customHeight="1" x14ac:dyDescent="0.4">
      <c r="B15" s="25" t="str">
        <f>IF(기초자료입력!B77&lt;&gt;"","평가","")</f>
        <v/>
      </c>
      <c r="C15" s="29" t="str">
        <f>IF(기초자료입력!B77&lt;&gt;"",기초자료입력!B77,"")</f>
        <v/>
      </c>
      <c r="D15" s="26" t="s">
        <v>296</v>
      </c>
      <c r="E15" s="30" t="str">
        <f>IF(기초자료입력!C77&lt;&gt;"",기초자료입력!C77,"")</f>
        <v/>
      </c>
      <c r="F15" s="30" t="str">
        <f>IF(기초자료입력!D77&lt;&gt;"",기초자료입력!D77,"")</f>
        <v/>
      </c>
      <c r="G15" s="25" t="str">
        <f>IF(AND(기초자료입력!B77&lt;&gt;"",기초자료입력!D77&lt;=기초자료입력!C77),"정상","")</f>
        <v/>
      </c>
    </row>
    <row r="16" spans="1:7" ht="24" customHeight="1" x14ac:dyDescent="0.4">
      <c r="B16" s="25" t="str">
        <f>IF(기초자료입력!B78&lt;&gt;"","평가","")</f>
        <v/>
      </c>
      <c r="C16" s="29" t="str">
        <f>IF(기초자료입력!B78&lt;&gt;"",기초자료입력!B78,"")</f>
        <v/>
      </c>
      <c r="D16" s="26" t="s">
        <v>296</v>
      </c>
      <c r="E16" s="30" t="str">
        <f>IF(기초자료입력!C78&lt;&gt;"",기초자료입력!C78,"")</f>
        <v/>
      </c>
      <c r="F16" s="30" t="str">
        <f>IF(기초자료입력!D78&lt;&gt;"",기초자료입력!D78,"")</f>
        <v/>
      </c>
      <c r="G16" s="25" t="str">
        <f>IF(AND(기초자료입력!B78&lt;&gt;"",기초자료입력!D78&lt;=기초자료입력!C78),"정상","")</f>
        <v/>
      </c>
    </row>
    <row r="17" spans="2:7" ht="24" customHeight="1" x14ac:dyDescent="0.4">
      <c r="B17" s="25" t="str">
        <f>IF(기초자료입력!B79&lt;&gt;"","평가","")</f>
        <v/>
      </c>
      <c r="C17" s="29" t="str">
        <f>IF(기초자료입력!B79&lt;&gt;"",기초자료입력!B79,"")</f>
        <v/>
      </c>
      <c r="D17" s="26" t="s">
        <v>296</v>
      </c>
      <c r="E17" s="30" t="str">
        <f>IF(기초자료입력!C79&lt;&gt;"",기초자료입력!C79,"")</f>
        <v/>
      </c>
      <c r="F17" s="30" t="str">
        <f>IF(기초자료입력!D79&lt;&gt;"",기초자료입력!D79,"")</f>
        <v/>
      </c>
      <c r="G17" s="25" t="str">
        <f>IF(AND(기초자료입력!B79&lt;&gt;"",기초자료입력!D79&lt;=기초자료입력!C79),"정상","")</f>
        <v/>
      </c>
    </row>
    <row r="18" spans="2:7" ht="24" customHeight="1" x14ac:dyDescent="0.4">
      <c r="B18" s="25" t="str">
        <f>IF(기초자료입력!B80&lt;&gt;"","평가","")</f>
        <v/>
      </c>
      <c r="C18" s="29" t="str">
        <f>IF(기초자료입력!B80&lt;&gt;"",기초자료입력!B80,"")</f>
        <v/>
      </c>
      <c r="D18" s="26" t="s">
        <v>296</v>
      </c>
      <c r="E18" s="30" t="str">
        <f>IF(기초자료입력!C80&lt;&gt;"",기초자료입력!C80,"")</f>
        <v/>
      </c>
      <c r="F18" s="30" t="str">
        <f>IF(기초자료입력!D80&lt;&gt;"",기초자료입력!D80,"")</f>
        <v/>
      </c>
      <c r="G18" s="25" t="str">
        <f>IF(AND(기초자료입력!B80&lt;&gt;"",기초자료입력!D80&lt;=기초자료입력!C80),"정상","")</f>
        <v/>
      </c>
    </row>
    <row r="19" spans="2:7" ht="24" customHeight="1" x14ac:dyDescent="0.4">
      <c r="B19" s="25" t="str">
        <f>IF(기초자료입력!B81&lt;&gt;"","평가","")</f>
        <v/>
      </c>
      <c r="C19" s="29" t="str">
        <f>IF(기초자료입력!B81&lt;&gt;"",기초자료입력!B81,"")</f>
        <v/>
      </c>
      <c r="D19" s="26" t="s">
        <v>296</v>
      </c>
      <c r="E19" s="30" t="str">
        <f>IF(기초자료입력!C81&lt;&gt;"",기초자료입력!C81,"")</f>
        <v/>
      </c>
      <c r="F19" s="30" t="str">
        <f>IF(기초자료입력!D81&lt;&gt;"",기초자료입력!D81,"")</f>
        <v/>
      </c>
      <c r="G19" s="25" t="str">
        <f>IF(AND(기초자료입력!B81&lt;&gt;"",기초자료입력!D81&lt;=기초자료입력!C81),"정상","")</f>
        <v/>
      </c>
    </row>
    <row r="20" spans="2:7" x14ac:dyDescent="0.4">
      <c r="B20" s="67" t="s">
        <v>297</v>
      </c>
      <c r="C20" s="89"/>
      <c r="D20" s="89"/>
      <c r="E20" s="31">
        <f>SUM(E10:E19)</f>
        <v>0</v>
      </c>
      <c r="F20" s="31">
        <f>기초자료입력!D82</f>
        <v>0</v>
      </c>
      <c r="G20" s="28" t="s">
        <v>298</v>
      </c>
    </row>
    <row r="21" spans="2:7" x14ac:dyDescent="0.4">
      <c r="B21" s="27"/>
      <c r="C21" s="27"/>
      <c r="D21" s="27"/>
      <c r="E21" s="27"/>
      <c r="F21" s="27"/>
      <c r="G21" s="27"/>
    </row>
    <row r="22" spans="2:7" x14ac:dyDescent="0.4">
      <c r="B22" s="96" t="s">
        <v>299</v>
      </c>
      <c r="C22" s="87"/>
      <c r="D22" s="87"/>
      <c r="E22" s="87"/>
      <c r="F22" s="87"/>
      <c r="G22" s="87"/>
    </row>
    <row r="23" spans="2:7" ht="30" customHeight="1" x14ac:dyDescent="0.4">
      <c r="B23" s="87" t="s">
        <v>300</v>
      </c>
      <c r="C23" s="87"/>
      <c r="D23" s="87"/>
      <c r="E23" s="87"/>
      <c r="F23" s="87"/>
      <c r="G23" s="87"/>
    </row>
    <row r="24" spans="2:7" ht="30" customHeight="1" x14ac:dyDescent="0.4">
      <c r="B24" s="87" t="s">
        <v>301</v>
      </c>
      <c r="C24" s="87"/>
      <c r="D24" s="87"/>
      <c r="E24" s="87"/>
      <c r="F24" s="87"/>
      <c r="G24" s="87"/>
    </row>
    <row r="25" spans="2:7" ht="30" customHeight="1" x14ac:dyDescent="0.4">
      <c r="B25" s="87" t="s">
        <v>302</v>
      </c>
      <c r="C25" s="87"/>
      <c r="D25" s="87"/>
      <c r="E25" s="87"/>
      <c r="F25" s="87"/>
      <c r="G25" s="87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03DB1-DD6D-4654-81AA-CA27C8161B0A}">
  <sheetPr codeName="Sheet18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262</v>
      </c>
    </row>
    <row r="3" spans="1:7" ht="30" customHeight="1" x14ac:dyDescent="0.4">
      <c r="B3" s="99" t="s">
        <v>278</v>
      </c>
      <c r="C3" s="100"/>
      <c r="D3" s="100"/>
      <c r="E3" s="100"/>
      <c r="F3" s="100"/>
      <c r="G3" s="100"/>
    </row>
    <row r="4" spans="1:7" x14ac:dyDescent="0.4">
      <c r="B4" s="100" t="s">
        <v>279</v>
      </c>
      <c r="C4" s="100"/>
      <c r="D4" s="100"/>
      <c r="E4" s="100"/>
      <c r="F4" s="100"/>
      <c r="G4" s="100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87</v>
      </c>
      <c r="C6" s="22" t="str">
        <f>IF(기초자료입력!C4&lt;&gt;"",기초자료입력!C4,"")</f>
        <v/>
      </c>
      <c r="D6" s="22" t="s">
        <v>88</v>
      </c>
      <c r="E6" s="22" t="str">
        <f>IF(기초자료입력!C5&lt;&gt;"",기초자료입력!C5,"")</f>
        <v/>
      </c>
      <c r="F6" s="22" t="s">
        <v>91</v>
      </c>
      <c r="G6" s="22" t="str">
        <f>IF(기초자료입력!C12&lt;&gt;"",기초자료입력!C12,"")</f>
        <v/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79" t="s">
        <v>280</v>
      </c>
      <c r="C8" s="79"/>
      <c r="D8" s="24" t="s">
        <v>55</v>
      </c>
      <c r="E8" s="24" t="s">
        <v>281</v>
      </c>
      <c r="F8" s="79" t="s">
        <v>282</v>
      </c>
      <c r="G8" s="79"/>
    </row>
    <row r="9" spans="1:7" x14ac:dyDescent="0.4">
      <c r="B9" s="101" t="s">
        <v>283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74" t="s">
        <v>285</v>
      </c>
      <c r="G9" s="74"/>
    </row>
    <row r="10" spans="1:7" x14ac:dyDescent="0.4">
      <c r="B10" s="101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74"/>
      <c r="G10" s="74"/>
    </row>
    <row r="11" spans="1:7" x14ac:dyDescent="0.4">
      <c r="B11" s="101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74"/>
      <c r="G11" s="74"/>
    </row>
    <row r="12" spans="1:7" x14ac:dyDescent="0.4">
      <c r="B12" s="101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74"/>
      <c r="G12" s="74"/>
    </row>
    <row r="13" spans="1:7" x14ac:dyDescent="0.4">
      <c r="B13" s="101" t="s">
        <v>284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74"/>
      <c r="G13" s="74"/>
    </row>
    <row r="14" spans="1:7" x14ac:dyDescent="0.4">
      <c r="B14" s="101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74"/>
      <c r="G14" s="74"/>
    </row>
    <row r="15" spans="1:7" x14ac:dyDescent="0.4">
      <c r="B15" s="97" t="s">
        <v>261</v>
      </c>
      <c r="C15" s="97"/>
      <c r="D15" s="23">
        <f>SUM(D9:D14)</f>
        <v>6</v>
      </c>
      <c r="E15" s="23" t="str">
        <f>"100%"</f>
        <v>100%</v>
      </c>
      <c r="F15" s="97"/>
      <c r="G15" s="97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98" t="s">
        <v>286</v>
      </c>
      <c r="C17" s="98"/>
      <c r="D17" s="98"/>
      <c r="E17" s="98"/>
      <c r="F17" s="98"/>
      <c r="G17" s="98"/>
    </row>
    <row r="18" spans="2:7" x14ac:dyDescent="0.4">
      <c r="B18" s="98" t="s">
        <v>287</v>
      </c>
      <c r="C18" s="98"/>
      <c r="D18" s="98"/>
      <c r="E18" s="98"/>
      <c r="F18" s="98"/>
      <c r="G18" s="98"/>
    </row>
    <row r="19" spans="2:7" x14ac:dyDescent="0.4">
      <c r="B19" s="98" t="str">
        <f>IF(기초자료입력!C4&lt;&gt;"",기초자료입력!C4,"○○○○학교")&amp;"장 귀하"</f>
        <v>○○○○학교장 귀하</v>
      </c>
      <c r="C19" s="98"/>
      <c r="D19" s="98"/>
      <c r="E19" s="98"/>
      <c r="F19" s="98"/>
      <c r="G19" s="98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8649C-9473-4AC0-A4F6-DE261E5D8B46}">
  <sheetPr codeName="Sheet19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262</v>
      </c>
    </row>
    <row r="3" spans="1:8" ht="30" customHeight="1" x14ac:dyDescent="0.4">
      <c r="B3" s="102" t="s">
        <v>254</v>
      </c>
      <c r="C3" s="71"/>
      <c r="D3" s="71"/>
      <c r="E3" s="71"/>
      <c r="F3" s="71"/>
      <c r="G3" s="71"/>
      <c r="H3" s="71"/>
    </row>
    <row r="5" spans="1:8" x14ac:dyDescent="0.4">
      <c r="B5" s="23" t="s">
        <v>25</v>
      </c>
      <c r="C5" s="22" t="str">
        <f>IF(기초자료입력!C9&lt;&gt;"",기초자료입력!C9,"")</f>
        <v/>
      </c>
      <c r="D5" s="22"/>
      <c r="E5" s="23" t="s">
        <v>255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3" t="s">
        <v>256</v>
      </c>
      <c r="C7" s="101" t="str">
        <f>IF(기초자료입력!C21&lt;&gt;"",기초자료입력!C21,"내부결재")</f>
        <v>내부결재</v>
      </c>
      <c r="D7" s="101"/>
      <c r="E7" s="101"/>
      <c r="F7" s="101"/>
      <c r="G7" s="101"/>
      <c r="H7" s="101"/>
    </row>
    <row r="8" spans="1:8" x14ac:dyDescent="0.4">
      <c r="B8" s="23" t="s">
        <v>263</v>
      </c>
      <c r="C8" s="101"/>
      <c r="D8" s="101"/>
      <c r="E8" s="101"/>
      <c r="F8" s="101"/>
      <c r="G8" s="101"/>
      <c r="H8" s="101"/>
    </row>
    <row r="9" spans="1:8" x14ac:dyDescent="0.4">
      <c r="B9" s="23" t="s">
        <v>257</v>
      </c>
      <c r="C9" s="97" t="str">
        <f>IF(기초자료입력!C22&lt;&gt;"",기초자료입력!C22,기초자료입력!C5&amp;"학년도 "&amp;기초자료입력!C12&amp;" 구매 요청")</f>
        <v>학년도  구매 요청</v>
      </c>
      <c r="D9" s="101"/>
      <c r="E9" s="101"/>
      <c r="F9" s="101"/>
      <c r="G9" s="101"/>
      <c r="H9" s="101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3" t="s">
        <v>264</v>
      </c>
      <c r="C11" s="101" t="str">
        <f>IF(기초자료입력!C23&lt;&gt;"",기초자료입력!C23,"")</f>
        <v/>
      </c>
      <c r="D11" s="101"/>
      <c r="E11" s="101"/>
      <c r="F11" s="101"/>
      <c r="G11" s="101"/>
      <c r="H11" s="101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74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74"/>
      <c r="D13" s="74"/>
      <c r="E13" s="74"/>
      <c r="F13" s="74"/>
      <c r="G13" s="74"/>
      <c r="H13" s="74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3" t="s">
        <v>265</v>
      </c>
      <c r="C15" s="22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2"/>
      <c r="E15" s="22"/>
      <c r="F15" s="22"/>
      <c r="G15" s="22"/>
      <c r="H15" s="22"/>
    </row>
    <row r="16" spans="1:8" x14ac:dyDescent="0.4">
      <c r="B16" s="23" t="s">
        <v>266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3" t="s">
        <v>267</v>
      </c>
      <c r="C17" s="22" t="s">
        <v>269</v>
      </c>
      <c r="D17" s="22"/>
      <c r="E17" s="22"/>
      <c r="F17" s="22"/>
      <c r="G17" s="22"/>
      <c r="H17" s="22"/>
    </row>
    <row r="18" spans="2:8" x14ac:dyDescent="0.4">
      <c r="B18" s="23" t="s">
        <v>268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3" t="s">
        <v>258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259</v>
      </c>
      <c r="G23" s="22" t="s">
        <v>270</v>
      </c>
      <c r="H23" s="22" t="s">
        <v>260</v>
      </c>
    </row>
    <row r="24" spans="2:8" x14ac:dyDescent="0.4">
      <c r="B24" s="23" t="s">
        <v>271</v>
      </c>
      <c r="C24" s="101" t="str">
        <f>IF(기초자료입력!C9&lt;&gt;"",기초자료입력!C9,"")</f>
        <v/>
      </c>
      <c r="D24" s="101"/>
      <c r="E24" s="101"/>
      <c r="F24" s="23" t="s">
        <v>272</v>
      </c>
      <c r="G24" s="101"/>
      <c r="H24" s="101"/>
    </row>
    <row r="25" spans="2:8" x14ac:dyDescent="0.4">
      <c r="B25" s="23" t="s">
        <v>273</v>
      </c>
      <c r="C25" s="22"/>
      <c r="D25" s="23" t="s">
        <v>274</v>
      </c>
      <c r="E25" s="101"/>
      <c r="F25" s="101"/>
      <c r="G25" s="101"/>
      <c r="H25" s="101"/>
    </row>
    <row r="26" spans="2:8" x14ac:dyDescent="0.4">
      <c r="B26" s="23" t="s">
        <v>275</v>
      </c>
      <c r="C26" s="22"/>
      <c r="D26" s="23" t="s">
        <v>276</v>
      </c>
      <c r="E26" s="22"/>
      <c r="F26" s="23" t="s">
        <v>277</v>
      </c>
      <c r="G26" s="101"/>
      <c r="H26" s="101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C19A6-C6CA-4B84-8793-18A8CB5827D7}">
  <sheetPr codeName="Sheet20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118</v>
      </c>
    </row>
    <row r="2" spans="1:6" x14ac:dyDescent="0.4">
      <c r="A2" t="s">
        <v>119</v>
      </c>
    </row>
    <row r="4" spans="1:6" x14ac:dyDescent="0.4">
      <c r="A4" s="17" t="s">
        <v>120</v>
      </c>
      <c r="B4" s="17" t="s">
        <v>121</v>
      </c>
      <c r="C4" s="17" t="s">
        <v>122</v>
      </c>
      <c r="D4" s="17" t="s">
        <v>123</v>
      </c>
      <c r="E4" s="17" t="s">
        <v>124</v>
      </c>
      <c r="F4" s="17" t="s">
        <v>125</v>
      </c>
    </row>
    <row r="5" spans="1:6" x14ac:dyDescent="0.4">
      <c r="A5" s="19" t="b">
        <v>0</v>
      </c>
      <c r="B5" s="18" t="s">
        <v>126</v>
      </c>
      <c r="C5" s="18" t="s">
        <v>127</v>
      </c>
      <c r="D5" s="18" t="s">
        <v>128</v>
      </c>
      <c r="E5" s="18" t="s">
        <v>129</v>
      </c>
      <c r="F5" s="18" t="s">
        <v>130</v>
      </c>
    </row>
    <row r="6" spans="1:6" x14ac:dyDescent="0.4">
      <c r="A6" s="19" t="b">
        <v>0</v>
      </c>
      <c r="B6" s="18" t="s">
        <v>131</v>
      </c>
      <c r="C6" s="18" t="s">
        <v>132</v>
      </c>
      <c r="D6" s="18" t="s">
        <v>128</v>
      </c>
      <c r="E6" s="18" t="s">
        <v>129</v>
      </c>
      <c r="F6" s="18" t="s">
        <v>133</v>
      </c>
    </row>
    <row r="7" spans="1:6" x14ac:dyDescent="0.4">
      <c r="A7" s="19" t="b">
        <v>0</v>
      </c>
      <c r="B7" s="18" t="s">
        <v>134</v>
      </c>
      <c r="C7" s="18" t="s">
        <v>135</v>
      </c>
      <c r="D7" s="18" t="s">
        <v>128</v>
      </c>
      <c r="E7" s="18" t="s">
        <v>136</v>
      </c>
      <c r="F7" s="18"/>
    </row>
    <row r="8" spans="1:6" x14ac:dyDescent="0.4">
      <c r="A8" s="19" t="b">
        <v>0</v>
      </c>
      <c r="B8" s="18" t="s">
        <v>137</v>
      </c>
      <c r="C8" s="18" t="s">
        <v>138</v>
      </c>
      <c r="D8" s="18" t="s">
        <v>128</v>
      </c>
      <c r="E8" s="18" t="s">
        <v>136</v>
      </c>
      <c r="F8" s="18"/>
    </row>
    <row r="9" spans="1:6" x14ac:dyDescent="0.4">
      <c r="A9" s="19" t="b">
        <v>0</v>
      </c>
      <c r="B9" s="18" t="s">
        <v>139</v>
      </c>
      <c r="C9" s="18" t="s">
        <v>140</v>
      </c>
      <c r="D9" s="18" t="s">
        <v>128</v>
      </c>
      <c r="E9" s="18" t="s">
        <v>136</v>
      </c>
      <c r="F9" s="18"/>
    </row>
    <row r="10" spans="1:6" x14ac:dyDescent="0.4">
      <c r="A10" s="19" t="b">
        <v>0</v>
      </c>
      <c r="B10" s="18" t="s">
        <v>141</v>
      </c>
      <c r="C10" s="18" t="s">
        <v>142</v>
      </c>
      <c r="D10" s="18" t="s">
        <v>128</v>
      </c>
      <c r="E10" s="18" t="s">
        <v>136</v>
      </c>
      <c r="F10" s="18"/>
    </row>
    <row r="11" spans="1:6" x14ac:dyDescent="0.4">
      <c r="A11" s="19" t="b">
        <v>0</v>
      </c>
      <c r="B11" s="18" t="s">
        <v>143</v>
      </c>
      <c r="C11" s="18" t="s">
        <v>144</v>
      </c>
      <c r="D11" s="18" t="s">
        <v>145</v>
      </c>
      <c r="E11" s="18" t="s">
        <v>129</v>
      </c>
      <c r="F11" s="18" t="s">
        <v>146</v>
      </c>
    </row>
    <row r="12" spans="1:6" x14ac:dyDescent="0.4">
      <c r="A12" s="19" t="b">
        <v>0</v>
      </c>
      <c r="B12" s="18" t="s">
        <v>147</v>
      </c>
      <c r="C12" s="18" t="s">
        <v>148</v>
      </c>
      <c r="D12" s="18" t="s">
        <v>145</v>
      </c>
      <c r="E12" s="18" t="s">
        <v>136</v>
      </c>
      <c r="F12" s="18"/>
    </row>
    <row r="13" spans="1:6" x14ac:dyDescent="0.4">
      <c r="A13" s="19" t="b">
        <v>0</v>
      </c>
      <c r="B13" s="18" t="s">
        <v>149</v>
      </c>
      <c r="C13" s="18" t="s">
        <v>150</v>
      </c>
      <c r="D13" s="18" t="s">
        <v>145</v>
      </c>
      <c r="E13" s="18" t="s">
        <v>136</v>
      </c>
      <c r="F13" s="18"/>
    </row>
    <row r="14" spans="1:6" x14ac:dyDescent="0.4">
      <c r="A14" s="19" t="b">
        <v>0</v>
      </c>
      <c r="B14" s="18" t="s">
        <v>151</v>
      </c>
      <c r="C14" s="18" t="s">
        <v>152</v>
      </c>
      <c r="D14" s="18" t="s">
        <v>145</v>
      </c>
      <c r="E14" s="18" t="s">
        <v>136</v>
      </c>
      <c r="F14" s="18"/>
    </row>
    <row r="15" spans="1:6" x14ac:dyDescent="0.4">
      <c r="A15" s="19" t="b">
        <v>0</v>
      </c>
      <c r="B15" s="18" t="s">
        <v>153</v>
      </c>
      <c r="C15" s="18" t="s">
        <v>154</v>
      </c>
      <c r="D15" s="18" t="s">
        <v>145</v>
      </c>
      <c r="E15" s="18" t="s">
        <v>136</v>
      </c>
      <c r="F15" s="18"/>
    </row>
    <row r="16" spans="1:6" x14ac:dyDescent="0.4">
      <c r="A16" s="19" t="b">
        <v>0</v>
      </c>
      <c r="B16" s="18" t="s">
        <v>155</v>
      </c>
      <c r="C16" s="18" t="s">
        <v>156</v>
      </c>
      <c r="D16" s="18" t="s">
        <v>145</v>
      </c>
      <c r="E16" s="18" t="s">
        <v>136</v>
      </c>
      <c r="F16" s="18"/>
    </row>
    <row r="17" spans="1:6" x14ac:dyDescent="0.4">
      <c r="A17" s="19" t="b">
        <v>0</v>
      </c>
      <c r="B17" s="18" t="s">
        <v>157</v>
      </c>
      <c r="C17" s="18" t="s">
        <v>158</v>
      </c>
      <c r="D17" s="18" t="s">
        <v>145</v>
      </c>
      <c r="E17" s="18" t="s">
        <v>159</v>
      </c>
      <c r="F17" s="18" t="s">
        <v>160</v>
      </c>
    </row>
    <row r="18" spans="1:6" x14ac:dyDescent="0.4">
      <c r="A18" s="19" t="b">
        <v>0</v>
      </c>
      <c r="B18" s="18" t="s">
        <v>161</v>
      </c>
      <c r="C18" s="18" t="s">
        <v>162</v>
      </c>
      <c r="D18" s="18" t="s">
        <v>163</v>
      </c>
      <c r="E18" s="18" t="s">
        <v>129</v>
      </c>
      <c r="F18" s="18" t="s">
        <v>164</v>
      </c>
    </row>
    <row r="19" spans="1:6" x14ac:dyDescent="0.4">
      <c r="A19" s="19" t="b">
        <v>0</v>
      </c>
      <c r="B19" s="18" t="s">
        <v>165</v>
      </c>
      <c r="C19" s="18" t="s">
        <v>166</v>
      </c>
      <c r="D19" s="18" t="s">
        <v>163</v>
      </c>
      <c r="E19" s="18" t="s">
        <v>129</v>
      </c>
      <c r="F19" s="18" t="s">
        <v>167</v>
      </c>
    </row>
    <row r="20" spans="1:6" x14ac:dyDescent="0.4">
      <c r="A20" s="19" t="b">
        <v>0</v>
      </c>
      <c r="B20" s="18" t="s">
        <v>168</v>
      </c>
      <c r="C20" s="18" t="s">
        <v>169</v>
      </c>
      <c r="D20" s="18" t="s">
        <v>163</v>
      </c>
      <c r="E20" s="18" t="s">
        <v>129</v>
      </c>
      <c r="F20" s="18" t="s">
        <v>170</v>
      </c>
    </row>
    <row r="21" spans="1:6" x14ac:dyDescent="0.4">
      <c r="A21" s="19" t="b">
        <v>0</v>
      </c>
      <c r="B21" s="18" t="s">
        <v>171</v>
      </c>
      <c r="C21" s="18" t="s">
        <v>172</v>
      </c>
      <c r="D21" s="18" t="s">
        <v>145</v>
      </c>
      <c r="E21" s="18" t="s">
        <v>129</v>
      </c>
      <c r="F21" s="18" t="s">
        <v>173</v>
      </c>
    </row>
    <row r="22" spans="1:6" x14ac:dyDescent="0.4">
      <c r="A22" s="19" t="b">
        <v>0</v>
      </c>
      <c r="B22" s="18" t="s">
        <v>174</v>
      </c>
      <c r="C22" s="18" t="s">
        <v>175</v>
      </c>
      <c r="D22" s="18" t="s">
        <v>145</v>
      </c>
      <c r="E22" s="18" t="s">
        <v>129</v>
      </c>
      <c r="F22" s="18" t="s">
        <v>176</v>
      </c>
    </row>
    <row r="23" spans="1:6" x14ac:dyDescent="0.4">
      <c r="A23" s="19" t="b">
        <v>0</v>
      </c>
      <c r="B23" s="18" t="s">
        <v>177</v>
      </c>
      <c r="C23" s="18" t="s">
        <v>178</v>
      </c>
      <c r="D23" s="18" t="s">
        <v>145</v>
      </c>
      <c r="E23" s="18" t="s">
        <v>129</v>
      </c>
      <c r="F23" s="18" t="s">
        <v>179</v>
      </c>
    </row>
    <row r="24" spans="1:6" x14ac:dyDescent="0.4">
      <c r="A24" s="19" t="b">
        <v>0</v>
      </c>
      <c r="B24" s="18" t="s">
        <v>180</v>
      </c>
      <c r="C24" s="18" t="s">
        <v>181</v>
      </c>
      <c r="D24" s="18" t="s">
        <v>145</v>
      </c>
      <c r="E24" s="18" t="s">
        <v>129</v>
      </c>
      <c r="F24" s="18" t="s">
        <v>182</v>
      </c>
    </row>
    <row r="25" spans="1:6" x14ac:dyDescent="0.4">
      <c r="A25" s="19" t="b">
        <v>0</v>
      </c>
      <c r="B25" s="18" t="s">
        <v>183</v>
      </c>
      <c r="C25" s="18" t="s">
        <v>184</v>
      </c>
      <c r="D25" s="18" t="s">
        <v>145</v>
      </c>
      <c r="E25" s="18" t="s">
        <v>129</v>
      </c>
      <c r="F25" s="18" t="s">
        <v>185</v>
      </c>
    </row>
    <row r="26" spans="1:6" x14ac:dyDescent="0.4">
      <c r="A26" s="19" t="b">
        <v>0</v>
      </c>
      <c r="B26" s="18" t="s">
        <v>186</v>
      </c>
      <c r="C26" s="18" t="s">
        <v>187</v>
      </c>
      <c r="D26" s="18" t="s">
        <v>145</v>
      </c>
      <c r="E26" s="18" t="s">
        <v>129</v>
      </c>
      <c r="F26" s="18" t="s">
        <v>188</v>
      </c>
    </row>
    <row r="27" spans="1:6" x14ac:dyDescent="0.4">
      <c r="A27" s="19" t="b">
        <v>0</v>
      </c>
      <c r="B27" s="18" t="s">
        <v>189</v>
      </c>
      <c r="C27" s="18" t="s">
        <v>190</v>
      </c>
      <c r="D27" s="18" t="s">
        <v>145</v>
      </c>
      <c r="E27" s="18" t="s">
        <v>129</v>
      </c>
      <c r="F27" s="18" t="s">
        <v>191</v>
      </c>
    </row>
    <row r="28" spans="1:6" x14ac:dyDescent="0.4">
      <c r="A28" s="19" t="b">
        <v>0</v>
      </c>
      <c r="B28" s="18" t="s">
        <v>192</v>
      </c>
      <c r="C28" s="18" t="s">
        <v>193</v>
      </c>
      <c r="D28" s="18" t="s">
        <v>145</v>
      </c>
      <c r="E28" s="18" t="s">
        <v>129</v>
      </c>
      <c r="F28" s="18" t="s">
        <v>194</v>
      </c>
    </row>
    <row r="29" spans="1:6" x14ac:dyDescent="0.4">
      <c r="A29" s="19" t="b">
        <v>0</v>
      </c>
      <c r="B29" s="18" t="s">
        <v>195</v>
      </c>
      <c r="C29" s="18" t="s">
        <v>196</v>
      </c>
      <c r="D29" s="18" t="s">
        <v>145</v>
      </c>
      <c r="E29" s="18" t="s">
        <v>129</v>
      </c>
      <c r="F29" s="18" t="s">
        <v>197</v>
      </c>
    </row>
    <row r="30" spans="1:6" x14ac:dyDescent="0.4">
      <c r="A30" s="19" t="b">
        <v>0</v>
      </c>
      <c r="B30" s="18" t="s">
        <v>198</v>
      </c>
      <c r="C30" s="18" t="s">
        <v>199</v>
      </c>
      <c r="D30" s="18" t="s">
        <v>145</v>
      </c>
      <c r="E30" s="18" t="s">
        <v>136</v>
      </c>
      <c r="F30" s="18"/>
    </row>
    <row r="31" spans="1:6" x14ac:dyDescent="0.4">
      <c r="A31" s="19" t="b">
        <v>0</v>
      </c>
      <c r="B31" s="18" t="s">
        <v>200</v>
      </c>
      <c r="C31" s="18" t="s">
        <v>201</v>
      </c>
      <c r="D31" s="18" t="s">
        <v>145</v>
      </c>
      <c r="E31" s="18" t="s">
        <v>136</v>
      </c>
      <c r="F31" s="18"/>
    </row>
    <row r="32" spans="1:6" x14ac:dyDescent="0.4">
      <c r="A32" s="19" t="b">
        <v>0</v>
      </c>
      <c r="B32" s="18" t="s">
        <v>202</v>
      </c>
      <c r="C32" s="18" t="s">
        <v>203</v>
      </c>
      <c r="D32" s="18" t="s">
        <v>145</v>
      </c>
      <c r="E32" s="18" t="s">
        <v>136</v>
      </c>
      <c r="F32" s="18"/>
    </row>
    <row r="33" spans="1:6" x14ac:dyDescent="0.4">
      <c r="A33" s="19" t="b">
        <v>0</v>
      </c>
      <c r="B33" s="18" t="s">
        <v>204</v>
      </c>
      <c r="C33" s="18" t="s">
        <v>205</v>
      </c>
      <c r="D33" s="18" t="s">
        <v>145</v>
      </c>
      <c r="E33" s="18" t="s">
        <v>136</v>
      </c>
      <c r="F33" s="18"/>
    </row>
    <row r="34" spans="1:6" x14ac:dyDescent="0.4">
      <c r="A34" s="19" t="b">
        <v>0</v>
      </c>
      <c r="B34" s="18" t="s">
        <v>206</v>
      </c>
      <c r="C34" s="18" t="s">
        <v>207</v>
      </c>
      <c r="D34" s="18" t="s">
        <v>145</v>
      </c>
      <c r="E34" s="18" t="s">
        <v>136</v>
      </c>
      <c r="F34" s="18"/>
    </row>
    <row r="35" spans="1:6" x14ac:dyDescent="0.4">
      <c r="A35" s="19" t="b">
        <v>0</v>
      </c>
      <c r="B35" s="18" t="s">
        <v>208</v>
      </c>
      <c r="C35" s="18" t="s">
        <v>209</v>
      </c>
      <c r="D35" s="18" t="s">
        <v>145</v>
      </c>
      <c r="E35" s="18" t="s">
        <v>136</v>
      </c>
      <c r="F35" s="18"/>
    </row>
    <row r="36" spans="1:6" x14ac:dyDescent="0.4">
      <c r="A36" s="19" t="b">
        <v>0</v>
      </c>
      <c r="B36" s="18" t="s">
        <v>210</v>
      </c>
      <c r="C36" s="18" t="s">
        <v>211</v>
      </c>
      <c r="D36" s="18" t="s">
        <v>163</v>
      </c>
      <c r="E36" s="18" t="s">
        <v>136</v>
      </c>
      <c r="F36" s="18"/>
    </row>
    <row r="37" spans="1:6" x14ac:dyDescent="0.4">
      <c r="A37" s="19" t="b">
        <v>0</v>
      </c>
      <c r="B37" s="18" t="s">
        <v>212</v>
      </c>
      <c r="C37" s="18" t="s">
        <v>213</v>
      </c>
      <c r="D37" s="18" t="s">
        <v>163</v>
      </c>
      <c r="E37" s="18" t="s">
        <v>136</v>
      </c>
      <c r="F37" s="18"/>
    </row>
    <row r="38" spans="1:6" x14ac:dyDescent="0.4">
      <c r="A38" s="19" t="b">
        <v>0</v>
      </c>
      <c r="B38" s="18" t="s">
        <v>214</v>
      </c>
      <c r="C38" s="18" t="s">
        <v>215</v>
      </c>
      <c r="D38" s="18" t="s">
        <v>163</v>
      </c>
      <c r="E38" s="18" t="s">
        <v>136</v>
      </c>
      <c r="F38" s="18"/>
    </row>
    <row r="39" spans="1:6" x14ac:dyDescent="0.4">
      <c r="A39" s="19" t="b">
        <v>0</v>
      </c>
      <c r="B39" s="18" t="s">
        <v>216</v>
      </c>
      <c r="C39" s="18" t="s">
        <v>217</v>
      </c>
      <c r="D39" s="18" t="s">
        <v>163</v>
      </c>
      <c r="E39" s="18" t="s">
        <v>136</v>
      </c>
      <c r="F39" s="18"/>
    </row>
    <row r="40" spans="1:6" x14ac:dyDescent="0.4">
      <c r="A40" s="19" t="b">
        <v>0</v>
      </c>
      <c r="B40" s="18" t="s">
        <v>218</v>
      </c>
      <c r="C40" s="18" t="s">
        <v>219</v>
      </c>
      <c r="D40" s="18" t="s">
        <v>163</v>
      </c>
      <c r="E40" s="18" t="s">
        <v>136</v>
      </c>
      <c r="F40" s="18"/>
    </row>
    <row r="41" spans="1:6" x14ac:dyDescent="0.4">
      <c r="A41" s="19" t="b">
        <v>0</v>
      </c>
      <c r="B41" s="18" t="s">
        <v>220</v>
      </c>
      <c r="C41" s="18" t="s">
        <v>221</v>
      </c>
      <c r="D41" s="18" t="s">
        <v>163</v>
      </c>
      <c r="E41" s="18" t="s">
        <v>136</v>
      </c>
      <c r="F41" s="18"/>
    </row>
    <row r="42" spans="1:6" x14ac:dyDescent="0.4">
      <c r="A42" s="19" t="b">
        <v>0</v>
      </c>
      <c r="B42" s="18" t="s">
        <v>222</v>
      </c>
      <c r="C42" s="18" t="s">
        <v>223</v>
      </c>
      <c r="D42" s="18" t="s">
        <v>163</v>
      </c>
      <c r="E42" s="18" t="s">
        <v>136</v>
      </c>
      <c r="F42" s="18"/>
    </row>
    <row r="43" spans="1:6" x14ac:dyDescent="0.4">
      <c r="A43" s="19" t="b">
        <v>0</v>
      </c>
      <c r="B43" s="18" t="s">
        <v>224</v>
      </c>
      <c r="C43" s="18" t="s">
        <v>225</v>
      </c>
      <c r="D43" s="18" t="s">
        <v>163</v>
      </c>
      <c r="E43" s="18" t="s">
        <v>136</v>
      </c>
      <c r="F43" s="18"/>
    </row>
    <row r="44" spans="1:6" x14ac:dyDescent="0.4">
      <c r="A44" s="19" t="b">
        <v>0</v>
      </c>
      <c r="B44" s="18" t="s">
        <v>226</v>
      </c>
      <c r="C44" s="18" t="s">
        <v>135</v>
      </c>
      <c r="D44" s="18" t="s">
        <v>163</v>
      </c>
      <c r="E44" s="18" t="s">
        <v>136</v>
      </c>
      <c r="F44" s="18"/>
    </row>
    <row r="45" spans="1:6" x14ac:dyDescent="0.4">
      <c r="A45" s="19" t="b">
        <v>0</v>
      </c>
      <c r="B45" s="18" t="s">
        <v>227</v>
      </c>
      <c r="C45" s="18" t="s">
        <v>228</v>
      </c>
      <c r="D45" s="18" t="s">
        <v>229</v>
      </c>
      <c r="E45" s="18" t="s">
        <v>136</v>
      </c>
      <c r="F45" s="18"/>
    </row>
    <row r="46" spans="1:6" x14ac:dyDescent="0.4">
      <c r="A46" s="19" t="b">
        <v>0</v>
      </c>
      <c r="B46" s="18" t="s">
        <v>230</v>
      </c>
      <c r="C46" s="18" t="s">
        <v>231</v>
      </c>
      <c r="D46" s="18" t="s">
        <v>229</v>
      </c>
      <c r="E46" s="18" t="s">
        <v>136</v>
      </c>
      <c r="F46" s="18"/>
    </row>
    <row r="47" spans="1:6" x14ac:dyDescent="0.4">
      <c r="A47" s="19" t="b">
        <v>0</v>
      </c>
      <c r="B47" s="18" t="s">
        <v>232</v>
      </c>
      <c r="C47" s="18" t="s">
        <v>233</v>
      </c>
      <c r="D47" s="18" t="s">
        <v>229</v>
      </c>
      <c r="E47" s="18" t="s">
        <v>136</v>
      </c>
      <c r="F47" s="18"/>
    </row>
    <row r="48" spans="1:6" x14ac:dyDescent="0.4">
      <c r="A48" s="19" t="b">
        <v>0</v>
      </c>
      <c r="B48" s="18" t="s">
        <v>234</v>
      </c>
      <c r="C48" s="18" t="s">
        <v>235</v>
      </c>
      <c r="D48" s="18" t="s">
        <v>236</v>
      </c>
      <c r="E48" s="18" t="s">
        <v>136</v>
      </c>
      <c r="F48" s="18"/>
    </row>
    <row r="49" spans="1:6" x14ac:dyDescent="0.4">
      <c r="A49" s="19" t="b">
        <v>0</v>
      </c>
      <c r="B49" s="18" t="s">
        <v>237</v>
      </c>
      <c r="C49" s="18" t="s">
        <v>238</v>
      </c>
      <c r="D49" s="18" t="s">
        <v>236</v>
      </c>
      <c r="E49" s="18" t="s">
        <v>136</v>
      </c>
      <c r="F49" s="18"/>
    </row>
    <row r="50" spans="1:6" x14ac:dyDescent="0.4">
      <c r="A50" s="19" t="b">
        <v>0</v>
      </c>
      <c r="B50" s="18" t="s">
        <v>239</v>
      </c>
      <c r="C50" s="18" t="s">
        <v>240</v>
      </c>
      <c r="D50" s="18" t="s">
        <v>236</v>
      </c>
      <c r="E50" s="18" t="s">
        <v>136</v>
      </c>
      <c r="F50" s="18"/>
    </row>
    <row r="51" spans="1:6" x14ac:dyDescent="0.4">
      <c r="A51" s="19" t="b">
        <v>0</v>
      </c>
      <c r="B51" s="18" t="s">
        <v>241</v>
      </c>
      <c r="C51" s="18" t="s">
        <v>242</v>
      </c>
      <c r="D51" s="18" t="s">
        <v>236</v>
      </c>
      <c r="E51" s="18" t="s">
        <v>136</v>
      </c>
      <c r="F51" s="18"/>
    </row>
    <row r="52" spans="1:6" x14ac:dyDescent="0.4">
      <c r="A52" s="19" t="b">
        <v>0</v>
      </c>
      <c r="B52" s="18" t="s">
        <v>243</v>
      </c>
      <c r="C52" s="18" t="s">
        <v>244</v>
      </c>
      <c r="D52" s="18" t="s">
        <v>236</v>
      </c>
      <c r="E52" s="18" t="s">
        <v>136</v>
      </c>
      <c r="F52" s="18"/>
    </row>
    <row r="53" spans="1:6" x14ac:dyDescent="0.4">
      <c r="A53" s="19" t="b">
        <v>0</v>
      </c>
      <c r="B53" s="18" t="s">
        <v>245</v>
      </c>
      <c r="C53" s="18" t="s">
        <v>246</v>
      </c>
      <c r="D53" s="18" t="s">
        <v>247</v>
      </c>
      <c r="E53" s="18" t="s">
        <v>136</v>
      </c>
      <c r="F53" s="18"/>
    </row>
    <row r="54" spans="1:6" x14ac:dyDescent="0.4">
      <c r="A54" s="19" t="b">
        <v>0</v>
      </c>
      <c r="B54" s="18" t="s">
        <v>248</v>
      </c>
      <c r="C54" s="18" t="s">
        <v>249</v>
      </c>
      <c r="D54" s="18" t="s">
        <v>247</v>
      </c>
      <c r="E54" s="18" t="s">
        <v>136</v>
      </c>
      <c r="F54" s="18"/>
    </row>
    <row r="55" spans="1:6" x14ac:dyDescent="0.4">
      <c r="A55" s="19" t="b">
        <v>0</v>
      </c>
      <c r="B55" s="18" t="s">
        <v>250</v>
      </c>
      <c r="C55" s="18" t="s">
        <v>251</v>
      </c>
      <c r="D55" s="18" t="s">
        <v>247</v>
      </c>
      <c r="E55" s="18" t="s">
        <v>136</v>
      </c>
      <c r="F55" s="18"/>
    </row>
    <row r="56" spans="1:6" x14ac:dyDescent="0.4">
      <c r="A56" s="19" t="b">
        <v>0</v>
      </c>
      <c r="B56" s="18" t="s">
        <v>252</v>
      </c>
      <c r="C56" s="18" t="s">
        <v>253</v>
      </c>
      <c r="D56" s="18" t="s">
        <v>247</v>
      </c>
      <c r="E56" s="18" t="s">
        <v>136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026FA-98B8-4490-A031-18D45EC7FAE1}">
  <sheetPr codeName="Sheet21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114</v>
      </c>
      <c r="D1" s="3" t="s">
        <v>115</v>
      </c>
      <c r="E1" s="3" t="s">
        <v>116</v>
      </c>
      <c r="F1" s="3" t="s">
        <v>117</v>
      </c>
    </row>
  </sheetData>
  <sheetProtection sheet="1" objects="1" scenarios="1"/>
  <autoFilter ref="A1:F1" xr:uid="{322026FA-98B8-4490-A031-18D45EC7FAE1}"/>
  <phoneticPr fontId="6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E91BF-C903-4E1D-9A3F-019BC8DF6724}">
  <sheetPr codeName="Sheet22"/>
  <dimension ref="A1:G1"/>
  <sheetViews>
    <sheetView workbookViewId="0"/>
  </sheetViews>
  <sheetFormatPr defaultRowHeight="17.399999999999999" x14ac:dyDescent="0.4"/>
  <sheetData>
    <row r="1" spans="1:7" x14ac:dyDescent="0.4">
      <c r="A1" s="3" t="s">
        <v>99</v>
      </c>
      <c r="B1" s="3" t="s">
        <v>100</v>
      </c>
      <c r="C1" s="3" t="s">
        <v>109</v>
      </c>
      <c r="D1" s="3" t="s">
        <v>110</v>
      </c>
      <c r="E1" s="3" t="s">
        <v>111</v>
      </c>
      <c r="F1" s="3" t="s">
        <v>112</v>
      </c>
      <c r="G1" s="3" t="s">
        <v>113</v>
      </c>
    </row>
  </sheetData>
  <sheetProtection sheet="1" objects="1" scenarios="1"/>
  <autoFilter ref="A1:G1" xr:uid="{33BE91BF-C903-4E1D-9A3F-019BC8DF6724}"/>
  <phoneticPr fontId="6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3F0A3-B130-49AB-A275-6E55C073A851}">
  <sheetPr codeName="Sheet23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105</v>
      </c>
      <c r="D1" s="3" t="s">
        <v>106</v>
      </c>
      <c r="E1" s="3" t="s">
        <v>107</v>
      </c>
      <c r="F1" s="3" t="s">
        <v>108</v>
      </c>
    </row>
  </sheetData>
  <sheetProtection sheet="1" objects="1" scenarios="1"/>
  <autoFilter ref="A1:F1" xr:uid="{F743F0A3-B130-49AB-A275-6E55C073A851}"/>
  <phoneticPr fontId="6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14799-6D3E-446B-81CB-4572B9EF66BB}">
  <sheetPr codeName="Sheet24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99</v>
      </c>
      <c r="B1" s="3" t="s">
        <v>100</v>
      </c>
      <c r="C1" s="3" t="s">
        <v>81</v>
      </c>
      <c r="D1" s="3" t="s">
        <v>82</v>
      </c>
      <c r="E1" s="3" t="s">
        <v>83</v>
      </c>
    </row>
  </sheetData>
  <sheetProtection sheet="1" objects="1" scenarios="1"/>
  <autoFilter ref="A1:E1" xr:uid="{EA914799-6D3E-446B-81CB-4572B9EF66BB}"/>
  <phoneticPr fontId="6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18171-DD41-4D15-9CD9-0FDAA2693F5F}">
  <sheetPr codeName="Sheet25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99</v>
      </c>
      <c r="B1" s="3" t="s">
        <v>100</v>
      </c>
      <c r="C1" s="3" t="s">
        <v>103</v>
      </c>
      <c r="D1" s="3" t="s">
        <v>104</v>
      </c>
    </row>
  </sheetData>
  <sheetProtection sheet="1" objects="1" scenarios="1"/>
  <autoFilter ref="A1:D1" xr:uid="{AB118171-DD41-4D15-9CD9-0FDAA2693F5F}"/>
  <phoneticPr fontId="6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C14A-C6F5-4576-852E-0812E55343A9}">
  <sheetPr codeName="Sheet26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99</v>
      </c>
      <c r="B1" s="3" t="s">
        <v>100</v>
      </c>
      <c r="C1" s="3" t="s">
        <v>60</v>
      </c>
    </row>
  </sheetData>
  <sheetProtection sheet="1" objects="1" scenarios="1"/>
  <autoFilter ref="A1:C1" xr:uid="{3591C14A-C6F5-4576-852E-0812E55343A9}"/>
  <phoneticPr fontId="6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E788B-4A5D-4F1D-9901-C338DFFCBBF7}">
  <sheetPr codeName="Sheet27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54</v>
      </c>
      <c r="D1" s="3" t="s">
        <v>55</v>
      </c>
      <c r="E1" s="3" t="s">
        <v>101</v>
      </c>
      <c r="F1" s="3" t="s">
        <v>102</v>
      </c>
    </row>
  </sheetData>
  <sheetProtection sheet="1" objects="1" scenarios="1"/>
  <autoFilter ref="A1:F1" xr:uid="{886E788B-4A5D-4F1D-9901-C338DFFCBBF7}"/>
  <phoneticPr fontId="6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B80BD-392A-4EFE-840C-7FECB540A7FF}">
  <sheetPr codeName="Sheet28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86</v>
      </c>
      <c r="B1" s="3" t="s">
        <v>87</v>
      </c>
      <c r="C1" s="3" t="s">
        <v>88</v>
      </c>
      <c r="D1" s="3" t="s">
        <v>19</v>
      </c>
      <c r="E1" s="3" t="s">
        <v>89</v>
      </c>
      <c r="F1" s="3" t="s">
        <v>90</v>
      </c>
      <c r="G1" s="3" t="s">
        <v>25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95</v>
      </c>
      <c r="Q1" s="3" t="s">
        <v>47</v>
      </c>
      <c r="R1" s="3" t="s">
        <v>96</v>
      </c>
      <c r="S1" s="3" t="s">
        <v>97</v>
      </c>
      <c r="T1" s="3" t="s">
        <v>98</v>
      </c>
    </row>
  </sheetData>
  <sheetProtection sheet="1" objects="1" scenarios="1"/>
  <autoFilter ref="A1:T1" xr:uid="{7D9B80BD-392A-4EFE-840C-7FECB540A7FF}"/>
  <phoneticPr fontId="6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AD95B-A857-4E00-A063-7AE16B0DCDE7}">
  <sheetPr codeName="Sheet29"/>
  <dimension ref="A1:R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  <col min="14" max="15" width="16.69921875" customWidth="1"/>
    <col min="16" max="16" width="15.69921875" customWidth="1"/>
    <col min="17" max="17" width="17.69921875" customWidth="1"/>
    <col min="18" max="18" width="13.69921875" customWidth="1"/>
  </cols>
  <sheetData>
    <row r="1" spans="1:7" ht="20.399999999999999" x14ac:dyDescent="0.4">
      <c r="A1" s="103" t="s">
        <v>13</v>
      </c>
      <c r="B1" s="104"/>
      <c r="C1" s="104"/>
      <c r="D1" s="104"/>
      <c r="E1" s="104"/>
      <c r="F1" s="104"/>
      <c r="G1" s="4" t="s">
        <v>910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/>
    </row>
    <row r="5" spans="1:7" x14ac:dyDescent="0.4">
      <c r="A5" s="5" t="s">
        <v>18</v>
      </c>
      <c r="B5" t="s">
        <v>17</v>
      </c>
      <c r="C5" s="10"/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/>
    </row>
    <row r="9" spans="1:7" x14ac:dyDescent="0.4">
      <c r="A9" s="5" t="s">
        <v>26</v>
      </c>
      <c r="B9" t="s">
        <v>25</v>
      </c>
      <c r="C9" s="9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/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/>
    </row>
    <row r="16" spans="1:7" x14ac:dyDescent="0.4">
      <c r="A16" s="5" t="s">
        <v>37</v>
      </c>
      <c r="B16" t="s">
        <v>36</v>
      </c>
      <c r="C16" s="10"/>
    </row>
    <row r="17" spans="1:6" x14ac:dyDescent="0.4">
      <c r="A17" s="5" t="s">
        <v>39</v>
      </c>
      <c r="B17" t="s">
        <v>38</v>
      </c>
      <c r="C17" s="13"/>
    </row>
    <row r="18" spans="1:6" x14ac:dyDescent="0.4">
      <c r="A18" s="5" t="s">
        <v>41</v>
      </c>
      <c r="B18" t="s">
        <v>40</v>
      </c>
      <c r="C18" s="15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/>
    </row>
    <row r="22" spans="1:6" x14ac:dyDescent="0.4">
      <c r="A22" s="5" t="s">
        <v>46</v>
      </c>
      <c r="B22" t="s">
        <v>45</v>
      </c>
      <c r="C22" s="9"/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105"/>
      <c r="D25" s="106"/>
      <c r="E25" s="106"/>
      <c r="F25" s="106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18" x14ac:dyDescent="0.4">
      <c r="B33" s="9"/>
      <c r="C33" s="9"/>
      <c r="D33" s="14"/>
      <c r="E33" s="7" t="str">
        <f t="shared" si="0"/>
        <v/>
      </c>
    </row>
    <row r="34" spans="2:18" x14ac:dyDescent="0.4">
      <c r="B34" s="9"/>
      <c r="C34" s="9"/>
      <c r="D34" s="14"/>
      <c r="E34" s="7" t="str">
        <f t="shared" si="0"/>
        <v/>
      </c>
    </row>
    <row r="35" spans="2:18" x14ac:dyDescent="0.4">
      <c r="B35" s="9"/>
      <c r="C35" s="9"/>
      <c r="D35" s="14"/>
      <c r="E35" s="7" t="str">
        <f t="shared" si="0"/>
        <v/>
      </c>
    </row>
    <row r="36" spans="2:18" x14ac:dyDescent="0.4">
      <c r="B36" s="9"/>
      <c r="C36" s="9"/>
      <c r="D36" s="14"/>
      <c r="E36" s="7" t="str">
        <f t="shared" si="0"/>
        <v/>
      </c>
    </row>
    <row r="37" spans="2:18" x14ac:dyDescent="0.4">
      <c r="B37" s="9"/>
      <c r="C37" s="9"/>
      <c r="D37" s="14"/>
      <c r="E37" s="7" t="str">
        <f t="shared" si="0"/>
        <v/>
      </c>
    </row>
    <row r="38" spans="2:18" x14ac:dyDescent="0.4">
      <c r="B38" s="9"/>
      <c r="C38" s="9"/>
      <c r="D38" s="14"/>
      <c r="E38" s="7" t="str">
        <f t="shared" si="0"/>
        <v/>
      </c>
    </row>
    <row r="39" spans="2:18" x14ac:dyDescent="0.4">
      <c r="B39" s="3" t="s">
        <v>58</v>
      </c>
      <c r="E39" s="8">
        <f>SUM(E29:E38)</f>
        <v>0</v>
      </c>
    </row>
    <row r="42" spans="2:18" x14ac:dyDescent="0.4">
      <c r="B42" s="3" t="s">
        <v>59</v>
      </c>
    </row>
    <row r="43" spans="2:18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  <c r="H43" s="3" t="s">
        <v>66</v>
      </c>
      <c r="I43" s="3" t="s">
        <v>67</v>
      </c>
      <c r="J43" s="3" t="s">
        <v>68</v>
      </c>
      <c r="K43" s="3" t="s">
        <v>69</v>
      </c>
      <c r="L43" s="3" t="s">
        <v>70</v>
      </c>
      <c r="M43" s="3" t="s">
        <v>71</v>
      </c>
      <c r="N43" s="3" t="s">
        <v>72</v>
      </c>
      <c r="O43" s="3" t="s">
        <v>73</v>
      </c>
      <c r="P43" s="3" t="s">
        <v>74</v>
      </c>
      <c r="Q43" s="3" t="s">
        <v>75</v>
      </c>
      <c r="R43" s="3" t="s">
        <v>76</v>
      </c>
    </row>
    <row r="44" spans="2:18" x14ac:dyDescent="0.4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  <c r="H44" s="10"/>
      <c r="M44" t="str">
        <f t="shared" ref="M44:M53" si="2">IF(B44="","",IF(AND(ISNUMBER(H44),ISNUMBER(I44),ISNUMBER(J44),ISNUMBER(K44),ISNUMBER(L44),H44&gt;=0,H44&lt;=15,I44&gt;=0,I44&lt;=10,J44&gt;=0,J44&lt;=15,K44&gt;=0,K44&lt;=10,L44&gt;=-15,L44&lt;=5),"정상","점수 확인"))</f>
        <v/>
      </c>
      <c r="N44" s="10"/>
      <c r="R44" t="str">
        <f t="shared" ref="R44:R53" si="3">IF(B44="","",IF(AND(ISNUMBER(N44),ISNUMBER(O44),ISNUMBER(P44),ISNUMBER(Q44),N44&gt;=0,N44&lt;=10,O44&gt;=0,O44&lt;=10,P44&gt;=0,P44&lt;=15,Q44&gt;=0,Q44&lt;=15),"정상","점수 확인"))</f>
        <v/>
      </c>
    </row>
    <row r="45" spans="2:18" x14ac:dyDescent="0.4">
      <c r="B45" s="9"/>
      <c r="C45" s="6"/>
      <c r="G45" t="str">
        <f t="shared" si="1"/>
        <v/>
      </c>
      <c r="H45" s="10"/>
      <c r="M45" t="str">
        <f t="shared" si="2"/>
        <v/>
      </c>
      <c r="N45" s="10"/>
      <c r="R45" t="str">
        <f t="shared" si="3"/>
        <v/>
      </c>
    </row>
    <row r="46" spans="2:18" x14ac:dyDescent="0.4">
      <c r="B46" s="9"/>
      <c r="C46" s="6"/>
      <c r="G46" t="str">
        <f t="shared" si="1"/>
        <v/>
      </c>
      <c r="H46" s="10"/>
      <c r="M46" t="str">
        <f t="shared" si="2"/>
        <v/>
      </c>
      <c r="N46" s="10"/>
      <c r="R46" t="str">
        <f t="shared" si="3"/>
        <v/>
      </c>
    </row>
    <row r="47" spans="2:18" x14ac:dyDescent="0.4">
      <c r="B47" s="9"/>
      <c r="C47" s="6"/>
      <c r="G47" t="str">
        <f t="shared" si="1"/>
        <v/>
      </c>
      <c r="H47" s="10"/>
      <c r="M47" t="str">
        <f t="shared" si="2"/>
        <v/>
      </c>
      <c r="N47" s="10"/>
      <c r="R47" t="str">
        <f t="shared" si="3"/>
        <v/>
      </c>
    </row>
    <row r="48" spans="2:18" x14ac:dyDescent="0.4">
      <c r="B48" s="9"/>
      <c r="C48" s="6"/>
      <c r="G48" t="str">
        <f t="shared" si="1"/>
        <v/>
      </c>
      <c r="H48" s="10"/>
      <c r="M48" t="str">
        <f t="shared" si="2"/>
        <v/>
      </c>
      <c r="N48" s="10"/>
      <c r="R48" t="str">
        <f t="shared" si="3"/>
        <v/>
      </c>
    </row>
    <row r="49" spans="2:18" x14ac:dyDescent="0.4">
      <c r="B49" s="9"/>
      <c r="C49" s="6"/>
      <c r="G49" t="str">
        <f t="shared" si="1"/>
        <v/>
      </c>
      <c r="H49" s="10"/>
      <c r="M49" t="str">
        <f t="shared" si="2"/>
        <v/>
      </c>
      <c r="N49" s="10"/>
      <c r="R49" t="str">
        <f t="shared" si="3"/>
        <v/>
      </c>
    </row>
    <row r="50" spans="2:18" x14ac:dyDescent="0.4">
      <c r="B50" s="9"/>
      <c r="C50" s="6"/>
      <c r="G50" t="str">
        <f t="shared" si="1"/>
        <v/>
      </c>
      <c r="H50" s="10"/>
      <c r="M50" t="str">
        <f t="shared" si="2"/>
        <v/>
      </c>
      <c r="N50" s="10"/>
      <c r="R50" t="str">
        <f t="shared" si="3"/>
        <v/>
      </c>
    </row>
    <row r="51" spans="2:18" x14ac:dyDescent="0.4">
      <c r="B51" s="9"/>
      <c r="C51" s="6"/>
      <c r="G51" t="str">
        <f t="shared" si="1"/>
        <v/>
      </c>
      <c r="H51" s="10"/>
      <c r="M51" t="str">
        <f t="shared" si="2"/>
        <v/>
      </c>
      <c r="N51" s="10"/>
      <c r="R51" t="str">
        <f t="shared" si="3"/>
        <v/>
      </c>
    </row>
    <row r="52" spans="2:18" x14ac:dyDescent="0.4">
      <c r="B52" s="9"/>
      <c r="C52" s="6"/>
      <c r="G52" t="str">
        <f t="shared" si="1"/>
        <v/>
      </c>
      <c r="H52" s="10"/>
      <c r="M52" t="str">
        <f t="shared" si="2"/>
        <v/>
      </c>
      <c r="N52" s="10"/>
      <c r="R52" t="str">
        <f t="shared" si="3"/>
        <v/>
      </c>
    </row>
    <row r="53" spans="2:18" x14ac:dyDescent="0.4">
      <c r="B53" s="9"/>
      <c r="C53" s="6"/>
      <c r="G53" t="str">
        <f t="shared" si="1"/>
        <v/>
      </c>
      <c r="H53" s="10"/>
      <c r="M53" t="str">
        <f t="shared" si="2"/>
        <v/>
      </c>
      <c r="N53" s="10"/>
      <c r="R53" t="str">
        <f t="shared" si="3"/>
        <v/>
      </c>
    </row>
    <row r="56" spans="2:18" x14ac:dyDescent="0.4">
      <c r="B56" s="3" t="s">
        <v>77</v>
      </c>
    </row>
    <row r="57" spans="2:18" x14ac:dyDescent="0.4">
      <c r="B57" s="3" t="s">
        <v>78</v>
      </c>
      <c r="C57" s="3" t="s">
        <v>79</v>
      </c>
    </row>
    <row r="58" spans="2:18" x14ac:dyDescent="0.4">
      <c r="B58" s="9"/>
    </row>
    <row r="59" spans="2:18" x14ac:dyDescent="0.4">
      <c r="B59" s="9"/>
    </row>
    <row r="60" spans="2:18" x14ac:dyDescent="0.4">
      <c r="B60" s="9"/>
    </row>
    <row r="61" spans="2:18" x14ac:dyDescent="0.4">
      <c r="B61" s="9"/>
    </row>
    <row r="62" spans="2:18" x14ac:dyDescent="0.4">
      <c r="B62" s="9"/>
    </row>
    <row r="63" spans="2:18" x14ac:dyDescent="0.4">
      <c r="B63" s="9"/>
    </row>
    <row r="64" spans="2:18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80</v>
      </c>
    </row>
    <row r="71" spans="2:5" x14ac:dyDescent="0.4">
      <c r="B71" s="3" t="s">
        <v>81</v>
      </c>
      <c r="C71" s="3" t="s">
        <v>82</v>
      </c>
      <c r="D71" s="3" t="s">
        <v>83</v>
      </c>
      <c r="E71" s="3" t="s">
        <v>84</v>
      </c>
    </row>
    <row r="72" spans="2:5" x14ac:dyDescent="0.4">
      <c r="B72" s="9"/>
      <c r="C72" s="11"/>
      <c r="E72" t="str">
        <f t="shared" ref="E72:E81" si="4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1"/>
      <c r="E73" t="str">
        <f t="shared" si="4"/>
        <v/>
      </c>
    </row>
    <row r="74" spans="2:5" x14ac:dyDescent="0.4">
      <c r="B74" s="9"/>
      <c r="C74" s="11"/>
      <c r="E74" t="str">
        <f t="shared" si="4"/>
        <v/>
      </c>
    </row>
    <row r="75" spans="2:5" x14ac:dyDescent="0.4">
      <c r="B75" s="9"/>
      <c r="C75" s="11"/>
      <c r="E75" t="str">
        <f t="shared" si="4"/>
        <v/>
      </c>
    </row>
    <row r="76" spans="2:5" x14ac:dyDescent="0.4">
      <c r="B76" s="9"/>
      <c r="C76" s="11"/>
      <c r="E76" t="str">
        <f t="shared" si="4"/>
        <v/>
      </c>
    </row>
    <row r="77" spans="2:5" x14ac:dyDescent="0.4">
      <c r="B77" s="9"/>
      <c r="C77" s="11"/>
      <c r="E77" t="str">
        <f t="shared" si="4"/>
        <v/>
      </c>
    </row>
    <row r="78" spans="2:5" x14ac:dyDescent="0.4">
      <c r="B78" s="9"/>
      <c r="C78" s="11"/>
      <c r="E78" t="str">
        <f t="shared" si="4"/>
        <v/>
      </c>
    </row>
    <row r="79" spans="2:5" x14ac:dyDescent="0.4">
      <c r="B79" s="9"/>
      <c r="C79" s="11"/>
      <c r="E79" t="str">
        <f t="shared" si="4"/>
        <v/>
      </c>
    </row>
    <row r="80" spans="2:5" x14ac:dyDescent="0.4">
      <c r="B80" s="9"/>
      <c r="C80" s="11"/>
      <c r="E80" t="str">
        <f t="shared" si="4"/>
        <v/>
      </c>
    </row>
    <row r="81" spans="2:5" x14ac:dyDescent="0.4">
      <c r="B81" s="9"/>
      <c r="C81" s="11"/>
      <c r="E81" t="str">
        <f t="shared" si="4"/>
        <v/>
      </c>
    </row>
    <row r="82" spans="2:5" x14ac:dyDescent="0.4">
      <c r="B82" s="3" t="s">
        <v>85</v>
      </c>
      <c r="D82" s="12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5A737-3016-45A8-AE7F-6564EBEFE139}">
  <sheetPr codeName="Sheet30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15</vt:i4>
      </vt:variant>
    </vt:vector>
  </HeadingPairs>
  <TitlesOfParts>
    <vt:vector size="38" baseType="lpstr">
      <vt:lpstr>계약방법안내</vt:lpstr>
      <vt:lpstr>절차안내</vt:lpstr>
      <vt:lpstr>학교검색</vt:lpstr>
      <vt:lpstr>학교정보</vt:lpstr>
      <vt:lpstr>F-002_위원수락확인서</vt:lpstr>
      <vt:lpstr>F-001_위원회구성기안</vt:lpstr>
      <vt:lpstr>F-025_교복AS계획서</vt:lpstr>
      <vt:lpstr>F-023_교복제조사양서</vt:lpstr>
      <vt:lpstr>F-022_교복납품실적표</vt:lpstr>
      <vt:lpstr>F-021_교복납품제안서</vt:lpstr>
      <vt:lpstr>F-020_입찰참가신고서</vt:lpstr>
      <vt:lpstr>F-019_입찰참가신청서</vt:lpstr>
      <vt:lpstr>F-018_정량적평가자기평점표</vt:lpstr>
      <vt:lpstr>F-017_제출서류자기확인서</vt:lpstr>
      <vt:lpstr>F-016_정성적평가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'F-001_위원회구성기안'!Print_Area</vt:lpstr>
      <vt:lpstr>'F-002_위원수락확인서'!Print_Area</vt:lpstr>
      <vt:lpstr>'F-007_구매요청기안문'!Print_Area</vt:lpstr>
      <vt:lpstr>'F-014_평가항목배점기준'!Print_Area</vt:lpstr>
      <vt:lpstr>'F-015_정량적평가'!Print_Area</vt:lpstr>
      <vt:lpstr>'F-016_정성적평가'!Print_Area</vt:lpstr>
      <vt:lpstr>'F-017_제출서류자기확인서'!Print_Area</vt:lpstr>
      <vt:lpstr>'F-018_정량적평가자기평점표'!Print_Area</vt:lpstr>
      <vt:lpstr>'F-019_입찰참가신청서'!Print_Area</vt:lpstr>
      <vt:lpstr>'F-020_입찰참가신고서'!Print_Area</vt:lpstr>
      <vt:lpstr>'F-021_교복납품제안서'!Print_Area</vt:lpstr>
      <vt:lpstr>'F-022_교복납품실적표'!Print_Area</vt:lpstr>
      <vt:lpstr>'F-023_교복제조사양서'!Print_Area</vt:lpstr>
      <vt:lpstr>'F-024_단가비율표'!Print_Area</vt:lpstr>
      <vt:lpstr>'F-025_교복AS계획서'!Print_Area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2026-09-18T12:05:27Z</dcterms:created>
  <dcterms:modified xsi:type="dcterms:W3CDTF">2026-09-18T12:06:51Z</dcterms:modified>
</cp:coreProperties>
</file>